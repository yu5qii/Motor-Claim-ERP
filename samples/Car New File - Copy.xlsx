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assessmentsheet\New folder\"/>
    </mc:Choice>
  </mc:AlternateContent>
  <bookViews>
    <workbookView xWindow="120" yWindow="210" windowWidth="8480" windowHeight="3500"/>
  </bookViews>
  <sheets>
    <sheet name="Sheet1" sheetId="2" r:id="rId1"/>
    <sheet name="Sheet2" sheetId="5" r:id="rId2"/>
    <sheet name="Remarks" sheetId="6" r:id="rId3"/>
    <sheet name="Sheet3" sheetId="7" r:id="rId4"/>
    <sheet name="Claim cost Approval " sheetId="8" r:id="rId5"/>
  </sheets>
  <definedNames>
    <definedName name="_xlnm.Print_Area" localSheetId="0">Sheet1!$B$1:$K$428</definedName>
    <definedName name="_xlnm.Print_Area" localSheetId="1">Sheet2!$A$1:$K$63</definedName>
  </definedNames>
  <calcPr calcId="152511"/>
</workbook>
</file>

<file path=xl/calcChain.xml><?xml version="1.0" encoding="utf-8"?>
<calcChain xmlns="http://schemas.openxmlformats.org/spreadsheetml/2006/main">
  <c r="I121" i="2" l="1"/>
  <c r="J121" i="2"/>
  <c r="C39" i="8" l="1"/>
  <c r="C5" i="8" l="1"/>
  <c r="D210" i="2"/>
  <c r="Q165" i="2"/>
  <c r="Q168" i="2" s="1"/>
  <c r="P138" i="2"/>
  <c r="C6" i="8" l="1"/>
  <c r="E26" i="5" l="1"/>
  <c r="I11" i="5"/>
  <c r="D212" i="2"/>
  <c r="I210" i="2"/>
  <c r="C4" i="8" l="1"/>
  <c r="C3" i="8"/>
  <c r="I34" i="8"/>
  <c r="I35" i="8" s="1"/>
  <c r="C29" i="8"/>
  <c r="C30" i="8" s="1"/>
  <c r="C31" i="8" s="1"/>
  <c r="D20" i="8"/>
  <c r="C19" i="8"/>
  <c r="B19" i="8"/>
  <c r="L13" i="8"/>
  <c r="L16" i="8" s="1"/>
  <c r="L18" i="8" s="1"/>
  <c r="L23" i="8" s="1"/>
  <c r="D13" i="8"/>
  <c r="C12" i="8"/>
  <c r="B12" i="8"/>
  <c r="K14" i="7"/>
  <c r="K15" i="7" s="1"/>
  <c r="J14" i="7"/>
  <c r="J15" i="7" s="1"/>
  <c r="F14" i="7"/>
  <c r="F12" i="7"/>
  <c r="F13" i="7" s="1"/>
  <c r="M15" i="7"/>
  <c r="F21" i="7"/>
  <c r="F22" i="7" s="1"/>
  <c r="I25" i="7"/>
  <c r="I26" i="7" s="1"/>
  <c r="E6" i="7"/>
  <c r="E5" i="7"/>
  <c r="E4" i="7"/>
  <c r="E3" i="7"/>
  <c r="F17" i="7" l="1"/>
  <c r="C15" i="8"/>
  <c r="C16" i="8" s="1"/>
  <c r="C22" i="8"/>
  <c r="F15" i="7"/>
  <c r="F24" i="7" s="1"/>
  <c r="F30" i="7" s="1"/>
  <c r="H152" i="2"/>
  <c r="H162" i="2" s="1"/>
  <c r="K150" i="2"/>
  <c r="J150" i="2"/>
  <c r="I150" i="2"/>
  <c r="H150" i="2"/>
  <c r="I267" i="2"/>
  <c r="I266" i="2"/>
  <c r="I263" i="2"/>
  <c r="I262" i="2"/>
  <c r="I261" i="2"/>
  <c r="I260" i="2"/>
  <c r="I259" i="2"/>
  <c r="I258" i="2"/>
  <c r="H207" i="2"/>
  <c r="C25" i="8" l="1"/>
  <c r="C23" i="8"/>
  <c r="C33" i="8" s="1"/>
  <c r="J122" i="2"/>
  <c r="K166" i="2" s="1"/>
  <c r="I122" i="2"/>
  <c r="I123" i="2" s="1"/>
  <c r="I124" i="2" l="1"/>
  <c r="I125" i="2" s="1"/>
  <c r="J123" i="2"/>
  <c r="J124" i="2" l="1"/>
  <c r="J125" i="2" s="1"/>
  <c r="H151" i="2" l="1"/>
  <c r="K151" i="2"/>
  <c r="K154" i="2" s="1"/>
  <c r="J151" i="2"/>
  <c r="J154" i="2" s="1"/>
  <c r="I151" i="2"/>
  <c r="K153" i="2"/>
  <c r="J153" i="2"/>
  <c r="I153" i="2"/>
  <c r="Q160" i="2"/>
  <c r="I344" i="2"/>
  <c r="S156" i="2"/>
  <c r="Q156" i="2"/>
  <c r="I154" i="2" l="1"/>
  <c r="I152" i="2"/>
  <c r="K152" i="2"/>
  <c r="K155" i="2" s="1"/>
  <c r="K157" i="2" s="1"/>
  <c r="J152" i="2"/>
  <c r="J155" i="2" s="1"/>
  <c r="E335" i="2"/>
  <c r="H24" i="5"/>
  <c r="H23" i="5"/>
  <c r="H22" i="5"/>
  <c r="H18" i="5"/>
  <c r="H19" i="5"/>
  <c r="H17" i="5"/>
  <c r="H14" i="5"/>
  <c r="H15" i="5"/>
  <c r="H13" i="5"/>
  <c r="D11" i="5"/>
  <c r="B11" i="5"/>
  <c r="K9" i="5"/>
  <c r="E9" i="5"/>
  <c r="I346" i="2"/>
  <c r="J107" i="2"/>
  <c r="J108" i="2" s="1"/>
  <c r="J230" i="2"/>
  <c r="E229" i="2"/>
  <c r="H186" i="2"/>
  <c r="I107" i="2"/>
  <c r="I108" i="2" s="1"/>
  <c r="H73" i="2"/>
  <c r="D321" i="2"/>
  <c r="B369" i="2"/>
  <c r="H369" i="2"/>
  <c r="D369" i="2"/>
  <c r="K369" i="2"/>
  <c r="J323" i="2"/>
  <c r="D323" i="2"/>
  <c r="B321" i="2"/>
  <c r="E214" i="2"/>
  <c r="H208" i="2"/>
  <c r="H206" i="2"/>
  <c r="H204" i="2"/>
  <c r="H203" i="2"/>
  <c r="H202" i="2"/>
  <c r="K200" i="2"/>
  <c r="E200" i="2"/>
  <c r="B210" i="2"/>
  <c r="I155" i="2" l="1"/>
  <c r="I339" i="2"/>
  <c r="J109" i="2"/>
  <c r="K161" i="2" s="1"/>
  <c r="I109" i="2"/>
  <c r="H161" i="2" s="1"/>
  <c r="J232" i="2"/>
  <c r="I338" i="2"/>
  <c r="I157" i="2" l="1"/>
  <c r="J157" i="2"/>
  <c r="I329" i="2"/>
  <c r="H163" i="2"/>
  <c r="H169" i="2" s="1"/>
  <c r="I268" i="2" s="1"/>
  <c r="I334" i="2"/>
  <c r="I335" i="2"/>
  <c r="I340" i="2"/>
  <c r="K162" i="2" l="1"/>
  <c r="K163" i="2" s="1"/>
  <c r="K169" i="2" s="1"/>
  <c r="I269" i="2" s="1"/>
  <c r="I336" i="2"/>
  <c r="I343" i="2" s="1"/>
  <c r="I348" i="2" s="1"/>
  <c r="K171" i="2" l="1"/>
  <c r="L163" i="2"/>
  <c r="L165" i="2" s="1"/>
</calcChain>
</file>

<file path=xl/sharedStrings.xml><?xml version="1.0" encoding="utf-8"?>
<sst xmlns="http://schemas.openxmlformats.org/spreadsheetml/2006/main" count="534" uniqueCount="345">
  <si>
    <t>INSURERS</t>
  </si>
  <si>
    <t>INSURED</t>
  </si>
  <si>
    <t>VEHICLE PARTICULARS</t>
  </si>
  <si>
    <t>DATE:</t>
  </si>
  <si>
    <t>MOTOR SURVEY REPORT ( FINAL )</t>
  </si>
  <si>
    <t>Claim No.</t>
  </si>
  <si>
    <t>HPA</t>
  </si>
  <si>
    <t>a)</t>
  </si>
  <si>
    <t>b)</t>
  </si>
  <si>
    <t>c)</t>
  </si>
  <si>
    <t>d)</t>
  </si>
  <si>
    <t>e)</t>
  </si>
  <si>
    <t>f)</t>
  </si>
  <si>
    <t>g)</t>
  </si>
  <si>
    <t>h)</t>
  </si>
  <si>
    <t>Vehicle No.</t>
  </si>
  <si>
    <t>Chassis No.</t>
  </si>
  <si>
    <t>Engine No.</t>
  </si>
  <si>
    <t>Make / Model</t>
  </si>
  <si>
    <t>Road Tax upto</t>
  </si>
  <si>
    <t>Class of Vehicle</t>
  </si>
  <si>
    <t>Seating Capacity</t>
  </si>
  <si>
    <t>Permit No./ Valid upto</t>
  </si>
  <si>
    <t>Type of Body</t>
  </si>
  <si>
    <t>R.L.W.</t>
  </si>
  <si>
    <t>U.L.W.</t>
  </si>
  <si>
    <t>i)</t>
  </si>
  <si>
    <t>j)</t>
  </si>
  <si>
    <t>k)</t>
  </si>
  <si>
    <t>l)</t>
  </si>
  <si>
    <t>m)</t>
  </si>
  <si>
    <t>DRIVER'S PARTICULARS</t>
  </si>
  <si>
    <t>Name of the Driver</t>
  </si>
  <si>
    <t>Date of Issue</t>
  </si>
  <si>
    <t>Valid upto</t>
  </si>
  <si>
    <t>Type of Licence</t>
  </si>
  <si>
    <t>Valid for</t>
  </si>
  <si>
    <t>Badge No.</t>
  </si>
  <si>
    <t xml:space="preserve">Particulars of injuries to driver and/ or passengers </t>
  </si>
  <si>
    <t>and/ or third parties and/ or damage to the property</t>
  </si>
  <si>
    <t>of third parties.</t>
  </si>
  <si>
    <t>DOCUMENTS</t>
  </si>
  <si>
    <t>S.No.</t>
  </si>
  <si>
    <t>Particulars</t>
  </si>
  <si>
    <t>PARTS</t>
  </si>
  <si>
    <t>A S S E S S E D</t>
  </si>
  <si>
    <t>NA</t>
  </si>
  <si>
    <t>Total</t>
  </si>
  <si>
    <t>SUMMARY OF ASSESSMENT</t>
  </si>
  <si>
    <t>Original Estimate</t>
  </si>
  <si>
    <t>Assessed For</t>
  </si>
  <si>
    <t>Total Labour</t>
  </si>
  <si>
    <t>Total Parts</t>
  </si>
  <si>
    <t>Less:Salvage Value(approx)</t>
  </si>
  <si>
    <t>Claim form</t>
  </si>
  <si>
    <t>Estimate sheet(s)</t>
  </si>
  <si>
    <t>Survey fee bill</t>
  </si>
  <si>
    <t>:</t>
  </si>
  <si>
    <t>n)</t>
  </si>
  <si>
    <t>DL</t>
  </si>
  <si>
    <t>POLICE  REPORT</t>
  </si>
  <si>
    <t>MAIN  OBSERVATION</t>
  </si>
  <si>
    <t>ACCIDENT  PARTICULARS</t>
  </si>
  <si>
    <t>Route/Area of Operation</t>
  </si>
  <si>
    <t>Fitness Cert.No./Valid upto</t>
  </si>
  <si>
    <t xml:space="preserve"> LABOUR</t>
  </si>
  <si>
    <t>Report Ref No.</t>
  </si>
  <si>
    <t>One Time Tax</t>
  </si>
  <si>
    <t>NO</t>
  </si>
  <si>
    <t xml:space="preserve">Date and Time of Accident           </t>
  </si>
  <si>
    <t xml:space="preserve">Place of Accident                          </t>
  </si>
  <si>
    <t xml:space="preserve">Place of Survey                             </t>
  </si>
  <si>
    <t xml:space="preserve">Date of Allotment of Survey          </t>
  </si>
  <si>
    <t xml:space="preserve">Date and Time of Survey              </t>
  </si>
  <si>
    <t xml:space="preserve">        Amount</t>
  </si>
  <si>
    <t>SURVEY FEE BILL</t>
  </si>
  <si>
    <t>Amount</t>
  </si>
  <si>
    <t>Survey Fee Final</t>
  </si>
  <si>
    <t>Survey Fee Re-inspection</t>
  </si>
  <si>
    <t>Conveyance Re-inspection</t>
  </si>
  <si>
    <t>Estimated Loss</t>
  </si>
  <si>
    <t>DETAIL OF LOAD CHALAN</t>
  </si>
  <si>
    <t xml:space="preserve">Govt of India </t>
  </si>
  <si>
    <t>MOHD. YAMIN</t>
  </si>
  <si>
    <t xml:space="preserve"> SURVEY REPORT (RE-INSPECTION)</t>
  </si>
  <si>
    <t>Registration No.</t>
  </si>
  <si>
    <t xml:space="preserve">  Physically Verified</t>
  </si>
  <si>
    <t>CLAIM NO.:</t>
  </si>
  <si>
    <t>OBSERVATIONS:</t>
  </si>
  <si>
    <t>The repairing work of the vehicle has been carried out satisfactorily.</t>
  </si>
  <si>
    <t>This report is issued without prejudice.</t>
  </si>
  <si>
    <t>ENCLOSURES:</t>
  </si>
  <si>
    <t>Yes</t>
  </si>
  <si>
    <t>Digital Photograph(s)</t>
  </si>
  <si>
    <t>One</t>
  </si>
  <si>
    <t xml:space="preserve">RC        </t>
  </si>
  <si>
    <t>ESTIMATED</t>
  </si>
  <si>
    <t>Permanent</t>
  </si>
  <si>
    <t>Digital Photographs</t>
  </si>
  <si>
    <t>[RC checked from original]</t>
  </si>
  <si>
    <t>[DL checked from original]</t>
  </si>
  <si>
    <t>Verified from original</t>
  </si>
  <si>
    <t xml:space="preserve">PHOTOGRAPHS </t>
  </si>
  <si>
    <t>DETAILS OF ACCIDENT AND COMMENTS</t>
  </si>
  <si>
    <t>Remarks</t>
  </si>
  <si>
    <t>Enclosures</t>
  </si>
  <si>
    <t>Issuing Authority</t>
  </si>
  <si>
    <t>Policy No.:</t>
  </si>
  <si>
    <t>o)</t>
  </si>
  <si>
    <t>KM Reading</t>
  </si>
  <si>
    <t>Relation with Insured</t>
  </si>
  <si>
    <t>Date of Registration</t>
  </si>
  <si>
    <t>[Physically Verified]</t>
  </si>
  <si>
    <t>Mobile:9818430881</t>
  </si>
  <si>
    <t>No,as per Claim Form.</t>
  </si>
  <si>
    <t>NO,as per Claim Form</t>
  </si>
  <si>
    <t xml:space="preserve"> MOHD. YAMIN</t>
  </si>
  <si>
    <t xml:space="preserve">      METAL</t>
  </si>
  <si>
    <t xml:space="preserve">     RUBBER</t>
  </si>
  <si>
    <t xml:space="preserve">      GLASS</t>
  </si>
  <si>
    <r>
      <t xml:space="preserve">    </t>
    </r>
    <r>
      <rPr>
        <u/>
        <sz val="10"/>
        <rFont val="Verdana"/>
        <family val="2"/>
      </rPr>
      <t>Period</t>
    </r>
    <r>
      <rPr>
        <sz val="10"/>
        <rFont val="Verdana"/>
        <family val="2"/>
      </rPr>
      <t>:</t>
    </r>
  </si>
  <si>
    <t xml:space="preserve">   Amount</t>
  </si>
  <si>
    <t xml:space="preserve"> Assessed Loss</t>
  </si>
  <si>
    <t>This report is issued without prejudice, subject to the terms and conditions of the policy.</t>
  </si>
  <si>
    <t>Vehicle Number</t>
  </si>
  <si>
    <t>Chassis Number</t>
  </si>
  <si>
    <t>Engine Number</t>
  </si>
  <si>
    <t>[ MOHD. YAMIN ]</t>
  </si>
  <si>
    <t>Driving Licence Number</t>
  </si>
  <si>
    <t xml:space="preserve">             SURVEYOR</t>
  </si>
  <si>
    <t xml:space="preserve">         SURVEYOR</t>
  </si>
  <si>
    <t>MOHD.YAMIN</t>
  </si>
  <si>
    <t xml:space="preserve">Photo Charges Final </t>
  </si>
  <si>
    <t>National Insurance Co Ltd</t>
  </si>
  <si>
    <t>Claim No.:</t>
  </si>
  <si>
    <t>Vehicle No.:</t>
  </si>
  <si>
    <t>Name of Insured :</t>
  </si>
  <si>
    <t>Surveyor :</t>
  </si>
  <si>
    <t>NCB verification status :</t>
  </si>
  <si>
    <t>Labour Charges</t>
  </si>
  <si>
    <t>Towing Charges</t>
  </si>
  <si>
    <t>Parts</t>
  </si>
  <si>
    <t>Metal</t>
  </si>
  <si>
    <t>Net Amount</t>
  </si>
  <si>
    <t>Plastic</t>
  </si>
  <si>
    <t>Less Depreciation @ 50%</t>
  </si>
  <si>
    <t>Glass</t>
  </si>
  <si>
    <t>A</t>
  </si>
  <si>
    <t>B</t>
  </si>
  <si>
    <t>C</t>
  </si>
  <si>
    <t>Surveyor Approved Amount</t>
  </si>
  <si>
    <t>Insurance Co Approved Amount</t>
  </si>
  <si>
    <t>Total[A+B+C]</t>
  </si>
  <si>
    <t>Less Salvage</t>
  </si>
  <si>
    <t>Net Assessed Loss</t>
  </si>
  <si>
    <t>Cheque No.:</t>
  </si>
  <si>
    <t>Cheque Drawn On</t>
  </si>
  <si>
    <t>Cheque Date</t>
  </si>
  <si>
    <t>Cheque Amt.</t>
  </si>
  <si>
    <t>Instrument Detail</t>
  </si>
  <si>
    <t>Remarks :</t>
  </si>
  <si>
    <t>IDV</t>
  </si>
  <si>
    <t>p)</t>
  </si>
  <si>
    <t>Fuel Used</t>
  </si>
  <si>
    <t>FINAL SURVEY PHOTOGRAPHS</t>
  </si>
  <si>
    <t>Insured:</t>
  </si>
  <si>
    <t>[Surveyor &amp; Loss Assessor]</t>
  </si>
  <si>
    <t>% on Metals &amp; 50% on Plastic</t>
  </si>
  <si>
    <t xml:space="preserve"> Less Dep @</t>
  </si>
  <si>
    <t>N/A</t>
  </si>
  <si>
    <r>
      <t xml:space="preserve">        </t>
    </r>
    <r>
      <rPr>
        <u/>
        <sz val="10"/>
        <rFont val="Verdana"/>
        <family val="2"/>
      </rPr>
      <t>Period</t>
    </r>
    <r>
      <rPr>
        <sz val="10"/>
        <rFont val="Verdana"/>
        <family val="2"/>
      </rPr>
      <t xml:space="preserve">:          </t>
    </r>
  </si>
  <si>
    <t xml:space="preserve"> Photographs were arranged by me at different angles.</t>
  </si>
  <si>
    <t>PAN: ALVPM9337N</t>
  </si>
  <si>
    <t>National Insurance Company Ltd.</t>
  </si>
  <si>
    <t>5</t>
  </si>
  <si>
    <t>No.of Claims</t>
  </si>
  <si>
    <t>Estimate No.</t>
  </si>
  <si>
    <t>Check for CNG Kit Fittment</t>
  </si>
  <si>
    <t>Check Validity of Licence</t>
  </si>
  <si>
    <t>Dep on Labour if Policy after 01/02/2013</t>
  </si>
  <si>
    <t>Check VAT rates as per State</t>
  </si>
  <si>
    <t>Check for Dep Cover Policy</t>
  </si>
  <si>
    <t>Scrap Value of Fuel Tank in M/Cycle</t>
  </si>
  <si>
    <t>Scrap Value of Aluminium parts in Car</t>
  </si>
  <si>
    <t>Previous Claim Remark if 2nd Claim</t>
  </si>
  <si>
    <t>Check for PRI remark if Break Policy</t>
  </si>
  <si>
    <t>Dep Cover remark if Dep cover Policy</t>
  </si>
  <si>
    <t xml:space="preserve"> Photographs @ 10/- ppg</t>
  </si>
  <si>
    <t>NO VAT &amp; Depreciation if Only W/S Glass</t>
  </si>
  <si>
    <t>Upto 20,000</t>
  </si>
  <si>
    <t>20,000 to 50,000</t>
  </si>
  <si>
    <t>50,000 to 1,00,000</t>
  </si>
  <si>
    <t>Conveyance</t>
  </si>
  <si>
    <t>Reinspection</t>
  </si>
  <si>
    <t>Less Compulsary Excess+ND Excess</t>
  </si>
  <si>
    <t>CHECK WORKSHOP ADDRESS</t>
  </si>
  <si>
    <t>Email:yamin.ae@gmail.com</t>
  </si>
  <si>
    <t>%</t>
  </si>
  <si>
    <t xml:space="preserve">Less Depreciation @ </t>
  </si>
  <si>
    <t>The salvage was found in order &amp; crushed.</t>
  </si>
  <si>
    <t>All the parts as allowed by me in Final Survey Report were found replaced with new &amp; genuine one.</t>
  </si>
  <si>
    <t>Add: GST @ 18%</t>
  </si>
  <si>
    <t xml:space="preserve">Tax Rate </t>
  </si>
  <si>
    <t>Less:Excess Clause</t>
  </si>
  <si>
    <t>Less:Nil Dep Excess if any</t>
  </si>
  <si>
    <t>Add:Towing Charges</t>
  </si>
  <si>
    <t>Add: GST @ 28%</t>
  </si>
  <si>
    <t>This report is issued by me as a licensed surveyor without prejudice in respect of cause,nature and extent</t>
  </si>
  <si>
    <t>of loss/damage and subject to the terms and conditions  of  the insurance policy.</t>
  </si>
  <si>
    <t>Total Repair Labour (A)</t>
  </si>
  <si>
    <t xml:space="preserve">To Replacing </t>
  </si>
  <si>
    <t xml:space="preserve">Add:GST @ 18% </t>
  </si>
  <si>
    <t>Total Painting Labour [B]</t>
  </si>
  <si>
    <t xml:space="preserve">Less: Depreciation on Painting/Material @12.5% </t>
  </si>
  <si>
    <t xml:space="preserve">Depreciation Coverage </t>
  </si>
  <si>
    <t xml:space="preserve">N/A </t>
  </si>
  <si>
    <t>Parts GST @18%</t>
  </si>
  <si>
    <t>Parts GST @28%</t>
  </si>
  <si>
    <t xml:space="preserve">Saloon </t>
  </si>
  <si>
    <t>LMV</t>
  </si>
  <si>
    <t>Total Labour (A+B)</t>
  </si>
  <si>
    <t xml:space="preserve">Conveyance Final </t>
  </si>
  <si>
    <t>CHECK LIST FOR MARUTI CLAIMS</t>
  </si>
  <si>
    <t>NAME OF THE SURVEYOR</t>
  </si>
  <si>
    <t>DATE OF SURVEY</t>
  </si>
  <si>
    <t>POLICY NO.</t>
  </si>
  <si>
    <t>MI CLAIM NO.</t>
  </si>
  <si>
    <t>NUMBER OF CLAIMS</t>
  </si>
  <si>
    <t>VEHICLE NO.</t>
  </si>
  <si>
    <t>NAME OF THE INSURED</t>
  </si>
  <si>
    <t>MOBILE NO.</t>
  </si>
  <si>
    <t>---</t>
  </si>
  <si>
    <t>EMAIL ID</t>
  </si>
  <si>
    <t>DATE OF LOSS</t>
  </si>
  <si>
    <t>ESTIMATE NO.</t>
  </si>
  <si>
    <t>ESTIMATED AMOUNT</t>
  </si>
  <si>
    <t>ASSESSED AMOUNT</t>
  </si>
  <si>
    <t>HAVE YOU CHECKED THE RC</t>
  </si>
  <si>
    <t>HAVE YOU CHECKED THE DL</t>
  </si>
  <si>
    <t>HAVE YOU SPOKEN TO THE INSURED</t>
  </si>
  <si>
    <t>WHETHER CNG FITTED IN THE VEHICLE</t>
  </si>
  <si>
    <t>IF YES,WHETHER ENDORSED IN RC &amp; POLICY</t>
  </si>
  <si>
    <t>-</t>
  </si>
  <si>
    <t>ANTI-THEFT DISCOUNT ALLOWED IN THE POLICY</t>
  </si>
  <si>
    <t>IF YES,GIVE DETAILS OF THE DEVICE</t>
  </si>
  <si>
    <t>Company fitted anti theft</t>
  </si>
  <si>
    <t>WHETHER CASHLESS SETTLEMENT ALLOWED</t>
  </si>
  <si>
    <t>IF NOT,GIVE REASONS.</t>
  </si>
  <si>
    <t>Total (After Depreciation)</t>
  </si>
  <si>
    <t xml:space="preserve">Add:Nil Depreciation Coverage </t>
  </si>
  <si>
    <t>CNG kit fitted in the car and is endorsed in RC &amp; Policy.</t>
  </si>
  <si>
    <t xml:space="preserve">FOR CNG Fitment </t>
  </si>
  <si>
    <t xml:space="preserve">For Fuel Tank Scrap Value </t>
  </si>
  <si>
    <t>scrap value of Fuel Tank .</t>
  </si>
  <si>
    <t xml:space="preserve">Pre-inspection Report &amp; Photographs by Adroit Ref No.          were checked before authorisation of repairs </t>
  </si>
  <si>
    <t xml:space="preserve">Pre-inspection available with Photos </t>
  </si>
  <si>
    <t>and only fresh damages were allowed for repair / replacement .</t>
  </si>
  <si>
    <t xml:space="preserve">This is insured 2nd claim and previous claim was surveyed by Mr                           .Photographs were checked </t>
  </si>
  <si>
    <t xml:space="preserve">Previous claim with Surveyor details &amp; Photographs </t>
  </si>
  <si>
    <t xml:space="preserve">Previous claim details were not available however damages seemed fresh and therfore allowed for </t>
  </si>
  <si>
    <t xml:space="preserve">Previous claim details not available </t>
  </si>
  <si>
    <t>repair / replacement .</t>
  </si>
  <si>
    <t>This is insured 2nd claim and previous claim was surveyed by Mr                           .Photographs were not provided</t>
  </si>
  <si>
    <t xml:space="preserve">Previous claim Surveyor details but No Photographs </t>
  </si>
  <si>
    <t>however damages seemed fresh and therfore allowed for repair / replacement .</t>
  </si>
  <si>
    <t>6194407651</t>
  </si>
  <si>
    <t>Claim Cost Approval Sheet</t>
  </si>
  <si>
    <t>Amount in RS</t>
  </si>
  <si>
    <t xml:space="preserve">Parts allowed (@18%) after dep. without GST </t>
  </si>
  <si>
    <t>A-</t>
  </si>
  <si>
    <t>18% GST on above</t>
  </si>
  <si>
    <t>Parts allowed (@28%) after dep. without GST</t>
  </si>
  <si>
    <t>B-</t>
  </si>
  <si>
    <t>28% GST on above</t>
  </si>
  <si>
    <t>(1+2)</t>
  </si>
  <si>
    <t xml:space="preserve">Total of parts above WITHOUT GST </t>
  </si>
  <si>
    <t>Labour without GST</t>
  </si>
  <si>
    <t>Painting Without GST</t>
  </si>
  <si>
    <t>Total (Labour + Painting) without GST</t>
  </si>
  <si>
    <t>C-</t>
  </si>
  <si>
    <t>18% GST on (Labour + Paint) above</t>
  </si>
  <si>
    <t>(A+B+C)</t>
  </si>
  <si>
    <t xml:space="preserve">Total GST </t>
  </si>
  <si>
    <t>Add Towing</t>
  </si>
  <si>
    <t>Less  Excess Clause</t>
  </si>
  <si>
    <t>NET PAYABLE</t>
  </si>
  <si>
    <t xml:space="preserve">Insured </t>
  </si>
  <si>
    <t xml:space="preserve">Policy Number </t>
  </si>
  <si>
    <t xml:space="preserve">Claim Number </t>
  </si>
  <si>
    <t>Nil Dep Policy and assessment has been done accordingly.</t>
  </si>
  <si>
    <t>Normal Indemnity policy and assessement has been done accordingly.</t>
  </si>
  <si>
    <t>Payment to be made in favour of Repairer.</t>
  </si>
  <si>
    <t xml:space="preserve">Salvage value is NIL as salvage was crushed however Rs                may be deducted towards </t>
  </si>
  <si>
    <t>A/C No. 50200045633320</t>
  </si>
  <si>
    <t>IFS CODE: HDFC0000709</t>
  </si>
  <si>
    <t>MICR : 110240114</t>
  </si>
  <si>
    <t>HDFC Bank , Krishna Nagar</t>
  </si>
  <si>
    <t>Scope Minar Core-3 , 2nd Floor , Laxmi Nagar</t>
  </si>
  <si>
    <t>New Delhi - 110092</t>
  </si>
  <si>
    <t xml:space="preserve">Vehicle Number </t>
  </si>
  <si>
    <t xml:space="preserve">Insured Name </t>
  </si>
  <si>
    <t xml:space="preserve">Metal </t>
  </si>
  <si>
    <t xml:space="preserve">Rubber </t>
  </si>
  <si>
    <t xml:space="preserve">Parts allowed (@18%) without GST </t>
  </si>
  <si>
    <t xml:space="preserve">Depreciation on Rubber @ 50 % </t>
  </si>
  <si>
    <t xml:space="preserve">Depreciation on Glass @ 0 % </t>
  </si>
  <si>
    <t xml:space="preserve">Amount After Depreciation </t>
  </si>
  <si>
    <t>Parts allowed (@28%) without GST</t>
  </si>
  <si>
    <t xml:space="preserve">Total of parts after Dep &amp; WITHOUT GST </t>
  </si>
  <si>
    <t xml:space="preserve">Less : Dep on Painting charges @ 12.5% </t>
  </si>
  <si>
    <t>A+B+C</t>
  </si>
  <si>
    <t xml:space="preserve">NET PAYABLE </t>
  </si>
  <si>
    <t>D.O.-4, Hero Vertical, 101-106, BMC House, Connaught Place</t>
  </si>
  <si>
    <t>New Delhi - 110 001</t>
  </si>
  <si>
    <t>DO-1, Gurgaon , SCO 41-43 , Sector-31</t>
  </si>
  <si>
    <t xml:space="preserve">Haryana </t>
  </si>
  <si>
    <t>The vehicle was re-inspected after repair and salvage was crushed.</t>
  </si>
  <si>
    <t>None</t>
  </si>
  <si>
    <t>M.Cycle + LMV</t>
  </si>
  <si>
    <t xml:space="preserve">Payment to be made in favour of Insured. </t>
  </si>
  <si>
    <t>208-B,Rishabh corporate Tower</t>
  </si>
  <si>
    <t>Karkardooma,New Delhi-110092</t>
  </si>
  <si>
    <t>United India Insurance Company Ltd</t>
  </si>
  <si>
    <t>RO-1 , Claims Hub , Kanchenjunga Building</t>
  </si>
  <si>
    <t xml:space="preserve">Barakhama Road , Cannaught Place , New Delhi </t>
  </si>
  <si>
    <t xml:space="preserve"> [Surveyor &amp; Loss Assessor]</t>
  </si>
  <si>
    <t xml:space="preserve">   Marine Cargo, Fire, Motor, Misc.</t>
  </si>
  <si>
    <t xml:space="preserve">    Marine Cargo, Fire, Motor, Misc.</t>
  </si>
  <si>
    <t xml:space="preserve">      Marine Cargo, Fire, Motor, Misc.</t>
  </si>
  <si>
    <t xml:space="preserve">Nil Dep Plus cover and assessment has been done accordingly and Rs         has been reimbursed under ND Addon opted by insured in this policy </t>
  </si>
  <si>
    <t>DO 13 , Palika Bhawan , RK Puram</t>
  </si>
  <si>
    <t>New Delhi</t>
  </si>
  <si>
    <t>Petrol</t>
  </si>
  <si>
    <t xml:space="preserve">To Painting </t>
  </si>
  <si>
    <t xml:space="preserve">                               ASSESSED AMOUNT :  </t>
  </si>
  <si>
    <t>The vehicle was re-inspected after repairs and salvage was crushed</t>
  </si>
  <si>
    <t>No CNG kit fitted in the car during survey.</t>
  </si>
  <si>
    <t>Renualt Noida is Renault authorised dealer and parts / labour / painting rates assessed are as per</t>
  </si>
  <si>
    <t xml:space="preserve">manufacturer list price </t>
  </si>
  <si>
    <t>----</t>
  </si>
  <si>
    <t/>
  </si>
  <si>
    <t xml:space="preserve">Rs </t>
  </si>
  <si>
    <t>Licence No.72970/23-2026</t>
  </si>
  <si>
    <t>Expiring on 23/08/2026</t>
  </si>
  <si>
    <t>MY/MOTOR/2025/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</si>
</sst>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 #,##0.00_-;_-* &quot;-&quot;??_-;_-@_-"/>
    <numFmt numFmtId="165" formatCode="_(* #,##0.00_);_(* \(#,##0.00\);_(* &quot;-&quot;??_);_(@_)"/>
  </numFmts>
  <fonts count="39">
    <font>
      <sz val="10"/>
      <name val="Arial"/>
    </font>
    <font>
      <sz val="10"/>
      <name val="Arial"/>
      <family val="2"/>
    </font>
    <font>
      <sz val="8"/>
      <name val="Arial"/>
      <family val="2"/>
    </font>
    <font>
      <sz val="10"/>
      <name val="Verdana"/>
      <family val="2"/>
    </font>
    <font>
      <b/>
      <u/>
      <sz val="12"/>
      <color indexed="8"/>
      <name val="Verdana"/>
      <family val="2"/>
    </font>
    <font>
      <u/>
      <sz val="10"/>
      <name val="Verdana"/>
      <family val="2"/>
    </font>
    <font>
      <b/>
      <sz val="10"/>
      <name val="Verdana"/>
      <family val="2"/>
    </font>
    <font>
      <sz val="10"/>
      <color indexed="10"/>
      <name val="Verdana"/>
      <family val="2"/>
    </font>
    <font>
      <b/>
      <u/>
      <sz val="10"/>
      <color indexed="10"/>
      <name val="Verdana"/>
      <family val="2"/>
    </font>
    <font>
      <b/>
      <u/>
      <sz val="10"/>
      <name val="Verdana"/>
      <family val="2"/>
    </font>
    <font>
      <b/>
      <u/>
      <sz val="12"/>
      <name val="Verdana"/>
      <family val="2"/>
    </font>
    <font>
      <sz val="12"/>
      <name val="Verdana"/>
      <family val="2"/>
    </font>
    <font>
      <b/>
      <u/>
      <sz val="9"/>
      <name val="Verdana"/>
      <family val="2"/>
    </font>
    <font>
      <b/>
      <u/>
      <sz val="11"/>
      <name val="Verdana"/>
      <family val="2"/>
    </font>
    <font>
      <b/>
      <sz val="9"/>
      <name val="Verdana"/>
      <family val="2"/>
    </font>
    <font>
      <b/>
      <sz val="11"/>
      <name val="Verdana"/>
      <family val="2"/>
    </font>
    <font>
      <b/>
      <sz val="20"/>
      <color indexed="8"/>
      <name val="Verdana"/>
      <family val="2"/>
    </font>
    <font>
      <sz val="9"/>
      <name val="Verdana"/>
      <family val="2"/>
    </font>
    <font>
      <b/>
      <sz val="14"/>
      <name val="Verdana"/>
      <family val="2"/>
    </font>
    <font>
      <b/>
      <sz val="22"/>
      <name val="Verdana"/>
      <family val="2"/>
    </font>
    <font>
      <b/>
      <sz val="12"/>
      <name val="Verdana"/>
      <family val="2"/>
    </font>
    <font>
      <b/>
      <sz val="11"/>
      <name val="Jay Ho"/>
    </font>
    <font>
      <sz val="10"/>
      <name val="Jay Ho"/>
    </font>
    <font>
      <b/>
      <sz val="10"/>
      <color indexed="10"/>
      <name val="Verdana"/>
      <family val="2"/>
    </font>
    <font>
      <sz val="12"/>
      <color rgb="FFFF0000"/>
      <name val="Verdana"/>
      <family val="2"/>
    </font>
    <font>
      <b/>
      <sz val="10"/>
      <name val="Rupee Foradian"/>
      <family val="2"/>
    </font>
    <font>
      <u/>
      <sz val="10"/>
      <color theme="10"/>
      <name val="Arial"/>
      <family val="2"/>
    </font>
    <font>
      <b/>
      <u/>
      <sz val="8"/>
      <name val="Verdana"/>
      <family val="2"/>
    </font>
    <font>
      <b/>
      <sz val="8"/>
      <name val="Verdana"/>
      <family val="2"/>
    </font>
    <font>
      <b/>
      <u/>
      <sz val="10"/>
      <color theme="1"/>
      <name val="Arial"/>
      <family val="2"/>
    </font>
    <font>
      <sz val="10"/>
      <color theme="1"/>
      <name val="Verdana"/>
      <family val="2"/>
    </font>
    <font>
      <b/>
      <sz val="10"/>
      <color theme="1"/>
      <name val="Verdana"/>
      <family val="2"/>
    </font>
    <font>
      <sz val="8"/>
      <name val="Verdana"/>
      <family val="2"/>
    </font>
    <font>
      <b/>
      <sz val="10"/>
      <name val="Arial"/>
      <family val="2"/>
    </font>
    <font>
      <b/>
      <sz val="11"/>
      <color theme="1"/>
      <name val="Calibri"/>
      <family val="2"/>
      <scheme val="minor"/>
    </font>
    <font>
      <b/>
      <sz val="14"/>
      <color theme="1"/>
      <name val="Calibri"/>
      <family val="2"/>
      <scheme val="minor"/>
    </font>
    <font>
      <sz val="11"/>
      <name val="Calibri"/>
      <family val="2"/>
      <scheme val="minor"/>
    </font>
    <font>
      <b/>
      <sz val="12"/>
      <color theme="1"/>
      <name val="Calibri"/>
      <family val="2"/>
      <scheme val="minor"/>
    </font>
    <font>
      <sz val="11"/>
      <color rgb="FF1F1F1F"/>
      <name val="Arial"/>
      <family val="2"/>
    </font>
  </fonts>
  <fills count="1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5" tint="0.39997558519241921"/>
        <bgColor indexed="64"/>
      </patternFill>
    </fill>
  </fills>
  <borders count="27">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right/>
      <top style="thin">
        <color indexed="64"/>
      </top>
      <bottom style="double">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3">
    <xf numFmtId="0" fontId="0" fillId="0" borderId="0"/>
    <xf numFmtId="165" fontId="1" fillId="0" borderId="0" applyFont="0" applyFill="0" applyBorder="0" applyAlignment="0" applyProtection="0"/>
    <xf numFmtId="0" fontId="26" fillId="0" borderId="0" applyNumberFormat="0" applyFill="0" applyBorder="0" applyAlignment="0" applyProtection="0">
      <alignment vertical="top"/>
      <protection locked="0"/>
    </xf>
  </cellStyleXfs>
  <cellXfs count="257">
    <xf numFmtId="0" fontId="0" fillId="0" borderId="0" xfId="0"/>
    <xf numFmtId="0" fontId="3" fillId="0" borderId="0" xfId="0" applyFont="1" applyAlignment="1">
      <alignment horizontal="left"/>
    </xf>
    <xf numFmtId="0" fontId="4" fillId="0" borderId="0" xfId="0" applyFont="1" applyAlignment="1">
      <alignment horizontal="center"/>
    </xf>
    <xf numFmtId="0" fontId="3" fillId="0" borderId="0" xfId="0" applyFont="1" applyAlignment="1">
      <alignment horizontal="right"/>
    </xf>
    <xf numFmtId="0" fontId="3" fillId="0" borderId="0" xfId="0" applyFont="1"/>
    <xf numFmtId="0" fontId="3" fillId="0" borderId="0" xfId="0" applyFont="1" applyAlignment="1">
      <alignment horizontal="center"/>
    </xf>
    <xf numFmtId="0" fontId="3" fillId="0" borderId="0" xfId="0" applyFont="1" applyBorder="1" applyAlignment="1">
      <alignment horizontal="left"/>
    </xf>
    <xf numFmtId="0" fontId="6" fillId="0" borderId="0" xfId="0" applyFont="1" applyAlignment="1">
      <alignment horizontal="left"/>
    </xf>
    <xf numFmtId="0" fontId="6" fillId="0" borderId="1" xfId="0" applyFont="1" applyBorder="1"/>
    <xf numFmtId="0" fontId="3" fillId="0" borderId="1" xfId="0" applyFont="1" applyBorder="1"/>
    <xf numFmtId="0" fontId="3" fillId="0" borderId="1" xfId="0" applyFont="1" applyBorder="1" applyAlignment="1">
      <alignment horizontal="right"/>
    </xf>
    <xf numFmtId="0" fontId="3" fillId="0" borderId="1" xfId="0" quotePrefix="1" applyFont="1" applyBorder="1"/>
    <xf numFmtId="0" fontId="3" fillId="0" borderId="0" xfId="0" applyFont="1" applyBorder="1"/>
    <xf numFmtId="0" fontId="7" fillId="0" borderId="0" xfId="0" applyFont="1"/>
    <xf numFmtId="0" fontId="8" fillId="0" borderId="0" xfId="0" applyFont="1"/>
    <xf numFmtId="0" fontId="5" fillId="0" borderId="0" xfId="0" applyFont="1"/>
    <xf numFmtId="0" fontId="6" fillId="0" borderId="0" xfId="0" applyFont="1" applyBorder="1"/>
    <xf numFmtId="0" fontId="3" fillId="0" borderId="2" xfId="0" applyFont="1" applyBorder="1"/>
    <xf numFmtId="0" fontId="3" fillId="0" borderId="3" xfId="0" applyFont="1" applyBorder="1"/>
    <xf numFmtId="0" fontId="9" fillId="0" borderId="0" xfId="0" applyFont="1"/>
    <xf numFmtId="0" fontId="6" fillId="0" borderId="0" xfId="0" applyFont="1"/>
    <xf numFmtId="0" fontId="9" fillId="0" borderId="0" xfId="0" applyFont="1" applyAlignment="1">
      <alignment horizontal="center"/>
    </xf>
    <xf numFmtId="0" fontId="3" fillId="0" borderId="0" xfId="0" quotePrefix="1" applyFont="1" applyAlignment="1">
      <alignment horizontal="left"/>
    </xf>
    <xf numFmtId="0" fontId="3" fillId="0" borderId="4" xfId="0" applyFont="1" applyBorder="1"/>
    <xf numFmtId="14" fontId="3" fillId="0" borderId="0" xfId="0" quotePrefix="1" applyNumberFormat="1" applyFont="1" applyAlignment="1">
      <alignment horizontal="left"/>
    </xf>
    <xf numFmtId="0" fontId="3" fillId="0" borderId="3" xfId="0" applyFont="1" applyBorder="1" applyAlignment="1">
      <alignment horizontal="left"/>
    </xf>
    <xf numFmtId="0" fontId="9" fillId="0" borderId="0" xfId="0" applyFont="1" applyBorder="1"/>
    <xf numFmtId="0" fontId="9" fillId="0" borderId="0" xfId="0" applyFont="1" applyBorder="1" applyAlignment="1">
      <alignment horizontal="center"/>
    </xf>
    <xf numFmtId="0" fontId="9" fillId="0" borderId="3" xfId="0" applyFont="1" applyBorder="1" applyAlignment="1">
      <alignment horizontal="center"/>
    </xf>
    <xf numFmtId="0" fontId="9" fillId="0" borderId="3" xfId="0" applyFont="1" applyBorder="1"/>
    <xf numFmtId="0" fontId="6" fillId="0" borderId="3" xfId="0" applyFont="1" applyBorder="1"/>
    <xf numFmtId="0" fontId="9" fillId="0" borderId="0" xfId="0" applyFont="1" applyBorder="1" applyAlignment="1">
      <alignment horizontal="left"/>
    </xf>
    <xf numFmtId="18" fontId="3" fillId="0" borderId="0" xfId="0" applyNumberFormat="1" applyFont="1"/>
    <xf numFmtId="0" fontId="3" fillId="0" borderId="3" xfId="0" applyFont="1" applyBorder="1" applyAlignment="1">
      <alignment horizontal="center"/>
    </xf>
    <xf numFmtId="0" fontId="6" fillId="0" borderId="0" xfId="0" applyFont="1" applyBorder="1" applyAlignment="1">
      <alignment horizontal="center"/>
    </xf>
    <xf numFmtId="165" fontId="3" fillId="0" borderId="0" xfId="1" applyFont="1" applyAlignment="1">
      <alignment horizontal="center"/>
    </xf>
    <xf numFmtId="165" fontId="3" fillId="0" borderId="0" xfId="1" applyFont="1" applyAlignment="1">
      <alignment horizontal="right"/>
    </xf>
    <xf numFmtId="165" fontId="3" fillId="0" borderId="0" xfId="1" applyFont="1" applyBorder="1" applyAlignment="1">
      <alignment horizontal="right"/>
    </xf>
    <xf numFmtId="165" fontId="3" fillId="0" borderId="2" xfId="1" applyFont="1" applyBorder="1" applyAlignment="1">
      <alignment horizontal="center"/>
    </xf>
    <xf numFmtId="165" fontId="3" fillId="0" borderId="0" xfId="1" applyFont="1" applyBorder="1" applyAlignment="1">
      <alignment horizontal="center"/>
    </xf>
    <xf numFmtId="165" fontId="3" fillId="0" borderId="0" xfId="1" applyFont="1" applyBorder="1"/>
    <xf numFmtId="165" fontId="3" fillId="0" borderId="0" xfId="0" applyNumberFormat="1" applyFont="1" applyBorder="1"/>
    <xf numFmtId="165" fontId="3" fillId="0" borderId="1" xfId="0" applyNumberFormat="1" applyFont="1" applyBorder="1"/>
    <xf numFmtId="165" fontId="3" fillId="0" borderId="0" xfId="1" applyFont="1"/>
    <xf numFmtId="0" fontId="6" fillId="0" borderId="3" xfId="0" applyFont="1" applyBorder="1" applyAlignment="1">
      <alignment horizontal="center"/>
    </xf>
    <xf numFmtId="165" fontId="3" fillId="0" borderId="3" xfId="1" applyFont="1" applyBorder="1"/>
    <xf numFmtId="165" fontId="3" fillId="0" borderId="3" xfId="1" applyFont="1" applyBorder="1" applyAlignment="1">
      <alignment horizontal="right"/>
    </xf>
    <xf numFmtId="165" fontId="3" fillId="0" borderId="3" xfId="1" quotePrefix="1" applyFont="1" applyBorder="1" applyAlignment="1">
      <alignment horizontal="right"/>
    </xf>
    <xf numFmtId="2" fontId="3" fillId="0" borderId="0" xfId="0" quotePrefix="1" applyNumberFormat="1" applyFont="1" applyBorder="1" applyAlignment="1">
      <alignment horizontal="right"/>
    </xf>
    <xf numFmtId="0" fontId="6" fillId="0" borderId="0" xfId="0" applyFont="1" applyAlignment="1">
      <alignment horizontal="center"/>
    </xf>
    <xf numFmtId="165" fontId="6" fillId="0" borderId="0" xfId="0" applyNumberFormat="1" applyFont="1"/>
    <xf numFmtId="165" fontId="3" fillId="0" borderId="1" xfId="1" applyFont="1" applyBorder="1"/>
    <xf numFmtId="165" fontId="3" fillId="0" borderId="0" xfId="1" applyFont="1" applyAlignment="1"/>
    <xf numFmtId="165" fontId="3" fillId="0" borderId="3" xfId="1" applyFont="1" applyBorder="1" applyAlignment="1"/>
    <xf numFmtId="165" fontId="3" fillId="0" borderId="3" xfId="1" applyFont="1" applyBorder="1" applyAlignment="1">
      <alignment horizontal="left"/>
    </xf>
    <xf numFmtId="165" fontId="3" fillId="0" borderId="0" xfId="1" applyFont="1" applyAlignment="1">
      <alignment horizontal="left"/>
    </xf>
    <xf numFmtId="0" fontId="3" fillId="0" borderId="0" xfId="0" applyFont="1" applyAlignment="1"/>
    <xf numFmtId="165" fontId="3" fillId="0" borderId="1" xfId="0" applyNumberFormat="1" applyFont="1" applyBorder="1" applyAlignment="1"/>
    <xf numFmtId="165" fontId="3" fillId="0" borderId="1" xfId="0" applyNumberFormat="1" applyFont="1" applyBorder="1" applyAlignment="1">
      <alignment horizontal="left"/>
    </xf>
    <xf numFmtId="165" fontId="3" fillId="0" borderId="0" xfId="0" applyNumberFormat="1" applyFont="1" applyBorder="1" applyAlignment="1">
      <alignment horizontal="center"/>
    </xf>
    <xf numFmtId="0" fontId="6" fillId="0" borderId="0" xfId="0" applyFont="1" applyAlignment="1">
      <alignment horizontal="right"/>
    </xf>
    <xf numFmtId="165" fontId="6" fillId="0" borderId="1" xfId="0" applyNumberFormat="1" applyFont="1" applyBorder="1" applyAlignment="1">
      <alignment horizontal="left"/>
    </xf>
    <xf numFmtId="0" fontId="5" fillId="0" borderId="0" xfId="0" applyFont="1" applyAlignment="1">
      <alignment horizontal="right"/>
    </xf>
    <xf numFmtId="0" fontId="3" fillId="0" borderId="0" xfId="0" quotePrefix="1" applyFont="1"/>
    <xf numFmtId="0" fontId="10" fillId="0" borderId="0" xfId="0" applyFont="1"/>
    <xf numFmtId="0" fontId="11" fillId="0" borderId="0" xfId="0" applyFont="1"/>
    <xf numFmtId="0" fontId="9" fillId="0" borderId="0" xfId="0" applyFont="1" applyBorder="1" applyAlignment="1"/>
    <xf numFmtId="0" fontId="5" fillId="0" borderId="0" xfId="0" applyFont="1" applyBorder="1"/>
    <xf numFmtId="165" fontId="9" fillId="0" borderId="0" xfId="1" applyFont="1" applyBorder="1" applyAlignment="1">
      <alignment horizontal="right"/>
    </xf>
    <xf numFmtId="0" fontId="6" fillId="0" borderId="0" xfId="0" applyFont="1" applyBorder="1" applyAlignment="1">
      <alignment horizontal="right"/>
    </xf>
    <xf numFmtId="0" fontId="3" fillId="0" borderId="5" xfId="0" quotePrefix="1" applyFont="1" applyBorder="1" applyAlignment="1">
      <alignment horizontal="left"/>
    </xf>
    <xf numFmtId="0" fontId="6" fillId="0" borderId="6" xfId="0" applyFont="1" applyBorder="1"/>
    <xf numFmtId="0" fontId="6" fillId="0" borderId="5" xfId="0" applyFont="1" applyBorder="1"/>
    <xf numFmtId="0" fontId="12" fillId="0" borderId="2" xfId="0" applyFont="1" applyBorder="1" applyAlignment="1">
      <alignment horizontal="center"/>
    </xf>
    <xf numFmtId="0" fontId="13" fillId="0" borderId="0" xfId="0" applyFont="1" applyBorder="1"/>
    <xf numFmtId="0" fontId="14" fillId="0" borderId="3" xfId="0" applyFont="1" applyBorder="1"/>
    <xf numFmtId="0" fontId="14" fillId="0" borderId="3" xfId="0" applyFont="1" applyBorder="1" applyAlignment="1">
      <alignment horizontal="left"/>
    </xf>
    <xf numFmtId="0" fontId="14" fillId="0" borderId="0" xfId="0" applyFont="1" applyBorder="1" applyAlignment="1">
      <alignment horizontal="center"/>
    </xf>
    <xf numFmtId="0" fontId="15" fillId="0" borderId="0" xfId="0" applyFont="1" applyAlignment="1">
      <alignment horizontal="left"/>
    </xf>
    <xf numFmtId="0" fontId="15" fillId="0" borderId="0" xfId="0" applyFont="1"/>
    <xf numFmtId="0" fontId="3" fillId="0" borderId="0" xfId="0" applyFont="1" applyBorder="1" applyAlignment="1">
      <alignment horizontal="center"/>
    </xf>
    <xf numFmtId="0" fontId="6" fillId="0" borderId="1" xfId="0" applyFont="1" applyBorder="1" applyAlignment="1">
      <alignment vertical="center"/>
    </xf>
    <xf numFmtId="0" fontId="6" fillId="0" borderId="1" xfId="0" applyFont="1" applyBorder="1" applyAlignment="1">
      <alignment horizontal="center" vertical="center" wrapText="1"/>
    </xf>
    <xf numFmtId="0" fontId="3" fillId="0" borderId="1" xfId="0" applyFont="1" applyBorder="1" applyAlignment="1">
      <alignment horizontal="center" wrapText="1"/>
    </xf>
    <xf numFmtId="165" fontId="3" fillId="0" borderId="7" xfId="1" applyFont="1" applyBorder="1"/>
    <xf numFmtId="0" fontId="16" fillId="0" borderId="0" xfId="0" applyFont="1" applyAlignment="1"/>
    <xf numFmtId="0" fontId="22" fillId="0" borderId="0" xfId="0" applyFont="1"/>
    <xf numFmtId="0" fontId="21" fillId="0" borderId="3" xfId="0" applyFont="1" applyBorder="1" applyAlignment="1">
      <alignment horizontal="center"/>
    </xf>
    <xf numFmtId="0" fontId="14" fillId="0" borderId="0" xfId="0" applyFont="1" applyBorder="1" applyAlignment="1">
      <alignment horizontal="left"/>
    </xf>
    <xf numFmtId="0" fontId="14" fillId="0" borderId="0" xfId="0" applyFont="1" applyBorder="1"/>
    <xf numFmtId="0" fontId="21" fillId="0" borderId="0" xfId="0" applyFont="1" applyBorder="1" applyAlignment="1">
      <alignment horizontal="center"/>
    </xf>
    <xf numFmtId="0" fontId="23" fillId="0" borderId="0" xfId="0" applyFont="1"/>
    <xf numFmtId="165" fontId="23" fillId="0" borderId="0" xfId="1" applyFont="1" applyBorder="1" applyAlignment="1">
      <alignment horizontal="left"/>
    </xf>
    <xf numFmtId="0" fontId="23" fillId="0" borderId="0" xfId="0" applyFont="1" applyBorder="1"/>
    <xf numFmtId="2" fontId="23" fillId="0" borderId="0" xfId="0" applyNumberFormat="1" applyFont="1" applyBorder="1"/>
    <xf numFmtId="0" fontId="3" fillId="0" borderId="0" xfId="0" applyFont="1" applyAlignment="1">
      <alignment horizontal="center"/>
    </xf>
    <xf numFmtId="0" fontId="24" fillId="0" borderId="0" xfId="0" applyFont="1" applyBorder="1"/>
    <xf numFmtId="165" fontId="6" fillId="0" borderId="0" xfId="1" applyFont="1" applyBorder="1" applyAlignment="1">
      <alignment horizontal="center"/>
    </xf>
    <xf numFmtId="165" fontId="3" fillId="0" borderId="3" xfId="1" applyFont="1" applyBorder="1" applyAlignment="1">
      <alignment horizontal="center"/>
    </xf>
    <xf numFmtId="165" fontId="6" fillId="0" borderId="7" xfId="0" applyNumberFormat="1" applyFont="1" applyBorder="1"/>
    <xf numFmtId="0" fontId="25" fillId="0" borderId="0" xfId="0" applyFont="1" applyAlignment="1">
      <alignment horizontal="left"/>
    </xf>
    <xf numFmtId="0" fontId="25" fillId="0" borderId="0" xfId="0" applyFont="1" applyAlignment="1">
      <alignment horizontal="right"/>
    </xf>
    <xf numFmtId="0" fontId="3" fillId="0" borderId="0" xfId="0" applyFont="1" applyAlignment="1">
      <alignment horizontal="center"/>
    </xf>
    <xf numFmtId="14" fontId="3" fillId="0" borderId="0" xfId="0" applyNumberFormat="1" applyFont="1" applyBorder="1"/>
    <xf numFmtId="14" fontId="3" fillId="0" borderId="0" xfId="0" applyNumberFormat="1" applyFont="1" applyAlignment="1">
      <alignment horizontal="left"/>
    </xf>
    <xf numFmtId="165" fontId="3" fillId="0" borderId="0" xfId="1" applyFont="1" applyBorder="1" applyAlignment="1">
      <alignment horizontal="left"/>
    </xf>
    <xf numFmtId="0" fontId="3" fillId="0" borderId="0" xfId="0" applyFont="1" applyBorder="1" applyAlignment="1"/>
    <xf numFmtId="0" fontId="3" fillId="0" borderId="0" xfId="0" applyFont="1" applyAlignment="1">
      <alignment horizontal="center"/>
    </xf>
    <xf numFmtId="165" fontId="27" fillId="0" borderId="0" xfId="1" applyFont="1" applyAlignment="1">
      <alignment horizontal="center"/>
    </xf>
    <xf numFmtId="0" fontId="29" fillId="0" borderId="0" xfId="2" applyFont="1" applyAlignment="1" applyProtection="1">
      <alignment horizontal="right"/>
    </xf>
    <xf numFmtId="0" fontId="30" fillId="2" borderId="1" xfId="0" applyFont="1" applyFill="1" applyBorder="1"/>
    <xf numFmtId="0" fontId="31" fillId="2" borderId="1" xfId="0" applyFont="1" applyFill="1" applyBorder="1"/>
    <xf numFmtId="0" fontId="31" fillId="2" borderId="1" xfId="0" applyFont="1" applyFill="1" applyBorder="1" applyAlignment="1">
      <alignment horizontal="center"/>
    </xf>
    <xf numFmtId="0" fontId="3" fillId="0" borderId="0" xfId="0" applyFont="1" applyAlignment="1">
      <alignment horizontal="left"/>
    </xf>
    <xf numFmtId="0" fontId="10" fillId="0" borderId="0" xfId="0" applyFont="1" applyAlignment="1">
      <alignment horizontal="center"/>
    </xf>
    <xf numFmtId="0" fontId="3" fillId="0" borderId="0" xfId="0" applyFont="1" applyAlignment="1">
      <alignment horizontal="center"/>
    </xf>
    <xf numFmtId="0" fontId="3" fillId="0" borderId="0" xfId="0" applyFont="1" applyAlignment="1">
      <alignment horizontal="left"/>
    </xf>
    <xf numFmtId="14" fontId="3" fillId="0" borderId="0" xfId="0" applyNumberFormat="1" applyFont="1"/>
    <xf numFmtId="165" fontId="3" fillId="0" borderId="0" xfId="0" applyNumberFormat="1" applyFont="1"/>
    <xf numFmtId="9" fontId="32" fillId="0" borderId="0" xfId="0" applyNumberFormat="1" applyFont="1"/>
    <xf numFmtId="0" fontId="3" fillId="0" borderId="0" xfId="0" applyFont="1" applyAlignment="1">
      <alignment horizontal="center"/>
    </xf>
    <xf numFmtId="0" fontId="3" fillId="0" borderId="0" xfId="0" applyFont="1" applyAlignment="1">
      <alignment horizontal="left"/>
    </xf>
    <xf numFmtId="0" fontId="33" fillId="0" borderId="0" xfId="0" applyFont="1"/>
    <xf numFmtId="0" fontId="3" fillId="0" borderId="0" xfId="0" applyFont="1" applyAlignment="1">
      <alignment horizontal="left"/>
    </xf>
    <xf numFmtId="0" fontId="0" fillId="0" borderId="8" xfId="0" applyBorder="1" applyAlignment="1">
      <alignment horizontal="right"/>
    </xf>
    <xf numFmtId="0" fontId="0" fillId="0" borderId="0" xfId="0" applyBorder="1"/>
    <xf numFmtId="0" fontId="0" fillId="0" borderId="9" xfId="0" applyBorder="1"/>
    <xf numFmtId="0" fontId="0" fillId="0" borderId="9" xfId="0" applyBorder="1" applyAlignment="1">
      <alignment horizontal="center"/>
    </xf>
    <xf numFmtId="0" fontId="0" fillId="4" borderId="10" xfId="0" applyFill="1" applyBorder="1" applyAlignment="1">
      <alignment horizontal="left"/>
    </xf>
    <xf numFmtId="0" fontId="0" fillId="5" borderId="11" xfId="0" applyFill="1" applyBorder="1"/>
    <xf numFmtId="164" fontId="0" fillId="0" borderId="12" xfId="1" applyNumberFormat="1" applyFont="1" applyBorder="1" applyAlignment="1">
      <alignment horizontal="center"/>
    </xf>
    <xf numFmtId="0" fontId="0" fillId="4" borderId="10" xfId="0" applyFill="1" applyBorder="1" applyAlignment="1">
      <alignment horizontal="right"/>
    </xf>
    <xf numFmtId="0" fontId="0" fillId="6" borderId="10" xfId="0" applyFill="1" applyBorder="1" applyAlignment="1">
      <alignment horizontal="left"/>
    </xf>
    <xf numFmtId="0" fontId="36" fillId="6" borderId="11" xfId="0" applyFont="1" applyFill="1" applyBorder="1"/>
    <xf numFmtId="0" fontId="0" fillId="6" borderId="10" xfId="0" applyFill="1" applyBorder="1" applyAlignment="1">
      <alignment horizontal="right"/>
    </xf>
    <xf numFmtId="0" fontId="36" fillId="2" borderId="0" xfId="0" applyFont="1" applyFill="1" applyBorder="1"/>
    <xf numFmtId="164" fontId="0" fillId="0" borderId="9" xfId="1" applyNumberFormat="1" applyFont="1" applyBorder="1" applyAlignment="1">
      <alignment horizontal="center"/>
    </xf>
    <xf numFmtId="0" fontId="0" fillId="7" borderId="10" xfId="0" applyFill="1" applyBorder="1" applyAlignment="1">
      <alignment horizontal="left"/>
    </xf>
    <xf numFmtId="0" fontId="36" fillId="7" borderId="11" xfId="0" applyFont="1" applyFill="1" applyBorder="1"/>
    <xf numFmtId="0" fontId="0" fillId="0" borderId="10" xfId="0" applyBorder="1" applyAlignment="1">
      <alignment horizontal="right"/>
    </xf>
    <xf numFmtId="0" fontId="0" fillId="0" borderId="11" xfId="0" applyBorder="1"/>
    <xf numFmtId="0" fontId="0" fillId="8" borderId="10" xfId="0" applyFill="1" applyBorder="1" applyAlignment="1">
      <alignment horizontal="right"/>
    </xf>
    <xf numFmtId="0" fontId="0" fillId="8" borderId="11" xfId="0" applyFill="1" applyBorder="1"/>
    <xf numFmtId="0" fontId="0" fillId="9" borderId="10" xfId="0" applyFill="1" applyBorder="1" applyAlignment="1">
      <alignment horizontal="right"/>
    </xf>
    <xf numFmtId="0" fontId="0" fillId="9" borderId="11" xfId="0" applyFill="1" applyBorder="1"/>
    <xf numFmtId="0" fontId="0" fillId="10" borderId="13" xfId="0" applyFill="1" applyBorder="1" applyAlignment="1">
      <alignment horizontal="right"/>
    </xf>
    <xf numFmtId="0" fontId="34" fillId="10" borderId="14" xfId="0" applyFont="1" applyFill="1" applyBorder="1"/>
    <xf numFmtId="164" fontId="0" fillId="10" borderId="15" xfId="1" applyNumberFormat="1" applyFont="1" applyFill="1" applyBorder="1" applyAlignment="1">
      <alignment horizontal="center"/>
    </xf>
    <xf numFmtId="0" fontId="33" fillId="0" borderId="0" xfId="0" applyFont="1" applyAlignment="1">
      <alignment horizontal="left"/>
    </xf>
    <xf numFmtId="0" fontId="33" fillId="0" borderId="0" xfId="0" applyFont="1" applyBorder="1" applyAlignment="1">
      <alignment horizontal="left"/>
    </xf>
    <xf numFmtId="0" fontId="0" fillId="0" borderId="19" xfId="0" applyBorder="1"/>
    <xf numFmtId="0" fontId="0" fillId="0" borderId="8" xfId="0" applyBorder="1"/>
    <xf numFmtId="0" fontId="0" fillId="0" borderId="20" xfId="0" applyBorder="1"/>
    <xf numFmtId="0" fontId="0" fillId="0" borderId="0" xfId="0" applyAlignment="1">
      <alignment horizontal="left"/>
    </xf>
    <xf numFmtId="0" fontId="3" fillId="0" borderId="0" xfId="0" applyFont="1" applyAlignment="1">
      <alignment horizontal="left"/>
    </xf>
    <xf numFmtId="0" fontId="3" fillId="0" borderId="0" xfId="0" applyFont="1" applyAlignment="1">
      <alignment horizontal="left"/>
    </xf>
    <xf numFmtId="0" fontId="1" fillId="0" borderId="0" xfId="0" applyFont="1" applyBorder="1" applyAlignment="1">
      <alignment horizontal="left"/>
    </xf>
    <xf numFmtId="0" fontId="0" fillId="0" borderId="0" xfId="0" applyBorder="1" applyAlignment="1">
      <alignment horizontal="left"/>
    </xf>
    <xf numFmtId="0" fontId="0" fillId="0" borderId="4" xfId="0" applyBorder="1" applyAlignment="1">
      <alignment horizontal="right"/>
    </xf>
    <xf numFmtId="0" fontId="0" fillId="0" borderId="5" xfId="0" applyBorder="1"/>
    <xf numFmtId="0" fontId="6" fillId="3" borderId="24" xfId="0" applyFont="1" applyFill="1" applyBorder="1" applyAlignment="1">
      <alignment horizontal="center"/>
    </xf>
    <xf numFmtId="0" fontId="6" fillId="3" borderId="1" xfId="0" applyFont="1" applyFill="1" applyBorder="1"/>
    <xf numFmtId="0" fontId="6" fillId="3" borderId="1" xfId="0" applyFont="1" applyFill="1" applyBorder="1" applyAlignment="1">
      <alignment horizontal="center"/>
    </xf>
    <xf numFmtId="0" fontId="6" fillId="3" borderId="25" xfId="0" applyFont="1" applyFill="1" applyBorder="1" applyAlignment="1">
      <alignment horizontal="center"/>
    </xf>
    <xf numFmtId="0" fontId="0" fillId="4" borderId="11" xfId="0" applyFill="1" applyBorder="1" applyAlignment="1">
      <alignment horizontal="center"/>
    </xf>
    <xf numFmtId="0" fontId="1" fillId="5" borderId="11" xfId="0" applyFont="1" applyFill="1" applyBorder="1"/>
    <xf numFmtId="165" fontId="0" fillId="5" borderId="24" xfId="1" applyFont="1" applyFill="1" applyBorder="1"/>
    <xf numFmtId="165" fontId="0" fillId="5" borderId="11" xfId="1" applyFont="1" applyFill="1" applyBorder="1"/>
    <xf numFmtId="2" fontId="1" fillId="0" borderId="0" xfId="0" applyNumberFormat="1" applyFont="1"/>
    <xf numFmtId="0" fontId="0" fillId="0" borderId="3" xfId="0" applyBorder="1"/>
    <xf numFmtId="165" fontId="0" fillId="5" borderId="25" xfId="1" applyFont="1" applyFill="1" applyBorder="1"/>
    <xf numFmtId="0" fontId="1" fillId="5" borderId="24" xfId="1" applyNumberFormat="1" applyFont="1" applyFill="1" applyBorder="1" applyAlignment="1"/>
    <xf numFmtId="0" fontId="1" fillId="4" borderId="11" xfId="0" applyFont="1" applyFill="1" applyBorder="1" applyAlignment="1">
      <alignment horizontal="center"/>
    </xf>
    <xf numFmtId="0" fontId="1" fillId="5" borderId="24" xfId="1" applyNumberFormat="1" applyFont="1" applyFill="1" applyBorder="1" applyAlignment="1">
      <alignment horizontal="right"/>
    </xf>
    <xf numFmtId="0" fontId="0" fillId="2" borderId="11" xfId="0" applyFill="1" applyBorder="1" applyAlignment="1">
      <alignment horizontal="center"/>
    </xf>
    <xf numFmtId="0" fontId="0" fillId="2" borderId="24" xfId="0" applyFill="1" applyBorder="1"/>
    <xf numFmtId="165" fontId="0" fillId="2" borderId="0" xfId="1" applyFont="1" applyFill="1" applyBorder="1"/>
    <xf numFmtId="165" fontId="0" fillId="2" borderId="26" xfId="1" applyFont="1" applyFill="1" applyBorder="1"/>
    <xf numFmtId="0" fontId="0" fillId="2" borderId="0" xfId="0" applyFill="1"/>
    <xf numFmtId="0" fontId="0" fillId="6" borderId="11" xfId="0" applyFill="1" applyBorder="1" applyAlignment="1">
      <alignment horizontal="center"/>
    </xf>
    <xf numFmtId="165" fontId="36" fillId="6" borderId="24" xfId="1" applyFont="1" applyFill="1" applyBorder="1"/>
    <xf numFmtId="165" fontId="36" fillId="6" borderId="11" xfId="1" applyFont="1" applyFill="1" applyBorder="1"/>
    <xf numFmtId="0" fontId="36" fillId="6" borderId="24" xfId="1" applyNumberFormat="1" applyFont="1" applyFill="1" applyBorder="1" applyAlignment="1"/>
    <xf numFmtId="0" fontId="1" fillId="6" borderId="11" xfId="0" applyFont="1" applyFill="1" applyBorder="1" applyAlignment="1">
      <alignment horizontal="center"/>
    </xf>
    <xf numFmtId="0" fontId="36" fillId="6" borderId="24" xfId="1" applyNumberFormat="1" applyFont="1" applyFill="1" applyBorder="1" applyAlignment="1">
      <alignment horizontal="right"/>
    </xf>
    <xf numFmtId="0" fontId="0" fillId="0" borderId="4" xfId="0" applyBorder="1" applyAlignment="1">
      <alignment horizontal="center"/>
    </xf>
    <xf numFmtId="165" fontId="36" fillId="2" borderId="0" xfId="1" applyFont="1" applyFill="1" applyBorder="1"/>
    <xf numFmtId="165" fontId="36" fillId="2" borderId="5" xfId="1" applyFont="1" applyFill="1" applyBorder="1"/>
    <xf numFmtId="0" fontId="0" fillId="7" borderId="11" xfId="0" applyFill="1" applyBorder="1" applyAlignment="1">
      <alignment horizontal="center"/>
    </xf>
    <xf numFmtId="165" fontId="36" fillId="7" borderId="24" xfId="1" applyFont="1" applyFill="1" applyBorder="1" applyAlignment="1"/>
    <xf numFmtId="165" fontId="0" fillId="0" borderId="0" xfId="1" applyFont="1" applyBorder="1"/>
    <xf numFmtId="165" fontId="0" fillId="0" borderId="5" xfId="1" applyFont="1" applyBorder="1"/>
    <xf numFmtId="0" fontId="0" fillId="0" borderId="11" xfId="0" applyBorder="1" applyAlignment="1">
      <alignment horizontal="center"/>
    </xf>
    <xf numFmtId="0" fontId="1" fillId="0" borderId="11" xfId="0" applyFont="1" applyBorder="1"/>
    <xf numFmtId="0" fontId="0" fillId="2" borderId="11" xfId="0" applyFill="1" applyBorder="1"/>
    <xf numFmtId="0" fontId="1" fillId="9" borderId="11" xfId="0" applyFont="1" applyFill="1" applyBorder="1" applyAlignment="1">
      <alignment horizontal="center"/>
    </xf>
    <xf numFmtId="0" fontId="1" fillId="9" borderId="10" xfId="0" applyFont="1" applyFill="1" applyBorder="1" applyAlignment="1">
      <alignment horizontal="right"/>
    </xf>
    <xf numFmtId="2" fontId="0" fillId="0" borderId="0" xfId="1" applyNumberFormat="1" applyFont="1" applyBorder="1"/>
    <xf numFmtId="2" fontId="0" fillId="0" borderId="5" xfId="1" applyNumberFormat="1" applyFont="1" applyBorder="1"/>
    <xf numFmtId="0" fontId="0" fillId="10" borderId="11" xfId="0" applyFill="1" applyBorder="1" applyAlignment="1">
      <alignment horizontal="right"/>
    </xf>
    <xf numFmtId="0" fontId="34" fillId="10" borderId="11" xfId="0" applyFont="1" applyFill="1" applyBorder="1" applyAlignment="1">
      <alignment horizontal="right"/>
    </xf>
    <xf numFmtId="0" fontId="3" fillId="0" borderId="0" xfId="0" applyFont="1" applyAlignment="1">
      <alignment horizontal="left"/>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center"/>
    </xf>
    <xf numFmtId="0" fontId="3" fillId="0" borderId="0" xfId="0" applyFont="1" applyAlignment="1">
      <alignment horizontal="left"/>
    </xf>
    <xf numFmtId="0" fontId="6" fillId="0" borderId="0" xfId="0" applyFont="1" applyAlignment="1">
      <alignment horizontal="left"/>
    </xf>
    <xf numFmtId="0" fontId="3" fillId="0" borderId="0" xfId="0" applyFont="1" applyAlignment="1">
      <alignment horizontal="left"/>
    </xf>
    <xf numFmtId="0" fontId="3" fillId="0" borderId="0" xfId="0" applyFont="1" applyAlignment="1">
      <alignment horizontal="left"/>
    </xf>
    <xf numFmtId="0" fontId="5" fillId="0" borderId="0" xfId="0" applyFont="1" applyAlignment="1">
      <alignment horizontal="left"/>
    </xf>
    <xf numFmtId="0" fontId="3" fillId="0" borderId="0" xfId="0" applyFont="1" applyAlignment="1">
      <alignment horizontal="center"/>
    </xf>
    <xf numFmtId="0" fontId="5" fillId="0" borderId="0" xfId="0" quotePrefix="1" applyFont="1"/>
    <xf numFmtId="0" fontId="3" fillId="0" borderId="0" xfId="0" applyFont="1" applyAlignment="1">
      <alignment horizontal="center"/>
    </xf>
    <xf numFmtId="0" fontId="38" fillId="0" borderId="0" xfId="0" applyFont="1"/>
    <xf numFmtId="0" fontId="16" fillId="0" borderId="0" xfId="0" applyFont="1" applyAlignment="1">
      <alignment horizontal="center"/>
    </xf>
    <xf numFmtId="0" fontId="19" fillId="0" borderId="0" xfId="0" applyFont="1" applyAlignment="1">
      <alignment horizontal="center"/>
    </xf>
    <xf numFmtId="0" fontId="10" fillId="0" borderId="0" xfId="0" applyFont="1" applyAlignment="1">
      <alignment horizontal="center"/>
    </xf>
    <xf numFmtId="0" fontId="20" fillId="0" borderId="0" xfId="0" applyFont="1" applyAlignment="1">
      <alignment horizontal="center"/>
    </xf>
    <xf numFmtId="0" fontId="18" fillId="0" borderId="0" xfId="0" applyFont="1" applyAlignment="1">
      <alignment horizontal="center"/>
    </xf>
    <xf numFmtId="0" fontId="3" fillId="0" borderId="0" xfId="0" applyFont="1" applyAlignment="1">
      <alignment horizontal="center"/>
    </xf>
    <xf numFmtId="0" fontId="17" fillId="0" borderId="0" xfId="0" applyFont="1" applyAlignment="1">
      <alignment horizontal="center"/>
    </xf>
    <xf numFmtId="0" fontId="28" fillId="0" borderId="0" xfId="0" applyFont="1" applyAlignment="1">
      <alignment horizontal="right" wrapText="1"/>
    </xf>
    <xf numFmtId="0" fontId="3" fillId="0" borderId="2" xfId="0" applyFont="1" applyBorder="1" applyAlignment="1">
      <alignment horizontal="center"/>
    </xf>
    <xf numFmtId="0" fontId="3" fillId="0" borderId="3" xfId="0" applyFont="1" applyBorder="1" applyAlignment="1">
      <alignment horizontal="center"/>
    </xf>
    <xf numFmtId="0" fontId="3" fillId="0" borderId="0" xfId="0" applyFont="1" applyAlignment="1">
      <alignment horizontal="left"/>
    </xf>
    <xf numFmtId="0" fontId="35" fillId="3" borderId="16" xfId="0" applyFont="1" applyFill="1" applyBorder="1" applyAlignment="1">
      <alignment horizontal="center"/>
    </xf>
    <xf numFmtId="0" fontId="35" fillId="3" borderId="17" xfId="0" applyFont="1" applyFill="1" applyBorder="1" applyAlignment="1">
      <alignment horizontal="center"/>
    </xf>
    <xf numFmtId="0" fontId="35" fillId="3" borderId="18" xfId="0" applyFont="1" applyFill="1" applyBorder="1" applyAlignment="1">
      <alignment horizontal="center"/>
    </xf>
    <xf numFmtId="0" fontId="33" fillId="0" borderId="0" xfId="0" applyFont="1" applyAlignment="1">
      <alignment horizontal="left"/>
    </xf>
    <xf numFmtId="2" fontId="37" fillId="10" borderId="24" xfId="1" applyNumberFormat="1" applyFont="1" applyFill="1" applyBorder="1" applyAlignment="1">
      <alignment horizontal="center"/>
    </xf>
    <xf numFmtId="2" fontId="37" fillId="10" borderId="1" xfId="1" applyNumberFormat="1" applyFont="1" applyFill="1" applyBorder="1" applyAlignment="1">
      <alignment horizontal="center"/>
    </xf>
    <xf numFmtId="2" fontId="37" fillId="10" borderId="25" xfId="1" applyNumberFormat="1" applyFont="1" applyFill="1" applyBorder="1" applyAlignment="1">
      <alignment horizontal="center"/>
    </xf>
    <xf numFmtId="2" fontId="0" fillId="6" borderId="24" xfId="1" applyNumberFormat="1" applyFont="1" applyFill="1" applyBorder="1" applyAlignment="1">
      <alignment horizontal="center"/>
    </xf>
    <xf numFmtId="2" fontId="0" fillId="6" borderId="1" xfId="1" applyNumberFormat="1" applyFont="1" applyFill="1" applyBorder="1" applyAlignment="1">
      <alignment horizontal="center"/>
    </xf>
    <xf numFmtId="2" fontId="0" fillId="6" borderId="25" xfId="1" applyNumberFormat="1" applyFont="1" applyFill="1" applyBorder="1" applyAlignment="1">
      <alignment horizontal="center"/>
    </xf>
    <xf numFmtId="2" fontId="36" fillId="7" borderId="1" xfId="1" applyNumberFormat="1" applyFont="1" applyFill="1" applyBorder="1" applyAlignment="1">
      <alignment horizontal="center"/>
    </xf>
    <xf numFmtId="2" fontId="36" fillId="7" borderId="25" xfId="1" applyNumberFormat="1" applyFont="1" applyFill="1" applyBorder="1" applyAlignment="1">
      <alignment horizontal="center"/>
    </xf>
    <xf numFmtId="2" fontId="0" fillId="0" borderId="24" xfId="1" applyNumberFormat="1" applyFont="1" applyBorder="1" applyAlignment="1">
      <alignment horizontal="center"/>
    </xf>
    <xf numFmtId="2" fontId="0" fillId="0" borderId="1" xfId="1" applyNumberFormat="1" applyFont="1" applyBorder="1" applyAlignment="1">
      <alignment horizontal="center"/>
    </xf>
    <xf numFmtId="2" fontId="0" fillId="0" borderId="25" xfId="1" applyNumberFormat="1" applyFont="1" applyBorder="1" applyAlignment="1">
      <alignment horizontal="center"/>
    </xf>
    <xf numFmtId="2" fontId="0" fillId="2" borderId="24" xfId="1" applyNumberFormat="1" applyFont="1" applyFill="1" applyBorder="1" applyAlignment="1">
      <alignment horizontal="center"/>
    </xf>
    <xf numFmtId="2" fontId="0" fillId="2" borderId="1" xfId="1" applyNumberFormat="1" applyFont="1" applyFill="1" applyBorder="1" applyAlignment="1">
      <alignment horizontal="center"/>
    </xf>
    <xf numFmtId="2" fontId="0" fillId="2" borderId="25" xfId="1" applyNumberFormat="1" applyFont="1" applyFill="1" applyBorder="1" applyAlignment="1">
      <alignment horizontal="center"/>
    </xf>
    <xf numFmtId="2" fontId="0" fillId="9" borderId="24" xfId="1" applyNumberFormat="1" applyFont="1" applyFill="1" applyBorder="1" applyAlignment="1">
      <alignment horizontal="center"/>
    </xf>
    <xf numFmtId="2" fontId="0" fillId="9" borderId="1" xfId="1" applyNumberFormat="1" applyFont="1" applyFill="1" applyBorder="1" applyAlignment="1">
      <alignment horizontal="center"/>
    </xf>
    <xf numFmtId="2" fontId="0" fillId="9" borderId="25" xfId="1" applyNumberFormat="1" applyFont="1" applyFill="1" applyBorder="1" applyAlignment="1">
      <alignment horizontal="center"/>
    </xf>
    <xf numFmtId="0" fontId="6" fillId="0" borderId="0" xfId="0" applyFont="1" applyAlignment="1">
      <alignment horizontal="left"/>
    </xf>
    <xf numFmtId="0" fontId="1" fillId="0" borderId="0" xfId="0" applyFont="1" applyAlignment="1">
      <alignment horizontal="left"/>
    </xf>
    <xf numFmtId="0" fontId="0" fillId="0" borderId="0" xfId="0" applyAlignment="1">
      <alignment horizontal="left"/>
    </xf>
    <xf numFmtId="0" fontId="1" fillId="0" borderId="0" xfId="0" applyFont="1" applyBorder="1" applyAlignment="1">
      <alignment horizontal="left"/>
    </xf>
    <xf numFmtId="0" fontId="0" fillId="0" borderId="0" xfId="0" applyBorder="1" applyAlignment="1">
      <alignment horizontal="left"/>
    </xf>
    <xf numFmtId="0" fontId="35" fillId="3" borderId="21" xfId="0" applyFont="1" applyFill="1" applyBorder="1" applyAlignment="1">
      <alignment horizontal="center"/>
    </xf>
    <xf numFmtId="0" fontId="35" fillId="3" borderId="22" xfId="0" applyFont="1" applyFill="1" applyBorder="1" applyAlignment="1">
      <alignment horizontal="center"/>
    </xf>
    <xf numFmtId="0" fontId="35" fillId="3" borderId="23" xfId="0" applyFont="1" applyFill="1" applyBorder="1" applyAlignment="1">
      <alignment horizontal="center"/>
    </xf>
    <xf numFmtId="2" fontId="1" fillId="5" borderId="24" xfId="1" applyNumberFormat="1" applyFont="1" applyFill="1" applyBorder="1" applyAlignment="1">
      <alignment horizontal="center"/>
    </xf>
    <xf numFmtId="2" fontId="1" fillId="5" borderId="1" xfId="1" applyNumberFormat="1" applyFont="1" applyFill="1" applyBorder="1" applyAlignment="1">
      <alignment horizontal="center"/>
    </xf>
    <xf numFmtId="2" fontId="1" fillId="5" borderId="25" xfId="1" applyNumberFormat="1" applyFont="1" applyFill="1" applyBorder="1" applyAlignment="1">
      <alignment horizontal="center"/>
    </xf>
  </cellXfs>
  <cellStyles count="3">
    <cellStyle name="Comma" xfId="1" builtinId="3"/>
    <cellStyle name="Hyperlink" xfId="2"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75</xdr:row>
      <xdr:rowOff>0</xdr:rowOff>
    </xdr:from>
    <xdr:to>
      <xdr:col>10</xdr:col>
      <xdr:colOff>971550</xdr:colOff>
      <xdr:row>77</xdr:row>
      <xdr:rowOff>95250</xdr:rowOff>
    </xdr:to>
    <xdr:sp macro="" textlink="">
      <xdr:nvSpPr>
        <xdr:cNvPr id="2" name="TextBox 1"/>
        <xdr:cNvSpPr txBox="1"/>
      </xdr:nvSpPr>
      <xdr:spPr>
        <a:xfrm>
          <a:off x="0" y="13576300"/>
          <a:ext cx="7092950" cy="463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pPr algn="just"/>
          <a:r>
            <a:rPr lang="en-US" sz="1000">
              <a:latin typeface="Verdana" pitchFamily="34" charset="0"/>
              <a:ea typeface="Verdana" pitchFamily="34" charset="0"/>
              <a:cs typeface="Verdana" pitchFamily="34" charset="0"/>
            </a:rPr>
            <a:t>As per the </a:t>
          </a:r>
        </a:p>
      </xdr:txBody>
    </xdr:sp>
    <xdr:clientData/>
  </xdr:twoCellAnchor>
  <xdr:twoCellAnchor editAs="oneCell">
    <xdr:from>
      <xdr:col>0</xdr:col>
      <xdr:colOff>0</xdr:colOff>
      <xdr:row>85</xdr:row>
      <xdr:rowOff>0</xdr:rowOff>
    </xdr:from>
    <xdr:to>
      <xdr:col>10</xdr:col>
      <xdr:colOff>990600</xdr:colOff>
      <xdr:row>90</xdr:row>
      <xdr:rowOff>57150</xdr:rowOff>
    </xdr:to>
    <xdr:sp macro="" textlink="">
      <xdr:nvSpPr>
        <xdr:cNvPr id="3" name="Text Box 356"/>
        <xdr:cNvSpPr txBox="1">
          <a:spLocks noChangeArrowheads="1"/>
        </xdr:cNvSpPr>
      </xdr:nvSpPr>
      <xdr:spPr bwMode="auto">
        <a:xfrm>
          <a:off x="0" y="15379700"/>
          <a:ext cx="7112000" cy="914400"/>
        </a:xfrm>
        <a:prstGeom prst="rect">
          <a:avLst/>
        </a:prstGeom>
        <a:noFill/>
        <a:ln w="9525" algn="ctr">
          <a:noFill/>
          <a:miter lim="800000"/>
          <a:headEnd/>
          <a:tailEnd/>
        </a:ln>
        <a:effectLst/>
      </xdr:spPr>
      <xdr:txBody>
        <a:bodyPr vertOverflow="clip" wrap="square" lIns="27432" tIns="22860" rIns="27432" bIns="0" anchor="t" upright="1"/>
        <a:lstStyle/>
        <a:p>
          <a:pPr algn="l" rtl="1">
            <a:defRPr sz="1000"/>
          </a:pPr>
          <a:r>
            <a:rPr lang="en-US" sz="1000" b="0" i="0" strike="noStrike">
              <a:solidFill>
                <a:srgbClr val="000000"/>
              </a:solidFill>
              <a:latin typeface="Verdana"/>
              <a:ea typeface="Verdana"/>
              <a:cs typeface="Verdana"/>
            </a:rPr>
            <a:t>As per the instructions received from your good office,I visited at repairers place,there the vehicle was minutely inspected by me.The damages to it were ascertained by me and fresh one and relevent to the cause &amp; nature of accident mentioned in the claim form.</a:t>
          </a:r>
        </a:p>
        <a:p>
          <a:pPr algn="l" rtl="1">
            <a:defRPr sz="1000"/>
          </a:pPr>
          <a:r>
            <a:rPr lang="en-US" sz="1000" b="0" i="0" strike="noStrike">
              <a:solidFill>
                <a:srgbClr val="000000"/>
              </a:solidFill>
              <a:latin typeface="Verdana"/>
              <a:ea typeface="Verdana"/>
              <a:cs typeface="Verdana"/>
            </a:rPr>
            <a:t>Then the loss to the said vehicle was discussed with the repairer and after prolonged discussion the loss was finalised for the final approval of insurers and an admission of liability.</a:t>
          </a:r>
        </a:p>
        <a:p>
          <a:pPr algn="l" rtl="1">
            <a:defRPr sz="1000"/>
          </a:pPr>
          <a:endParaRPr lang="en-US" sz="1000" b="0" i="0" strike="noStrike">
            <a:solidFill>
              <a:srgbClr val="000000"/>
            </a:solidFill>
            <a:latin typeface="Verdana"/>
            <a:ea typeface="Verdana"/>
            <a:cs typeface="Verdana"/>
          </a:endParaRPr>
        </a:p>
        <a:p>
          <a:pPr algn="l" rtl="1">
            <a:defRPr sz="1000"/>
          </a:pPr>
          <a:endParaRPr lang="en-US" sz="1000" b="0" i="0" strike="noStrike">
            <a:solidFill>
              <a:srgbClr val="000000"/>
            </a:solidFill>
            <a:latin typeface="Verdana"/>
            <a:ea typeface="Verdana"/>
            <a:cs typeface="Verdana"/>
          </a:endParaRPr>
        </a:p>
        <a:p>
          <a:pPr algn="l" rtl="1">
            <a:defRPr sz="1000"/>
          </a:pPr>
          <a:endParaRPr lang="en-US" sz="1000" b="0" i="0" strike="noStrike">
            <a:solidFill>
              <a:srgbClr val="000000"/>
            </a:solidFill>
            <a:latin typeface="Verdana"/>
            <a:ea typeface="Verdana"/>
            <a:cs typeface="Verdana"/>
          </a:endParaRPr>
        </a:p>
        <a:p>
          <a:pPr algn="l" rtl="1">
            <a:defRPr sz="1000"/>
          </a:pPr>
          <a:endParaRPr lang="en-US" sz="1000" b="0" i="0" strike="noStrike">
            <a:solidFill>
              <a:srgbClr val="000000"/>
            </a:solidFill>
            <a:latin typeface="Verdana"/>
            <a:ea typeface="Verdana"/>
            <a:cs typeface="Verdana"/>
          </a:endParaRPr>
        </a:p>
        <a:p>
          <a:pPr algn="l" rtl="1">
            <a:defRPr sz="1000"/>
          </a:pPr>
          <a:endParaRPr lang="en-US" sz="1000" b="0" i="0" strike="noStrike">
            <a:solidFill>
              <a:srgbClr val="000000"/>
            </a:solidFill>
            <a:latin typeface="Verdana"/>
            <a:ea typeface="Verdana"/>
            <a:cs typeface="Verdana"/>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495300</xdr:colOff>
      <xdr:row>67</xdr:row>
      <xdr:rowOff>152400</xdr:rowOff>
    </xdr:from>
    <xdr:to>
      <xdr:col>11</xdr:col>
      <xdr:colOff>571500</xdr:colOff>
      <xdr:row>69</xdr:row>
      <xdr:rowOff>28575</xdr:rowOff>
    </xdr:to>
    <xdr:sp macro="" textlink="">
      <xdr:nvSpPr>
        <xdr:cNvPr id="6" name="Text Box 299"/>
        <xdr:cNvSpPr txBox="1">
          <a:spLocks noChangeArrowheads="1"/>
        </xdr:cNvSpPr>
      </xdr:nvSpPr>
      <xdr:spPr bwMode="auto">
        <a:xfrm>
          <a:off x="7115175" y="14268450"/>
          <a:ext cx="76200" cy="200025"/>
        </a:xfrm>
        <a:prstGeom prst="rect">
          <a:avLst/>
        </a:prstGeom>
        <a:noFill/>
        <a:ln w="9525">
          <a:noFill/>
          <a:miter lim="800000"/>
          <a:headEnd/>
          <a:tailEnd/>
        </a:ln>
      </xdr:spPr>
    </xdr:sp>
    <xdr:clientData/>
  </xdr:twoCellAnchor>
  <xdr:twoCellAnchor>
    <xdr:from>
      <xdr:col>1</xdr:col>
      <xdr:colOff>28575</xdr:colOff>
      <xdr:row>28</xdr:row>
      <xdr:rowOff>38100</xdr:rowOff>
    </xdr:from>
    <xdr:to>
      <xdr:col>10</xdr:col>
      <xdr:colOff>809625</xdr:colOff>
      <xdr:row>31</xdr:row>
      <xdr:rowOff>123825</xdr:rowOff>
    </xdr:to>
    <xdr:sp macro="" textlink="">
      <xdr:nvSpPr>
        <xdr:cNvPr id="8" name="Text Box 320"/>
        <xdr:cNvSpPr txBox="1">
          <a:spLocks noChangeArrowheads="1"/>
        </xdr:cNvSpPr>
      </xdr:nvSpPr>
      <xdr:spPr bwMode="auto">
        <a:xfrm>
          <a:off x="28575" y="44843700"/>
          <a:ext cx="6372225" cy="571500"/>
        </a:xfrm>
        <a:prstGeom prst="rect">
          <a:avLst/>
        </a:prstGeom>
        <a:noFill/>
        <a:ln w="9525" algn="ctr">
          <a:solidFill>
            <a:srgbClr val="FFFFFF"/>
          </a:solidFill>
          <a:miter lim="800000"/>
          <a:headEnd/>
          <a:tailEnd/>
        </a:ln>
        <a:effectLst/>
      </xdr:spPr>
      <xdr:txBody>
        <a:bodyPr vertOverflow="clip" wrap="square" lIns="27432" tIns="22860" rIns="27432" bIns="0" anchor="t" upright="1"/>
        <a:lstStyle/>
        <a:p>
          <a:pPr algn="l" rtl="1">
            <a:defRPr sz="1000"/>
          </a:pPr>
          <a:r>
            <a:rPr lang="en-US" sz="1000" b="0" i="0" strike="noStrike">
              <a:solidFill>
                <a:srgbClr val="000000"/>
              </a:solidFill>
              <a:latin typeface="Verdana"/>
              <a:ea typeface="Verdana"/>
              <a:cs typeface="Verdana"/>
            </a:rPr>
            <a:t>                             As per the instructions received from your good office,I visited the repairers place M/S Aman Motors, on dated .There the vehicle was minutely reinspected by me and my observation are as under:</a:t>
          </a:r>
        </a:p>
      </xdr:txBody>
    </xdr:sp>
    <xdr:clientData/>
  </xdr:twoCellAnchor>
  <xdr:twoCellAnchor editAs="oneCell">
    <xdr:from>
      <xdr:col>1</xdr:col>
      <xdr:colOff>38100</xdr:colOff>
      <xdr:row>76</xdr:row>
      <xdr:rowOff>9525</xdr:rowOff>
    </xdr:from>
    <xdr:to>
      <xdr:col>1</xdr:col>
      <xdr:colOff>114300</xdr:colOff>
      <xdr:row>77</xdr:row>
      <xdr:rowOff>38100</xdr:rowOff>
    </xdr:to>
    <xdr:sp macro="" textlink="">
      <xdr:nvSpPr>
        <xdr:cNvPr id="9" name="Text Box 322"/>
        <xdr:cNvSpPr txBox="1">
          <a:spLocks noChangeArrowheads="1"/>
        </xdr:cNvSpPr>
      </xdr:nvSpPr>
      <xdr:spPr bwMode="auto">
        <a:xfrm>
          <a:off x="38100" y="15735300"/>
          <a:ext cx="76200" cy="200025"/>
        </a:xfrm>
        <a:prstGeom prst="rect">
          <a:avLst/>
        </a:prstGeom>
        <a:noFill/>
        <a:ln w="9525" algn="ctr">
          <a:noFill/>
          <a:miter lim="800000"/>
          <a:headEnd/>
          <a:tailEnd/>
        </a:ln>
      </xdr:spPr>
    </xdr:sp>
    <xdr:clientData/>
  </xdr:twoCellAnchor>
  <xdr:twoCellAnchor editAs="oneCell">
    <xdr:from>
      <xdr:col>2</xdr:col>
      <xdr:colOff>104775</xdr:colOff>
      <xdr:row>77</xdr:row>
      <xdr:rowOff>85725</xdr:rowOff>
    </xdr:from>
    <xdr:to>
      <xdr:col>2</xdr:col>
      <xdr:colOff>180975</xdr:colOff>
      <xdr:row>78</xdr:row>
      <xdr:rowOff>114300</xdr:rowOff>
    </xdr:to>
    <xdr:sp macro="" textlink="">
      <xdr:nvSpPr>
        <xdr:cNvPr id="10" name="Text Box 323"/>
        <xdr:cNvSpPr txBox="1">
          <a:spLocks noChangeArrowheads="1"/>
        </xdr:cNvSpPr>
      </xdr:nvSpPr>
      <xdr:spPr bwMode="auto">
        <a:xfrm>
          <a:off x="371475" y="15982950"/>
          <a:ext cx="76200" cy="200025"/>
        </a:xfrm>
        <a:prstGeom prst="rect">
          <a:avLst/>
        </a:prstGeom>
        <a:noFill/>
        <a:ln w="9525" algn="ctr">
          <a:noFill/>
          <a:miter lim="800000"/>
          <a:headEnd/>
          <a:tailEnd/>
        </a:ln>
      </xdr:spPr>
    </xdr:sp>
    <xdr:clientData/>
  </xdr:twoCellAnchor>
  <xdr:twoCellAnchor editAs="oneCell">
    <xdr:from>
      <xdr:col>2</xdr:col>
      <xdr:colOff>104775</xdr:colOff>
      <xdr:row>77</xdr:row>
      <xdr:rowOff>85725</xdr:rowOff>
    </xdr:from>
    <xdr:to>
      <xdr:col>2</xdr:col>
      <xdr:colOff>180975</xdr:colOff>
      <xdr:row>78</xdr:row>
      <xdr:rowOff>114300</xdr:rowOff>
    </xdr:to>
    <xdr:sp macro="" textlink="">
      <xdr:nvSpPr>
        <xdr:cNvPr id="11" name="Text Box 324"/>
        <xdr:cNvSpPr txBox="1">
          <a:spLocks noChangeArrowheads="1"/>
        </xdr:cNvSpPr>
      </xdr:nvSpPr>
      <xdr:spPr bwMode="auto">
        <a:xfrm>
          <a:off x="371475" y="15982950"/>
          <a:ext cx="76200" cy="200025"/>
        </a:xfrm>
        <a:prstGeom prst="rect">
          <a:avLst/>
        </a:prstGeom>
        <a:noFill/>
        <a:ln w="9525" algn="ctr">
          <a:noFill/>
          <a:miter lim="800000"/>
          <a:headEnd/>
          <a:tailEnd/>
        </a:ln>
      </xdr:spPr>
    </xdr:sp>
    <xdr:clientData/>
  </xdr:twoCellAnchor>
  <xdr:twoCellAnchor editAs="oneCell">
    <xdr:from>
      <xdr:col>1</xdr:col>
      <xdr:colOff>9525</xdr:colOff>
      <xdr:row>76</xdr:row>
      <xdr:rowOff>47625</xdr:rowOff>
    </xdr:from>
    <xdr:to>
      <xdr:col>1</xdr:col>
      <xdr:colOff>85725</xdr:colOff>
      <xdr:row>77</xdr:row>
      <xdr:rowOff>76200</xdr:rowOff>
    </xdr:to>
    <xdr:sp macro="" textlink="">
      <xdr:nvSpPr>
        <xdr:cNvPr id="12" name="Text Box 325"/>
        <xdr:cNvSpPr txBox="1">
          <a:spLocks noChangeArrowheads="1"/>
        </xdr:cNvSpPr>
      </xdr:nvSpPr>
      <xdr:spPr bwMode="auto">
        <a:xfrm>
          <a:off x="9525" y="15773400"/>
          <a:ext cx="76200" cy="200025"/>
        </a:xfrm>
        <a:prstGeom prst="rect">
          <a:avLst/>
        </a:prstGeom>
        <a:noFill/>
        <a:ln w="9525" algn="ctr">
          <a:noFill/>
          <a:miter lim="800000"/>
          <a:headEnd/>
          <a:tailEnd/>
        </a:ln>
      </xdr:spPr>
    </xdr:sp>
    <xdr:clientData/>
  </xdr:twoCellAnchor>
  <xdr:twoCellAnchor editAs="oneCell">
    <xdr:from>
      <xdr:col>1</xdr:col>
      <xdr:colOff>9525</xdr:colOff>
      <xdr:row>76</xdr:row>
      <xdr:rowOff>47625</xdr:rowOff>
    </xdr:from>
    <xdr:to>
      <xdr:col>1</xdr:col>
      <xdr:colOff>85725</xdr:colOff>
      <xdr:row>77</xdr:row>
      <xdr:rowOff>76200</xdr:rowOff>
    </xdr:to>
    <xdr:sp macro="" textlink="">
      <xdr:nvSpPr>
        <xdr:cNvPr id="13" name="Text Box 326"/>
        <xdr:cNvSpPr txBox="1">
          <a:spLocks noChangeArrowheads="1"/>
        </xdr:cNvSpPr>
      </xdr:nvSpPr>
      <xdr:spPr bwMode="auto">
        <a:xfrm>
          <a:off x="9525" y="15773400"/>
          <a:ext cx="76200" cy="200025"/>
        </a:xfrm>
        <a:prstGeom prst="rect">
          <a:avLst/>
        </a:prstGeom>
        <a:noFill/>
        <a:ln w="9525" algn="ctr">
          <a:noFill/>
          <a:miter lim="800000"/>
          <a:headEnd/>
          <a:tailEnd/>
        </a:ln>
      </xdr:spPr>
    </xdr:sp>
    <xdr:clientData/>
  </xdr:twoCellAnchor>
  <xdr:twoCellAnchor editAs="oneCell">
    <xdr:from>
      <xdr:col>1</xdr:col>
      <xdr:colOff>133350</xdr:colOff>
      <xdr:row>77</xdr:row>
      <xdr:rowOff>133350</xdr:rowOff>
    </xdr:from>
    <xdr:to>
      <xdr:col>1</xdr:col>
      <xdr:colOff>209550</xdr:colOff>
      <xdr:row>79</xdr:row>
      <xdr:rowOff>0</xdr:rowOff>
    </xdr:to>
    <xdr:sp macro="" textlink="">
      <xdr:nvSpPr>
        <xdr:cNvPr id="14" name="Text Box 327"/>
        <xdr:cNvSpPr txBox="1">
          <a:spLocks noChangeArrowheads="1"/>
        </xdr:cNvSpPr>
      </xdr:nvSpPr>
      <xdr:spPr bwMode="auto">
        <a:xfrm>
          <a:off x="133350" y="16030575"/>
          <a:ext cx="76200" cy="200025"/>
        </a:xfrm>
        <a:prstGeom prst="rect">
          <a:avLst/>
        </a:prstGeom>
        <a:noFill/>
        <a:ln w="9525" algn="ctr">
          <a:noFill/>
          <a:miter lim="800000"/>
          <a:headEnd/>
          <a:tailEnd/>
        </a:ln>
      </xdr:spPr>
    </xdr:sp>
    <xdr:clientData/>
  </xdr:twoCellAnchor>
  <xdr:twoCellAnchor editAs="oneCell">
    <xdr:from>
      <xdr:col>1</xdr:col>
      <xdr:colOff>133350</xdr:colOff>
      <xdr:row>77</xdr:row>
      <xdr:rowOff>133350</xdr:rowOff>
    </xdr:from>
    <xdr:to>
      <xdr:col>1</xdr:col>
      <xdr:colOff>209550</xdr:colOff>
      <xdr:row>79</xdr:row>
      <xdr:rowOff>0</xdr:rowOff>
    </xdr:to>
    <xdr:sp macro="" textlink="">
      <xdr:nvSpPr>
        <xdr:cNvPr id="15" name="Text Box 328"/>
        <xdr:cNvSpPr txBox="1">
          <a:spLocks noChangeArrowheads="1"/>
        </xdr:cNvSpPr>
      </xdr:nvSpPr>
      <xdr:spPr bwMode="auto">
        <a:xfrm>
          <a:off x="133350" y="16030575"/>
          <a:ext cx="76200" cy="200025"/>
        </a:xfrm>
        <a:prstGeom prst="rect">
          <a:avLst/>
        </a:prstGeom>
        <a:noFill/>
        <a:ln w="9525" algn="ctr">
          <a:noFill/>
          <a:miter lim="800000"/>
          <a:headEnd/>
          <a:tailEnd/>
        </a:ln>
      </xdr:spPr>
    </xdr:sp>
    <xdr:clientData/>
  </xdr:twoCellAnchor>
  <xdr:twoCellAnchor editAs="oneCell">
    <xdr:from>
      <xdr:col>1</xdr:col>
      <xdr:colOff>133350</xdr:colOff>
      <xdr:row>77</xdr:row>
      <xdr:rowOff>133350</xdr:rowOff>
    </xdr:from>
    <xdr:to>
      <xdr:col>1</xdr:col>
      <xdr:colOff>209550</xdr:colOff>
      <xdr:row>79</xdr:row>
      <xdr:rowOff>0</xdr:rowOff>
    </xdr:to>
    <xdr:sp macro="" textlink="">
      <xdr:nvSpPr>
        <xdr:cNvPr id="16" name="Text Box 329"/>
        <xdr:cNvSpPr txBox="1">
          <a:spLocks noChangeArrowheads="1"/>
        </xdr:cNvSpPr>
      </xdr:nvSpPr>
      <xdr:spPr bwMode="auto">
        <a:xfrm>
          <a:off x="133350" y="16030575"/>
          <a:ext cx="76200" cy="200025"/>
        </a:xfrm>
        <a:prstGeom prst="rect">
          <a:avLst/>
        </a:prstGeom>
        <a:noFill/>
        <a:ln w="9525" algn="ctr">
          <a:noFill/>
          <a:miter lim="800000"/>
          <a:headEnd/>
          <a:tailEnd/>
        </a:ln>
      </xdr:spPr>
    </xdr:sp>
    <xdr:clientData/>
  </xdr:twoCellAnchor>
  <xdr:twoCellAnchor editAs="oneCell">
    <xdr:from>
      <xdr:col>1</xdr:col>
      <xdr:colOff>76200</xdr:colOff>
      <xdr:row>76</xdr:row>
      <xdr:rowOff>133350</xdr:rowOff>
    </xdr:from>
    <xdr:to>
      <xdr:col>1</xdr:col>
      <xdr:colOff>152400</xdr:colOff>
      <xdr:row>78</xdr:row>
      <xdr:rowOff>0</xdr:rowOff>
    </xdr:to>
    <xdr:sp macro="" textlink="">
      <xdr:nvSpPr>
        <xdr:cNvPr id="17" name="Text Box 330"/>
        <xdr:cNvSpPr txBox="1">
          <a:spLocks noChangeArrowheads="1"/>
        </xdr:cNvSpPr>
      </xdr:nvSpPr>
      <xdr:spPr bwMode="auto">
        <a:xfrm>
          <a:off x="76200" y="15859125"/>
          <a:ext cx="76200" cy="200025"/>
        </a:xfrm>
        <a:prstGeom prst="rect">
          <a:avLst/>
        </a:prstGeom>
        <a:noFill/>
        <a:ln w="9525" algn="ctr">
          <a:noFill/>
          <a:miter lim="800000"/>
          <a:headEnd/>
          <a:tailEnd/>
        </a:ln>
      </xdr:spPr>
    </xdr:sp>
    <xdr:clientData/>
  </xdr:twoCellAnchor>
  <xdr:oneCellAnchor>
    <xdr:from>
      <xdr:col>2</xdr:col>
      <xdr:colOff>66675</xdr:colOff>
      <xdr:row>78</xdr:row>
      <xdr:rowOff>47625</xdr:rowOff>
    </xdr:from>
    <xdr:ext cx="19144" cy="180036"/>
    <xdr:sp macro="" textlink="">
      <xdr:nvSpPr>
        <xdr:cNvPr id="18" name="Text Box 332"/>
        <xdr:cNvSpPr txBox="1">
          <a:spLocks noChangeArrowheads="1"/>
        </xdr:cNvSpPr>
      </xdr:nvSpPr>
      <xdr:spPr bwMode="auto">
        <a:xfrm>
          <a:off x="333375" y="16116300"/>
          <a:ext cx="19144" cy="180036"/>
        </a:xfrm>
        <a:prstGeom prst="rect">
          <a:avLst/>
        </a:prstGeom>
        <a:noFill/>
        <a:ln w="9525" algn="ctr">
          <a:noFill/>
          <a:miter lim="800000"/>
          <a:headEnd/>
          <a:tailEnd/>
        </a:ln>
        <a:effectLst/>
      </xdr:spPr>
      <xdr:txBody>
        <a:bodyPr wrap="none" lIns="18288" tIns="22860" rIns="0" bIns="0" anchor="t" upright="1">
          <a:spAutoFit/>
        </a:bodyPr>
        <a:lstStyle/>
        <a:p>
          <a:pPr algn="l" rtl="1">
            <a:defRPr sz="1000"/>
          </a:pPr>
          <a:r>
            <a:rPr lang="en-US" sz="1000" b="0" i="0" strike="noStrike">
              <a:solidFill>
                <a:srgbClr val="000000"/>
              </a:solidFill>
              <a:latin typeface="Arial"/>
              <a:cs typeface="Arial"/>
            </a:rPr>
            <a:t>       </a:t>
          </a:r>
        </a:p>
      </xdr:txBody>
    </xdr:sp>
    <xdr:clientData/>
  </xdr:oneCellAnchor>
  <xdr:twoCellAnchor editAs="oneCell">
    <xdr:from>
      <xdr:col>2</xdr:col>
      <xdr:colOff>38100</xdr:colOff>
      <xdr:row>78</xdr:row>
      <xdr:rowOff>19050</xdr:rowOff>
    </xdr:from>
    <xdr:to>
      <xdr:col>2</xdr:col>
      <xdr:colOff>114300</xdr:colOff>
      <xdr:row>79</xdr:row>
      <xdr:rowOff>47625</xdr:rowOff>
    </xdr:to>
    <xdr:sp macro="" textlink="">
      <xdr:nvSpPr>
        <xdr:cNvPr id="19" name="Text Box 333"/>
        <xdr:cNvSpPr txBox="1">
          <a:spLocks noChangeArrowheads="1"/>
        </xdr:cNvSpPr>
      </xdr:nvSpPr>
      <xdr:spPr bwMode="auto">
        <a:xfrm>
          <a:off x="304800" y="16087725"/>
          <a:ext cx="76200" cy="200025"/>
        </a:xfrm>
        <a:prstGeom prst="rect">
          <a:avLst/>
        </a:prstGeom>
        <a:noFill/>
        <a:ln w="9525" algn="ctr">
          <a:noFill/>
          <a:miter lim="800000"/>
          <a:headEnd/>
          <a:tailEnd/>
        </a:ln>
      </xdr:spPr>
    </xdr:sp>
    <xdr:clientData/>
  </xdr:twoCellAnchor>
  <xdr:twoCellAnchor editAs="oneCell">
    <xdr:from>
      <xdr:col>1</xdr:col>
      <xdr:colOff>19050</xdr:colOff>
      <xdr:row>76</xdr:row>
      <xdr:rowOff>85725</xdr:rowOff>
    </xdr:from>
    <xdr:to>
      <xdr:col>1</xdr:col>
      <xdr:colOff>95250</xdr:colOff>
      <xdr:row>77</xdr:row>
      <xdr:rowOff>114300</xdr:rowOff>
    </xdr:to>
    <xdr:sp macro="" textlink="">
      <xdr:nvSpPr>
        <xdr:cNvPr id="20" name="Text Box 336"/>
        <xdr:cNvSpPr txBox="1">
          <a:spLocks noChangeArrowheads="1"/>
        </xdr:cNvSpPr>
      </xdr:nvSpPr>
      <xdr:spPr bwMode="auto">
        <a:xfrm>
          <a:off x="19050" y="15811500"/>
          <a:ext cx="76200" cy="200025"/>
        </a:xfrm>
        <a:prstGeom prst="rect">
          <a:avLst/>
        </a:prstGeom>
        <a:noFill/>
        <a:ln w="9525" algn="ctr">
          <a:noFill/>
          <a:miter lim="800000"/>
          <a:headEnd/>
          <a:tailEnd/>
        </a:ln>
      </xdr:spPr>
    </xdr:sp>
    <xdr:clientData/>
  </xdr:twoCellAnchor>
  <xdr:twoCellAnchor editAs="oneCell">
    <xdr:from>
      <xdr:col>2</xdr:col>
      <xdr:colOff>114300</xdr:colOff>
      <xdr:row>78</xdr:row>
      <xdr:rowOff>104775</xdr:rowOff>
    </xdr:from>
    <xdr:to>
      <xdr:col>2</xdr:col>
      <xdr:colOff>190500</xdr:colOff>
      <xdr:row>79</xdr:row>
      <xdr:rowOff>133350</xdr:rowOff>
    </xdr:to>
    <xdr:sp macro="" textlink="">
      <xdr:nvSpPr>
        <xdr:cNvPr id="21" name="Text Box 338"/>
        <xdr:cNvSpPr txBox="1">
          <a:spLocks noChangeArrowheads="1"/>
        </xdr:cNvSpPr>
      </xdr:nvSpPr>
      <xdr:spPr bwMode="auto">
        <a:xfrm>
          <a:off x="381000" y="16173450"/>
          <a:ext cx="76200" cy="200025"/>
        </a:xfrm>
        <a:prstGeom prst="rect">
          <a:avLst/>
        </a:prstGeom>
        <a:noFill/>
        <a:ln w="9525" algn="ctr">
          <a:noFill/>
          <a:miter lim="800000"/>
          <a:headEnd/>
          <a:tailEnd/>
        </a:ln>
      </xdr:spPr>
    </xdr:sp>
    <xdr:clientData/>
  </xdr:twoCellAnchor>
  <xdr:twoCellAnchor editAs="oneCell">
    <xdr:from>
      <xdr:col>1</xdr:col>
      <xdr:colOff>66675</xdr:colOff>
      <xdr:row>76</xdr:row>
      <xdr:rowOff>114300</xdr:rowOff>
    </xdr:from>
    <xdr:to>
      <xdr:col>1</xdr:col>
      <xdr:colOff>142875</xdr:colOff>
      <xdr:row>77</xdr:row>
      <xdr:rowOff>142875</xdr:rowOff>
    </xdr:to>
    <xdr:sp macro="" textlink="">
      <xdr:nvSpPr>
        <xdr:cNvPr id="22" name="Text Box 341"/>
        <xdr:cNvSpPr txBox="1">
          <a:spLocks noChangeArrowheads="1"/>
        </xdr:cNvSpPr>
      </xdr:nvSpPr>
      <xdr:spPr bwMode="auto">
        <a:xfrm>
          <a:off x="66675" y="15840075"/>
          <a:ext cx="76200" cy="200025"/>
        </a:xfrm>
        <a:prstGeom prst="rect">
          <a:avLst/>
        </a:prstGeom>
        <a:noFill/>
        <a:ln w="9525" algn="ctr">
          <a:noFill/>
          <a:miter lim="800000"/>
          <a:headEnd/>
          <a:tailEnd/>
        </a:ln>
      </xdr:spPr>
    </xdr:sp>
    <xdr:clientData/>
  </xdr:twoCellAnchor>
  <xdr:twoCellAnchor editAs="oneCell">
    <xdr:from>
      <xdr:col>1</xdr:col>
      <xdr:colOff>66675</xdr:colOff>
      <xdr:row>76</xdr:row>
      <xdr:rowOff>114300</xdr:rowOff>
    </xdr:from>
    <xdr:to>
      <xdr:col>1</xdr:col>
      <xdr:colOff>142875</xdr:colOff>
      <xdr:row>77</xdr:row>
      <xdr:rowOff>142875</xdr:rowOff>
    </xdr:to>
    <xdr:sp macro="" textlink="">
      <xdr:nvSpPr>
        <xdr:cNvPr id="23" name="Text Box 342"/>
        <xdr:cNvSpPr txBox="1">
          <a:spLocks noChangeArrowheads="1"/>
        </xdr:cNvSpPr>
      </xdr:nvSpPr>
      <xdr:spPr bwMode="auto">
        <a:xfrm>
          <a:off x="66675" y="15840075"/>
          <a:ext cx="76200" cy="200025"/>
        </a:xfrm>
        <a:prstGeom prst="rect">
          <a:avLst/>
        </a:prstGeom>
        <a:noFill/>
        <a:ln w="9525" algn="ctr">
          <a:noFill/>
          <a:miter lim="800000"/>
          <a:headEnd/>
          <a:tailEnd/>
        </a:ln>
      </xdr:spPr>
    </xdr:sp>
    <xdr:clientData/>
  </xdr:twoCellAnchor>
  <xdr:twoCellAnchor editAs="oneCell">
    <xdr:from>
      <xdr:col>9</xdr:col>
      <xdr:colOff>876300</xdr:colOff>
      <xdr:row>81</xdr:row>
      <xdr:rowOff>0</xdr:rowOff>
    </xdr:from>
    <xdr:to>
      <xdr:col>9</xdr:col>
      <xdr:colOff>885825</xdr:colOff>
      <xdr:row>82</xdr:row>
      <xdr:rowOff>28575</xdr:rowOff>
    </xdr:to>
    <xdr:sp macro="" textlink="">
      <xdr:nvSpPr>
        <xdr:cNvPr id="24" name="Text Box 345"/>
        <xdr:cNvSpPr txBox="1">
          <a:spLocks noChangeArrowheads="1"/>
        </xdr:cNvSpPr>
      </xdr:nvSpPr>
      <xdr:spPr bwMode="auto">
        <a:xfrm>
          <a:off x="5524500" y="16583025"/>
          <a:ext cx="76200" cy="200025"/>
        </a:xfrm>
        <a:prstGeom prst="rect">
          <a:avLst/>
        </a:prstGeom>
        <a:noFill/>
        <a:ln w="9525" algn="ctr">
          <a:noFill/>
          <a:miter lim="800000"/>
          <a:headEnd/>
          <a:tailEnd/>
        </a:ln>
      </xdr:spPr>
    </xdr:sp>
    <xdr:clientData/>
  </xdr:twoCellAnchor>
  <xdr:twoCellAnchor editAs="oneCell">
    <xdr:from>
      <xdr:col>5</xdr:col>
      <xdr:colOff>0</xdr:colOff>
      <xdr:row>81</xdr:row>
      <xdr:rowOff>0</xdr:rowOff>
    </xdr:from>
    <xdr:to>
      <xdr:col>5</xdr:col>
      <xdr:colOff>76200</xdr:colOff>
      <xdr:row>82</xdr:row>
      <xdr:rowOff>28575</xdr:rowOff>
    </xdr:to>
    <xdr:sp macro="" textlink="">
      <xdr:nvSpPr>
        <xdr:cNvPr id="25" name="Text Box 346"/>
        <xdr:cNvSpPr txBox="1">
          <a:spLocks noChangeArrowheads="1"/>
        </xdr:cNvSpPr>
      </xdr:nvSpPr>
      <xdr:spPr bwMode="auto">
        <a:xfrm>
          <a:off x="1885950" y="16583025"/>
          <a:ext cx="76200" cy="200025"/>
        </a:xfrm>
        <a:prstGeom prst="rect">
          <a:avLst/>
        </a:prstGeom>
        <a:noFill/>
        <a:ln w="9525" algn="ctr">
          <a:noFill/>
          <a:miter lim="800000"/>
          <a:headEnd/>
          <a:tailEnd/>
        </a:ln>
      </xdr:spPr>
    </xdr:sp>
    <xdr:clientData/>
  </xdr:twoCellAnchor>
  <xdr:twoCellAnchor editAs="oneCell">
    <xdr:from>
      <xdr:col>1</xdr:col>
      <xdr:colOff>66675</xdr:colOff>
      <xdr:row>76</xdr:row>
      <xdr:rowOff>104775</xdr:rowOff>
    </xdr:from>
    <xdr:to>
      <xdr:col>1</xdr:col>
      <xdr:colOff>142875</xdr:colOff>
      <xdr:row>77</xdr:row>
      <xdr:rowOff>133350</xdr:rowOff>
    </xdr:to>
    <xdr:sp macro="" textlink="">
      <xdr:nvSpPr>
        <xdr:cNvPr id="26" name="Text Box 347"/>
        <xdr:cNvSpPr txBox="1">
          <a:spLocks noChangeArrowheads="1"/>
        </xdr:cNvSpPr>
      </xdr:nvSpPr>
      <xdr:spPr bwMode="auto">
        <a:xfrm>
          <a:off x="66675" y="15830550"/>
          <a:ext cx="76200" cy="200025"/>
        </a:xfrm>
        <a:prstGeom prst="rect">
          <a:avLst/>
        </a:prstGeom>
        <a:noFill/>
        <a:ln w="9525" algn="ctr">
          <a:noFill/>
          <a:miter lim="800000"/>
          <a:headEnd/>
          <a:tailEnd/>
        </a:ln>
      </xdr:spPr>
    </xdr:sp>
    <xdr:clientData/>
  </xdr:twoCellAnchor>
  <xdr:twoCellAnchor editAs="oneCell">
    <xdr:from>
      <xdr:col>4</xdr:col>
      <xdr:colOff>0</xdr:colOff>
      <xdr:row>78</xdr:row>
      <xdr:rowOff>104775</xdr:rowOff>
    </xdr:from>
    <xdr:to>
      <xdr:col>4</xdr:col>
      <xdr:colOff>76200</xdr:colOff>
      <xdr:row>79</xdr:row>
      <xdr:rowOff>133350</xdr:rowOff>
    </xdr:to>
    <xdr:sp macro="" textlink="">
      <xdr:nvSpPr>
        <xdr:cNvPr id="27" name="Text Box 349"/>
        <xdr:cNvSpPr txBox="1">
          <a:spLocks noChangeArrowheads="1"/>
        </xdr:cNvSpPr>
      </xdr:nvSpPr>
      <xdr:spPr bwMode="auto">
        <a:xfrm>
          <a:off x="1028700" y="16173450"/>
          <a:ext cx="76200" cy="200025"/>
        </a:xfrm>
        <a:prstGeom prst="rect">
          <a:avLst/>
        </a:prstGeom>
        <a:noFill/>
        <a:ln w="9525" algn="ctr">
          <a:noFill/>
          <a:miter lim="800000"/>
          <a:headEnd/>
          <a:tailEnd/>
        </a:ln>
      </xdr:spPr>
    </xdr:sp>
    <xdr:clientData/>
  </xdr:twoCellAnchor>
  <xdr:twoCellAnchor editAs="oneCell">
    <xdr:from>
      <xdr:col>6</xdr:col>
      <xdr:colOff>9525</xdr:colOff>
      <xdr:row>81</xdr:row>
      <xdr:rowOff>0</xdr:rowOff>
    </xdr:from>
    <xdr:to>
      <xdr:col>6</xdr:col>
      <xdr:colOff>85725</xdr:colOff>
      <xdr:row>82</xdr:row>
      <xdr:rowOff>28575</xdr:rowOff>
    </xdr:to>
    <xdr:sp macro="" textlink="">
      <xdr:nvSpPr>
        <xdr:cNvPr id="28" name="Text Box 350"/>
        <xdr:cNvSpPr txBox="1">
          <a:spLocks noChangeArrowheads="1"/>
        </xdr:cNvSpPr>
      </xdr:nvSpPr>
      <xdr:spPr bwMode="auto">
        <a:xfrm>
          <a:off x="2514600" y="16583025"/>
          <a:ext cx="76200" cy="200025"/>
        </a:xfrm>
        <a:prstGeom prst="rect">
          <a:avLst/>
        </a:prstGeom>
        <a:noFill/>
        <a:ln w="9525" algn="ctr">
          <a:noFill/>
          <a:miter lim="800000"/>
          <a:headEnd/>
          <a:tailEnd/>
        </a:ln>
      </xdr:spPr>
    </xdr:sp>
    <xdr:clientData/>
  </xdr:twoCellAnchor>
  <xdr:twoCellAnchor editAs="oneCell">
    <xdr:from>
      <xdr:col>9</xdr:col>
      <xdr:colOff>152400</xdr:colOff>
      <xdr:row>81</xdr:row>
      <xdr:rowOff>0</xdr:rowOff>
    </xdr:from>
    <xdr:to>
      <xdr:col>9</xdr:col>
      <xdr:colOff>228600</xdr:colOff>
      <xdr:row>82</xdr:row>
      <xdr:rowOff>28575</xdr:rowOff>
    </xdr:to>
    <xdr:sp macro="" textlink="">
      <xdr:nvSpPr>
        <xdr:cNvPr id="29" name="Text Box 351"/>
        <xdr:cNvSpPr txBox="1">
          <a:spLocks noChangeArrowheads="1"/>
        </xdr:cNvSpPr>
      </xdr:nvSpPr>
      <xdr:spPr bwMode="auto">
        <a:xfrm>
          <a:off x="4800600" y="16583025"/>
          <a:ext cx="76200" cy="200025"/>
        </a:xfrm>
        <a:prstGeom prst="rect">
          <a:avLst/>
        </a:prstGeom>
        <a:noFill/>
        <a:ln w="9525" algn="ctr">
          <a:noFill/>
          <a:miter lim="800000"/>
          <a:headEnd/>
          <a:tailEnd/>
        </a:ln>
      </xdr:spPr>
    </xdr:sp>
    <xdr:clientData/>
  </xdr:twoCellAnchor>
  <xdr:twoCellAnchor editAs="oneCell">
    <xdr:from>
      <xdr:col>9</xdr:col>
      <xdr:colOff>123825</xdr:colOff>
      <xdr:row>81</xdr:row>
      <xdr:rowOff>0</xdr:rowOff>
    </xdr:from>
    <xdr:to>
      <xdr:col>9</xdr:col>
      <xdr:colOff>200025</xdr:colOff>
      <xdr:row>82</xdr:row>
      <xdr:rowOff>28575</xdr:rowOff>
    </xdr:to>
    <xdr:sp macro="" textlink="">
      <xdr:nvSpPr>
        <xdr:cNvPr id="30" name="Text Box 352"/>
        <xdr:cNvSpPr txBox="1">
          <a:spLocks noChangeArrowheads="1"/>
        </xdr:cNvSpPr>
      </xdr:nvSpPr>
      <xdr:spPr bwMode="auto">
        <a:xfrm>
          <a:off x="4772025" y="16583025"/>
          <a:ext cx="76200" cy="200025"/>
        </a:xfrm>
        <a:prstGeom prst="rect">
          <a:avLst/>
        </a:prstGeom>
        <a:noFill/>
        <a:ln w="9525" algn="ctr">
          <a:noFill/>
          <a:miter lim="800000"/>
          <a:headEnd/>
          <a:tailEnd/>
        </a:ln>
      </xdr:spPr>
    </xdr:sp>
    <xdr:clientData/>
  </xdr:twoCellAnchor>
  <xdr:twoCellAnchor editAs="oneCell">
    <xdr:from>
      <xdr:col>1</xdr:col>
      <xdr:colOff>66675</xdr:colOff>
      <xdr:row>76</xdr:row>
      <xdr:rowOff>133350</xdr:rowOff>
    </xdr:from>
    <xdr:to>
      <xdr:col>1</xdr:col>
      <xdr:colOff>142875</xdr:colOff>
      <xdr:row>78</xdr:row>
      <xdr:rowOff>0</xdr:rowOff>
    </xdr:to>
    <xdr:sp macro="" textlink="">
      <xdr:nvSpPr>
        <xdr:cNvPr id="31" name="Text Box 353"/>
        <xdr:cNvSpPr txBox="1">
          <a:spLocks noChangeArrowheads="1"/>
        </xdr:cNvSpPr>
      </xdr:nvSpPr>
      <xdr:spPr bwMode="auto">
        <a:xfrm>
          <a:off x="66675" y="15859125"/>
          <a:ext cx="76200" cy="200025"/>
        </a:xfrm>
        <a:prstGeom prst="rect">
          <a:avLst/>
        </a:prstGeom>
        <a:noFill/>
        <a:ln w="9525" algn="ctr">
          <a:noFill/>
          <a:miter lim="800000"/>
          <a:headEnd/>
          <a:tailEnd/>
        </a:ln>
      </xdr:spPr>
    </xdr:sp>
    <xdr:clientData/>
  </xdr:twoCellAnchor>
  <xdr:twoCellAnchor editAs="oneCell">
    <xdr:from>
      <xdr:col>1</xdr:col>
      <xdr:colOff>66675</xdr:colOff>
      <xdr:row>76</xdr:row>
      <xdr:rowOff>133350</xdr:rowOff>
    </xdr:from>
    <xdr:to>
      <xdr:col>1</xdr:col>
      <xdr:colOff>142875</xdr:colOff>
      <xdr:row>78</xdr:row>
      <xdr:rowOff>0</xdr:rowOff>
    </xdr:to>
    <xdr:sp macro="" textlink="">
      <xdr:nvSpPr>
        <xdr:cNvPr id="32" name="Text Box 354"/>
        <xdr:cNvSpPr txBox="1">
          <a:spLocks noChangeArrowheads="1"/>
        </xdr:cNvSpPr>
      </xdr:nvSpPr>
      <xdr:spPr bwMode="auto">
        <a:xfrm>
          <a:off x="66675" y="15859125"/>
          <a:ext cx="76200" cy="200025"/>
        </a:xfrm>
        <a:prstGeom prst="rect">
          <a:avLst/>
        </a:prstGeom>
        <a:noFill/>
        <a:ln w="9525" algn="ctr">
          <a:noFill/>
          <a:miter lim="800000"/>
          <a:headEnd/>
          <a:tailEnd/>
        </a:ln>
      </xdr:spPr>
    </xdr:sp>
    <xdr:clientData/>
  </xdr:twoCellAnchor>
  <xdr:twoCellAnchor editAs="oneCell">
    <xdr:from>
      <xdr:col>8</xdr:col>
      <xdr:colOff>0</xdr:colOff>
      <xdr:row>81</xdr:row>
      <xdr:rowOff>0</xdr:rowOff>
    </xdr:from>
    <xdr:to>
      <xdr:col>8</xdr:col>
      <xdr:colOff>76200</xdr:colOff>
      <xdr:row>82</xdr:row>
      <xdr:rowOff>28575</xdr:rowOff>
    </xdr:to>
    <xdr:sp macro="" textlink="">
      <xdr:nvSpPr>
        <xdr:cNvPr id="34" name="Text Box 357"/>
        <xdr:cNvSpPr txBox="1">
          <a:spLocks noChangeArrowheads="1"/>
        </xdr:cNvSpPr>
      </xdr:nvSpPr>
      <xdr:spPr bwMode="auto">
        <a:xfrm>
          <a:off x="3686175" y="16583025"/>
          <a:ext cx="76200" cy="200025"/>
        </a:xfrm>
        <a:prstGeom prst="rect">
          <a:avLst/>
        </a:prstGeom>
        <a:noFill/>
        <a:ln w="9525" algn="ctr">
          <a:noFill/>
          <a:miter lim="800000"/>
          <a:headEnd/>
          <a:tailEnd/>
        </a:ln>
      </xdr:spPr>
    </xdr:sp>
    <xdr:clientData/>
  </xdr:twoCellAnchor>
  <xdr:twoCellAnchor editAs="oneCell">
    <xdr:from>
      <xdr:col>6</xdr:col>
      <xdr:colOff>66675</xdr:colOff>
      <xdr:row>81</xdr:row>
      <xdr:rowOff>0</xdr:rowOff>
    </xdr:from>
    <xdr:to>
      <xdr:col>6</xdr:col>
      <xdr:colOff>142875</xdr:colOff>
      <xdr:row>82</xdr:row>
      <xdr:rowOff>28575</xdr:rowOff>
    </xdr:to>
    <xdr:sp macro="" textlink="">
      <xdr:nvSpPr>
        <xdr:cNvPr id="35" name="Text Box 358"/>
        <xdr:cNvSpPr txBox="1">
          <a:spLocks noChangeArrowheads="1"/>
        </xdr:cNvSpPr>
      </xdr:nvSpPr>
      <xdr:spPr bwMode="auto">
        <a:xfrm>
          <a:off x="2571750" y="16583025"/>
          <a:ext cx="76200" cy="200025"/>
        </a:xfrm>
        <a:prstGeom prst="rect">
          <a:avLst/>
        </a:prstGeom>
        <a:noFill/>
        <a:ln w="9525" algn="ctr">
          <a:noFill/>
          <a:miter lim="800000"/>
          <a:headEnd/>
          <a:tailEnd/>
        </a:ln>
      </xdr:spPr>
    </xdr:sp>
    <xdr:clientData/>
  </xdr:twoCellAnchor>
  <xdr:twoCellAnchor editAs="oneCell">
    <xdr:from>
      <xdr:col>7</xdr:col>
      <xdr:colOff>152400</xdr:colOff>
      <xdr:row>81</xdr:row>
      <xdr:rowOff>0</xdr:rowOff>
    </xdr:from>
    <xdr:to>
      <xdr:col>7</xdr:col>
      <xdr:colOff>228600</xdr:colOff>
      <xdr:row>82</xdr:row>
      <xdr:rowOff>28575</xdr:rowOff>
    </xdr:to>
    <xdr:sp macro="" textlink="">
      <xdr:nvSpPr>
        <xdr:cNvPr id="36" name="Text Box 359"/>
        <xdr:cNvSpPr txBox="1">
          <a:spLocks noChangeArrowheads="1"/>
        </xdr:cNvSpPr>
      </xdr:nvSpPr>
      <xdr:spPr bwMode="auto">
        <a:xfrm>
          <a:off x="2914650" y="16583025"/>
          <a:ext cx="76200" cy="200025"/>
        </a:xfrm>
        <a:prstGeom prst="rect">
          <a:avLst/>
        </a:prstGeom>
        <a:noFill/>
        <a:ln w="9525" algn="ctr">
          <a:noFill/>
          <a:miter lim="800000"/>
          <a:headEnd/>
          <a:tailEnd/>
        </a:ln>
      </xdr:spPr>
    </xdr:sp>
    <xdr:clientData/>
  </xdr:twoCellAnchor>
  <xdr:twoCellAnchor editAs="oneCell">
    <xdr:from>
      <xdr:col>5</xdr:col>
      <xdr:colOff>485775</xdr:colOff>
      <xdr:row>81</xdr:row>
      <xdr:rowOff>0</xdr:rowOff>
    </xdr:from>
    <xdr:to>
      <xdr:col>5</xdr:col>
      <xdr:colOff>561975</xdr:colOff>
      <xdr:row>82</xdr:row>
      <xdr:rowOff>28575</xdr:rowOff>
    </xdr:to>
    <xdr:sp macro="" textlink="">
      <xdr:nvSpPr>
        <xdr:cNvPr id="37" name="Text Box 360"/>
        <xdr:cNvSpPr txBox="1">
          <a:spLocks noChangeArrowheads="1"/>
        </xdr:cNvSpPr>
      </xdr:nvSpPr>
      <xdr:spPr bwMode="auto">
        <a:xfrm>
          <a:off x="2371725" y="16583025"/>
          <a:ext cx="76200" cy="200025"/>
        </a:xfrm>
        <a:prstGeom prst="rect">
          <a:avLst/>
        </a:prstGeom>
        <a:noFill/>
        <a:ln w="9525" algn="ctr">
          <a:noFill/>
          <a:miter lim="800000"/>
          <a:headEnd/>
          <a:tailEnd/>
        </a:ln>
      </xdr:spPr>
    </xdr:sp>
    <xdr:clientData/>
  </xdr:twoCellAnchor>
  <xdr:twoCellAnchor editAs="oneCell">
    <xdr:from>
      <xdr:col>9</xdr:col>
      <xdr:colOff>704850</xdr:colOff>
      <xdr:row>74</xdr:row>
      <xdr:rowOff>104775</xdr:rowOff>
    </xdr:from>
    <xdr:to>
      <xdr:col>9</xdr:col>
      <xdr:colOff>704850</xdr:colOff>
      <xdr:row>75</xdr:row>
      <xdr:rowOff>133350</xdr:rowOff>
    </xdr:to>
    <xdr:sp macro="" textlink="">
      <xdr:nvSpPr>
        <xdr:cNvPr id="38" name="Text Box 362"/>
        <xdr:cNvSpPr txBox="1">
          <a:spLocks noChangeArrowheads="1"/>
        </xdr:cNvSpPr>
      </xdr:nvSpPr>
      <xdr:spPr bwMode="auto">
        <a:xfrm>
          <a:off x="5353050" y="15487650"/>
          <a:ext cx="76200" cy="200025"/>
        </a:xfrm>
        <a:prstGeom prst="rect">
          <a:avLst/>
        </a:prstGeom>
        <a:noFill/>
        <a:ln w="9525" algn="ctr">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GST@28%25" TargetMode="External"/><Relationship Id="rId1" Type="http://schemas.openxmlformats.org/officeDocument/2006/relationships/hyperlink" Target="mailto:GST@18%2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71"/>
  <sheetViews>
    <sheetView showGridLines="0" tabSelected="1" view="pageBreakPreview" topLeftCell="B1" zoomScaleSheetLayoutView="100" workbookViewId="0">
      <selection activeCell="E9" sqref="E9"/>
    </sheetView>
  </sheetViews>
  <sheetFormatPr defaultColWidth="9.1796875" defaultRowHeight="13.5"/>
  <cols>
    <col min="1" max="1" width="0" style="4" hidden="1" customWidth="1"/>
    <col min="2" max="2" width="4" style="4" customWidth="1"/>
    <col min="3" max="3" width="8.453125" style="4" customWidth="1"/>
    <col min="4" max="4" width="3.26953125" style="4" customWidth="1"/>
    <col min="5" max="5" width="12.81640625" style="4" customWidth="1"/>
    <col min="6" max="6" width="9.26953125" style="4" customWidth="1"/>
    <col min="7" max="7" width="5.81640625" style="4" customWidth="1"/>
    <col min="8" max="8" width="13.81640625" style="4" customWidth="1"/>
    <col min="9" max="9" width="14.453125" style="4" customWidth="1"/>
    <col min="10" max="10" width="15.7265625" style="4" customWidth="1"/>
    <col min="11" max="11" width="15.453125" style="4" customWidth="1"/>
    <col min="12" max="12" width="19.81640625" style="4" customWidth="1"/>
    <col min="13" max="13" width="7.54296875" style="4" hidden="1" customWidth="1"/>
    <col min="14" max="14" width="0.1796875" style="4" customWidth="1"/>
    <col min="15" max="16" width="9.1796875" style="4"/>
    <col min="17" max="17" width="14.81640625" style="4" customWidth="1"/>
    <col min="18" max="16384" width="9.1796875" style="4"/>
  </cols>
  <sheetData>
    <row r="1" spans="1:15" ht="30" customHeight="1">
      <c r="B1" s="214" t="s">
        <v>116</v>
      </c>
      <c r="C1" s="214"/>
      <c r="D1" s="214"/>
      <c r="E1" s="214"/>
      <c r="F1" s="214"/>
      <c r="G1" s="214"/>
      <c r="H1" s="214"/>
      <c r="I1" s="214"/>
      <c r="J1" s="214"/>
      <c r="K1" s="214"/>
    </row>
    <row r="2" spans="1:15" ht="14.25" customHeight="1">
      <c r="B2" s="4" t="s">
        <v>82</v>
      </c>
      <c r="G2" s="4" t="s">
        <v>325</v>
      </c>
      <c r="H2" s="5"/>
      <c r="J2" s="6" t="s">
        <v>320</v>
      </c>
    </row>
    <row r="3" spans="1:15" ht="14.25" customHeight="1">
      <c r="B3" s="4" t="s">
        <v>342</v>
      </c>
      <c r="H3" s="5" t="s">
        <v>327</v>
      </c>
      <c r="J3" s="154" t="s">
        <v>321</v>
      </c>
    </row>
    <row r="4" spans="1:15" ht="13.5" customHeight="1">
      <c r="B4" s="4" t="s">
        <v>343</v>
      </c>
      <c r="H4" s="5"/>
      <c r="J4" s="7" t="s">
        <v>113</v>
      </c>
    </row>
    <row r="5" spans="1:15" ht="15.75" customHeight="1">
      <c r="B5" s="20" t="s">
        <v>172</v>
      </c>
      <c r="J5" s="7" t="s">
        <v>196</v>
      </c>
    </row>
    <row r="6" spans="1:15" ht="15.75" customHeight="1">
      <c r="B6" s="16"/>
    </row>
    <row r="7" spans="1:15" ht="6" customHeight="1">
      <c r="J7" s="7"/>
    </row>
    <row r="8" spans="1:15" ht="16.5" customHeight="1">
      <c r="B8" s="8" t="s">
        <v>66</v>
      </c>
      <c r="C8" s="8"/>
      <c r="D8" s="8"/>
      <c r="E8" s="8" t="s">
        <v>344</v>
      </c>
      <c r="F8" s="8"/>
      <c r="G8" s="8"/>
      <c r="H8" s="9"/>
      <c r="I8" s="9"/>
      <c r="J8" s="10" t="s">
        <v>3</v>
      </c>
      <c r="K8" s="11" t="s">
        <v>340</v>
      </c>
      <c r="L8" s="12"/>
    </row>
    <row r="9" spans="1:15" s="12" customFormat="1" ht="21" customHeight="1">
      <c r="A9" s="9"/>
      <c r="B9" s="4"/>
      <c r="C9" s="4"/>
      <c r="D9" s="4"/>
      <c r="E9" s="4"/>
      <c r="F9" s="4"/>
      <c r="G9" s="13"/>
      <c r="H9" s="2" t="s">
        <v>4</v>
      </c>
      <c r="I9" s="14"/>
      <c r="J9" s="14"/>
      <c r="K9" s="15"/>
    </row>
    <row r="10" spans="1:15" ht="6" customHeight="1">
      <c r="B10" s="12"/>
      <c r="C10" s="12"/>
      <c r="D10" s="12"/>
      <c r="E10" s="12"/>
      <c r="F10" s="12"/>
      <c r="G10" s="12"/>
      <c r="H10" s="16"/>
      <c r="I10" s="16"/>
      <c r="J10" s="16"/>
      <c r="K10" s="12"/>
    </row>
    <row r="11" spans="1:15" ht="15.75" customHeight="1">
      <c r="B11" s="222" t="s">
        <v>207</v>
      </c>
      <c r="C11" s="222"/>
      <c r="D11" s="222"/>
      <c r="E11" s="222"/>
      <c r="F11" s="222"/>
      <c r="G11" s="222"/>
      <c r="H11" s="222"/>
      <c r="I11" s="222"/>
      <c r="J11" s="222"/>
      <c r="K11" s="222"/>
      <c r="L11" s="12"/>
    </row>
    <row r="12" spans="1:15" ht="13.5" customHeight="1">
      <c r="B12" s="223" t="s">
        <v>208</v>
      </c>
      <c r="C12" s="223"/>
      <c r="D12" s="223"/>
      <c r="E12" s="223"/>
      <c r="F12" s="223"/>
      <c r="G12" s="223"/>
      <c r="H12" s="223"/>
      <c r="I12" s="223"/>
      <c r="J12" s="223"/>
      <c r="K12" s="223"/>
      <c r="L12" s="12"/>
    </row>
    <row r="13" spans="1:15" ht="6" customHeight="1"/>
    <row r="14" spans="1:15" ht="15.75" customHeight="1">
      <c r="B14" s="15" t="s">
        <v>107</v>
      </c>
      <c r="C14" s="15"/>
      <c r="D14" s="211"/>
      <c r="F14" s="15"/>
      <c r="H14" s="3" t="s">
        <v>170</v>
      </c>
      <c r="J14" s="62"/>
      <c r="K14" s="63"/>
      <c r="L14" s="12" t="s">
        <v>175</v>
      </c>
      <c r="O14" s="4" t="s">
        <v>176</v>
      </c>
    </row>
    <row r="15" spans="1:15" ht="6.65" customHeight="1">
      <c r="B15" s="15"/>
      <c r="C15" s="15"/>
      <c r="D15" s="63"/>
      <c r="E15" s="15"/>
      <c r="F15" s="15"/>
      <c r="G15" s="3"/>
      <c r="J15" s="62"/>
      <c r="K15" s="63"/>
      <c r="L15" s="63"/>
    </row>
    <row r="16" spans="1:15" ht="16.5" customHeight="1">
      <c r="B16" s="209" t="s">
        <v>134</v>
      </c>
      <c r="D16" s="211" t="s">
        <v>339</v>
      </c>
      <c r="E16" s="63"/>
      <c r="L16" s="15"/>
    </row>
    <row r="17" spans="2:12" ht="7" customHeight="1">
      <c r="B17" s="209"/>
      <c r="L17" s="15"/>
    </row>
    <row r="18" spans="2:12" ht="15.75" customHeight="1">
      <c r="B18" s="19" t="s">
        <v>0</v>
      </c>
      <c r="E18" s="19"/>
      <c r="F18" s="19"/>
      <c r="G18" s="7" t="s">
        <v>57</v>
      </c>
      <c r="H18" s="203" t="s">
        <v>173</v>
      </c>
    </row>
    <row r="19" spans="2:12" ht="15.75" customHeight="1">
      <c r="B19" s="19"/>
      <c r="E19" s="19"/>
      <c r="F19" s="19"/>
      <c r="G19" s="7"/>
      <c r="H19" s="203" t="s">
        <v>314</v>
      </c>
    </row>
    <row r="20" spans="2:12" ht="15.75" customHeight="1">
      <c r="G20" s="7"/>
      <c r="H20" s="203" t="s">
        <v>315</v>
      </c>
    </row>
    <row r="21" spans="2:12" ht="15.75" customHeight="1">
      <c r="G21" s="7"/>
      <c r="H21" s="1"/>
    </row>
    <row r="22" spans="2:12" ht="15.75" customHeight="1">
      <c r="B22" s="19" t="s">
        <v>1</v>
      </c>
      <c r="E22" s="19"/>
      <c r="F22" s="19"/>
      <c r="G22" s="7" t="s">
        <v>57</v>
      </c>
      <c r="H22" s="7"/>
    </row>
    <row r="23" spans="2:12" ht="15.75" customHeight="1">
      <c r="B23" s="19"/>
      <c r="E23" s="19"/>
      <c r="F23" s="19"/>
      <c r="G23" s="7"/>
      <c r="H23" s="123"/>
    </row>
    <row r="24" spans="2:12" ht="15.75" customHeight="1">
      <c r="G24" s="7"/>
      <c r="H24" s="123"/>
      <c r="I24" s="86"/>
    </row>
    <row r="25" spans="2:12" ht="15.75" customHeight="1">
      <c r="G25" s="7"/>
      <c r="H25" s="1"/>
    </row>
    <row r="26" spans="2:12" ht="15.75" customHeight="1">
      <c r="B26" s="19" t="s">
        <v>6</v>
      </c>
      <c r="E26" s="19"/>
      <c r="F26" s="19"/>
      <c r="G26" s="7" t="s">
        <v>57</v>
      </c>
      <c r="H26" s="123" t="s">
        <v>317</v>
      </c>
    </row>
    <row r="27" spans="2:12" ht="15.75" customHeight="1">
      <c r="B27" s="19"/>
      <c r="E27" s="19"/>
      <c r="F27" s="19"/>
      <c r="G27" s="7"/>
      <c r="H27" s="1"/>
    </row>
    <row r="28" spans="2:12" ht="15.75" customHeight="1">
      <c r="B28" s="19" t="s">
        <v>161</v>
      </c>
      <c r="E28" s="19"/>
      <c r="F28" s="19"/>
      <c r="G28" s="7" t="s">
        <v>57</v>
      </c>
      <c r="H28" s="100" t="s">
        <v>341</v>
      </c>
    </row>
    <row r="29" spans="2:12" ht="7.5" customHeight="1">
      <c r="B29" s="19"/>
      <c r="C29" s="19"/>
      <c r="D29" s="19"/>
      <c r="E29" s="19"/>
      <c r="F29" s="19"/>
      <c r="H29" s="7"/>
    </row>
    <row r="30" spans="2:12" ht="15.75" customHeight="1">
      <c r="B30" s="19" t="s">
        <v>2</v>
      </c>
      <c r="E30" s="19"/>
      <c r="F30" s="19"/>
      <c r="H30" s="20" t="s">
        <v>99</v>
      </c>
    </row>
    <row r="31" spans="2:12" ht="6" customHeight="1">
      <c r="B31" s="21"/>
      <c r="C31" s="19"/>
      <c r="D31" s="19"/>
      <c r="E31" s="19"/>
      <c r="F31" s="19"/>
      <c r="I31" s="20"/>
    </row>
    <row r="32" spans="2:12" ht="13.5" customHeight="1">
      <c r="B32" s="5" t="s">
        <v>7</v>
      </c>
      <c r="C32" s="4" t="s">
        <v>124</v>
      </c>
      <c r="G32" s="7" t="s">
        <v>57</v>
      </c>
      <c r="H32" s="7"/>
    </row>
    <row r="33" spans="2:12" ht="13.5" customHeight="1">
      <c r="B33" s="5" t="s">
        <v>8</v>
      </c>
      <c r="C33" s="4" t="s">
        <v>125</v>
      </c>
      <c r="G33" s="7" t="s">
        <v>57</v>
      </c>
      <c r="H33" s="22"/>
      <c r="J33" s="23" t="s">
        <v>112</v>
      </c>
    </row>
    <row r="34" spans="2:12" ht="13.5" customHeight="1">
      <c r="B34" s="5" t="s">
        <v>9</v>
      </c>
      <c r="C34" s="4" t="s">
        <v>126</v>
      </c>
      <c r="G34" s="7" t="s">
        <v>57</v>
      </c>
      <c r="H34" s="22"/>
      <c r="J34" s="23"/>
    </row>
    <row r="35" spans="2:12" ht="13.5" customHeight="1">
      <c r="B35" s="5" t="s">
        <v>10</v>
      </c>
      <c r="C35" s="4" t="s">
        <v>111</v>
      </c>
      <c r="G35" s="7" t="s">
        <v>57</v>
      </c>
      <c r="H35" s="24"/>
    </row>
    <row r="36" spans="2:12" ht="13.5" customHeight="1">
      <c r="B36" s="5" t="s">
        <v>11</v>
      </c>
      <c r="C36" s="4" t="s">
        <v>18</v>
      </c>
      <c r="G36" s="7" t="s">
        <v>57</v>
      </c>
      <c r="H36" s="123"/>
    </row>
    <row r="37" spans="2:12" ht="13.5" customHeight="1">
      <c r="B37" s="5" t="s">
        <v>12</v>
      </c>
      <c r="C37" s="4" t="s">
        <v>19</v>
      </c>
      <c r="G37" s="7" t="s">
        <v>57</v>
      </c>
      <c r="H37" s="1" t="s">
        <v>67</v>
      </c>
    </row>
    <row r="38" spans="2:12" ht="13.5" customHeight="1">
      <c r="B38" s="5" t="s">
        <v>13</v>
      </c>
      <c r="C38" s="4" t="s">
        <v>20</v>
      </c>
      <c r="G38" s="7" t="s">
        <v>57</v>
      </c>
      <c r="H38" s="116" t="s">
        <v>219</v>
      </c>
    </row>
    <row r="39" spans="2:12" ht="13.5" customHeight="1">
      <c r="B39" s="5" t="s">
        <v>14</v>
      </c>
      <c r="C39" s="4" t="s">
        <v>21</v>
      </c>
      <c r="G39" s="7" t="s">
        <v>57</v>
      </c>
      <c r="H39" s="22">
        <v>5</v>
      </c>
    </row>
    <row r="40" spans="2:12" ht="13.5" customHeight="1">
      <c r="B40" s="5" t="s">
        <v>26</v>
      </c>
      <c r="C40" s="4" t="s">
        <v>22</v>
      </c>
      <c r="G40" s="7" t="s">
        <v>57</v>
      </c>
      <c r="H40" s="113" t="s">
        <v>169</v>
      </c>
    </row>
    <row r="41" spans="2:12" ht="13.5" customHeight="1">
      <c r="B41" s="5" t="s">
        <v>27</v>
      </c>
      <c r="C41" s="4" t="s">
        <v>63</v>
      </c>
      <c r="G41" s="7" t="s">
        <v>57</v>
      </c>
      <c r="H41" s="113" t="s">
        <v>169</v>
      </c>
    </row>
    <row r="42" spans="2:12" ht="13.5" customHeight="1">
      <c r="B42" s="5" t="s">
        <v>28</v>
      </c>
      <c r="C42" s="4" t="s">
        <v>64</v>
      </c>
      <c r="G42" s="7" t="s">
        <v>57</v>
      </c>
      <c r="H42" s="113" t="s">
        <v>169</v>
      </c>
    </row>
    <row r="43" spans="2:12" ht="13.5" customHeight="1">
      <c r="B43" s="5" t="s">
        <v>29</v>
      </c>
      <c r="C43" s="4" t="s">
        <v>23</v>
      </c>
      <c r="G43" s="7" t="s">
        <v>57</v>
      </c>
      <c r="H43" s="113" t="s">
        <v>218</v>
      </c>
    </row>
    <row r="44" spans="2:12" ht="13.5" customHeight="1">
      <c r="B44" s="5" t="s">
        <v>30</v>
      </c>
      <c r="C44" s="4" t="s">
        <v>24</v>
      </c>
      <c r="G44" s="7" t="s">
        <v>57</v>
      </c>
      <c r="H44" s="1" t="s">
        <v>46</v>
      </c>
    </row>
    <row r="45" spans="2:12" ht="13.5" customHeight="1">
      <c r="B45" s="5" t="s">
        <v>58</v>
      </c>
      <c r="C45" s="4" t="s">
        <v>25</v>
      </c>
      <c r="G45" s="7" t="s">
        <v>57</v>
      </c>
      <c r="H45" s="1" t="s">
        <v>46</v>
      </c>
    </row>
    <row r="46" spans="2:12" ht="13.5" customHeight="1">
      <c r="B46" s="5" t="s">
        <v>108</v>
      </c>
      <c r="C46" s="4" t="s">
        <v>163</v>
      </c>
      <c r="G46" s="7" t="s">
        <v>57</v>
      </c>
      <c r="H46" s="123" t="s">
        <v>332</v>
      </c>
      <c r="L46" s="91" t="s">
        <v>177</v>
      </c>
    </row>
    <row r="47" spans="2:12" ht="13.5" customHeight="1">
      <c r="B47" s="5" t="s">
        <v>162</v>
      </c>
      <c r="C47" s="4" t="s">
        <v>109</v>
      </c>
      <c r="G47" s="7" t="s">
        <v>57</v>
      </c>
      <c r="H47" s="22"/>
    </row>
    <row r="48" spans="2:12" ht="13.5" customHeight="1">
      <c r="B48" s="18"/>
      <c r="C48" s="18"/>
      <c r="D48" s="18"/>
      <c r="E48" s="18"/>
      <c r="F48" s="18"/>
      <c r="G48" s="18"/>
      <c r="H48" s="25"/>
      <c r="I48" s="18"/>
      <c r="J48" s="18"/>
      <c r="K48" s="18"/>
    </row>
    <row r="49" spans="1:12" s="12" customFormat="1" ht="27" customHeight="1">
      <c r="A49" s="18"/>
      <c r="B49" s="19" t="s">
        <v>31</v>
      </c>
      <c r="E49" s="19"/>
      <c r="F49" s="19"/>
      <c r="G49" s="4"/>
      <c r="H49" s="20" t="s">
        <v>100</v>
      </c>
      <c r="J49" s="4"/>
      <c r="K49" s="4"/>
    </row>
    <row r="50" spans="1:12" ht="15.75" customHeight="1">
      <c r="B50" s="5" t="s">
        <v>7</v>
      </c>
      <c r="C50" s="4" t="s">
        <v>32</v>
      </c>
      <c r="G50" s="7" t="s">
        <v>57</v>
      </c>
      <c r="H50" s="123"/>
    </row>
    <row r="51" spans="1:12" ht="13.5" customHeight="1">
      <c r="B51" s="5" t="s">
        <v>8</v>
      </c>
      <c r="C51" s="4" t="s">
        <v>128</v>
      </c>
      <c r="G51" s="7" t="s">
        <v>57</v>
      </c>
      <c r="H51" s="123"/>
    </row>
    <row r="52" spans="1:12" ht="13.5" customHeight="1">
      <c r="B52" s="5" t="s">
        <v>9</v>
      </c>
      <c r="C52" s="4" t="s">
        <v>33</v>
      </c>
      <c r="G52" s="7" t="s">
        <v>57</v>
      </c>
      <c r="H52" s="24"/>
    </row>
    <row r="53" spans="1:12" ht="13.5" customHeight="1">
      <c r="B53" s="5" t="s">
        <v>10</v>
      </c>
      <c r="C53" s="4" t="s">
        <v>34</v>
      </c>
      <c r="G53" s="7" t="s">
        <v>57</v>
      </c>
      <c r="H53" s="24"/>
      <c r="L53" s="91" t="s">
        <v>178</v>
      </c>
    </row>
    <row r="54" spans="1:12" ht="13.5" customHeight="1">
      <c r="B54" s="5" t="s">
        <v>11</v>
      </c>
      <c r="C54" s="4" t="s">
        <v>106</v>
      </c>
      <c r="G54" s="7" t="s">
        <v>57</v>
      </c>
      <c r="H54" s="123"/>
    </row>
    <row r="55" spans="1:12" ht="13.5" customHeight="1">
      <c r="B55" s="5" t="s">
        <v>12</v>
      </c>
      <c r="C55" s="4" t="s">
        <v>35</v>
      </c>
      <c r="G55" s="7" t="s">
        <v>57</v>
      </c>
      <c r="H55" s="1" t="s">
        <v>97</v>
      </c>
    </row>
    <row r="56" spans="1:12" ht="13.5" customHeight="1">
      <c r="B56" s="5" t="s">
        <v>13</v>
      </c>
      <c r="C56" s="4" t="s">
        <v>36</v>
      </c>
      <c r="G56" s="7" t="s">
        <v>57</v>
      </c>
      <c r="H56" s="121" t="s">
        <v>318</v>
      </c>
    </row>
    <row r="57" spans="1:12" ht="13.5" customHeight="1">
      <c r="B57" s="5" t="s">
        <v>14</v>
      </c>
      <c r="C57" s="4" t="s">
        <v>37</v>
      </c>
      <c r="G57" s="7" t="s">
        <v>57</v>
      </c>
      <c r="H57" s="1" t="s">
        <v>169</v>
      </c>
    </row>
    <row r="58" spans="1:12" ht="13.5" customHeight="1">
      <c r="B58" s="5" t="s">
        <v>26</v>
      </c>
      <c r="C58" s="4" t="s">
        <v>110</v>
      </c>
      <c r="G58" s="7" t="s">
        <v>57</v>
      </c>
      <c r="H58" s="123"/>
    </row>
    <row r="59" spans="1:12" ht="13.5" customHeight="1">
      <c r="B59" s="18"/>
      <c r="C59" s="18"/>
      <c r="D59" s="18"/>
      <c r="E59" s="18"/>
      <c r="F59" s="18"/>
      <c r="G59" s="18"/>
      <c r="H59" s="18"/>
      <c r="I59" s="18"/>
      <c r="J59" s="18"/>
      <c r="K59" s="18"/>
    </row>
    <row r="60" spans="1:12" s="12" customFormat="1" ht="18" customHeight="1">
      <c r="B60" s="26" t="s">
        <v>60</v>
      </c>
      <c r="E60" s="26"/>
      <c r="F60" s="26"/>
      <c r="G60" s="16" t="s">
        <v>57</v>
      </c>
      <c r="H60" s="4" t="s">
        <v>115</v>
      </c>
      <c r="I60" s="4"/>
      <c r="J60" s="4"/>
      <c r="K60" s="4"/>
    </row>
    <row r="61" spans="1:12" s="12" customFormat="1" ht="9.75" customHeight="1">
      <c r="B61" s="29"/>
      <c r="C61" s="18"/>
      <c r="D61" s="18"/>
      <c r="E61" s="29"/>
      <c r="F61" s="29"/>
      <c r="G61" s="30"/>
      <c r="H61" s="18"/>
      <c r="I61" s="18"/>
      <c r="J61" s="18"/>
      <c r="K61" s="18"/>
    </row>
    <row r="62" spans="1:12" s="12" customFormat="1" ht="18.75" customHeight="1">
      <c r="A62" s="4"/>
      <c r="B62" s="26" t="s">
        <v>81</v>
      </c>
      <c r="E62" s="26"/>
      <c r="F62" s="26"/>
      <c r="G62" s="16" t="s">
        <v>57</v>
      </c>
      <c r="H62" s="4" t="s">
        <v>68</v>
      </c>
      <c r="I62" s="4"/>
      <c r="J62" s="4"/>
      <c r="K62" s="4"/>
    </row>
    <row r="63" spans="1:12" s="12" customFormat="1" ht="9.75" customHeight="1">
      <c r="A63" s="4"/>
      <c r="B63" s="28"/>
      <c r="C63" s="29"/>
      <c r="D63" s="29"/>
      <c r="E63" s="29"/>
      <c r="F63" s="29"/>
      <c r="G63" s="30"/>
      <c r="H63" s="18"/>
      <c r="I63" s="30"/>
      <c r="J63" s="30"/>
      <c r="K63" s="30"/>
    </row>
    <row r="64" spans="1:12" s="16" customFormat="1" ht="18.75" customHeight="1">
      <c r="A64" s="30"/>
      <c r="B64" s="26" t="s">
        <v>61</v>
      </c>
      <c r="E64" s="26"/>
      <c r="F64" s="26"/>
      <c r="G64" s="16" t="s">
        <v>57</v>
      </c>
      <c r="H64" s="4" t="s">
        <v>68</v>
      </c>
      <c r="I64" s="4"/>
      <c r="J64" s="4"/>
      <c r="K64" s="4"/>
    </row>
    <row r="65" spans="1:20" s="12" customFormat="1" ht="15.75" customHeight="1">
      <c r="A65" s="4"/>
      <c r="B65" s="28"/>
      <c r="C65" s="29"/>
      <c r="D65" s="29"/>
      <c r="E65" s="29"/>
      <c r="F65" s="29"/>
      <c r="G65" s="18"/>
      <c r="H65" s="18"/>
      <c r="I65" s="18"/>
      <c r="J65" s="18"/>
      <c r="K65" s="18"/>
    </row>
    <row r="66" spans="1:20" s="12" customFormat="1" ht="18.75" customHeight="1">
      <c r="A66" s="4"/>
      <c r="B66" s="26" t="s">
        <v>62</v>
      </c>
      <c r="E66" s="26"/>
      <c r="F66" s="26"/>
      <c r="H66" s="4"/>
      <c r="I66" s="4"/>
      <c r="J66" s="4"/>
      <c r="K66" s="4"/>
    </row>
    <row r="67" spans="1:20" s="12" customFormat="1" ht="15.75" customHeight="1">
      <c r="A67" s="4"/>
      <c r="B67" s="5" t="s">
        <v>7</v>
      </c>
      <c r="C67" s="4" t="s">
        <v>69</v>
      </c>
      <c r="D67" s="4"/>
      <c r="E67" s="4"/>
      <c r="F67" s="4"/>
      <c r="G67" s="7" t="s">
        <v>57</v>
      </c>
      <c r="H67" s="104"/>
      <c r="I67" s="4"/>
      <c r="J67" s="4"/>
      <c r="K67" s="4"/>
    </row>
    <row r="68" spans="1:20" s="12" customFormat="1" ht="13.5" customHeight="1">
      <c r="A68" s="4"/>
      <c r="B68" s="5" t="s">
        <v>8</v>
      </c>
      <c r="C68" s="4" t="s">
        <v>70</v>
      </c>
      <c r="D68" s="4"/>
      <c r="E68" s="4"/>
      <c r="F68" s="4"/>
      <c r="G68" s="7" t="s">
        <v>57</v>
      </c>
      <c r="H68" s="123"/>
      <c r="I68" s="4"/>
      <c r="J68" s="4"/>
      <c r="K68" s="4"/>
    </row>
    <row r="69" spans="1:20" s="12" customFormat="1" ht="13.5" customHeight="1">
      <c r="A69" s="4"/>
      <c r="B69" s="5" t="s">
        <v>9</v>
      </c>
      <c r="C69" s="4" t="s">
        <v>71</v>
      </c>
      <c r="D69" s="4"/>
      <c r="E69" s="4"/>
      <c r="F69" s="4"/>
      <c r="G69" s="7" t="s">
        <v>57</v>
      </c>
      <c r="H69" s="123"/>
      <c r="I69" s="4"/>
      <c r="J69" s="4"/>
      <c r="K69" s="4"/>
      <c r="L69" s="96" t="s">
        <v>195</v>
      </c>
    </row>
    <row r="70" spans="1:20" s="12" customFormat="1" ht="13.5" customHeight="1">
      <c r="A70" s="4"/>
      <c r="B70" s="5" t="s">
        <v>10</v>
      </c>
      <c r="C70" s="4" t="s">
        <v>72</v>
      </c>
      <c r="D70" s="4"/>
      <c r="E70" s="4"/>
      <c r="F70" s="4"/>
      <c r="G70" s="7" t="s">
        <v>57</v>
      </c>
      <c r="H70" s="24"/>
      <c r="I70" s="4"/>
      <c r="J70" s="4"/>
      <c r="K70" s="4"/>
    </row>
    <row r="71" spans="1:20" s="12" customFormat="1" ht="13.5" customHeight="1">
      <c r="A71" s="4"/>
      <c r="B71" s="5" t="s">
        <v>11</v>
      </c>
      <c r="C71" s="4" t="s">
        <v>73</v>
      </c>
      <c r="D71" s="4"/>
      <c r="E71" s="4"/>
      <c r="F71" s="4"/>
      <c r="G71" s="7" t="s">
        <v>57</v>
      </c>
      <c r="H71" s="24"/>
      <c r="I71" s="4"/>
      <c r="J71" s="4"/>
      <c r="K71" s="4"/>
    </row>
    <row r="72" spans="1:20" s="12" customFormat="1" ht="13.5" customHeight="1">
      <c r="A72" s="4"/>
      <c r="B72" s="18"/>
      <c r="C72" s="18"/>
      <c r="D72" s="18"/>
      <c r="E72" s="18"/>
      <c r="F72" s="18"/>
      <c r="G72" s="18"/>
      <c r="H72" s="18"/>
      <c r="I72" s="18"/>
      <c r="J72" s="18"/>
      <c r="K72" s="18"/>
    </row>
    <row r="73" spans="1:20" s="12" customFormat="1" ht="18.75" customHeight="1">
      <c r="A73" s="18"/>
      <c r="B73" s="31" t="s">
        <v>102</v>
      </c>
      <c r="E73" s="26"/>
      <c r="F73" s="26"/>
      <c r="G73" s="7" t="s">
        <v>57</v>
      </c>
      <c r="H73" s="32" t="str">
        <f>+CONCATENATE(L73,T73)</f>
        <v>20 Photographs were arranged by me at different angles.</v>
      </c>
      <c r="I73" s="4"/>
      <c r="J73" s="4"/>
      <c r="K73" s="4"/>
      <c r="L73" s="80">
        <v>20</v>
      </c>
      <c r="T73" s="32" t="s">
        <v>171</v>
      </c>
    </row>
    <row r="74" spans="1:20" s="12" customFormat="1" ht="15.75" customHeight="1">
      <c r="A74" s="4"/>
      <c r="B74" s="33"/>
      <c r="C74" s="18"/>
      <c r="D74" s="18"/>
      <c r="E74" s="18"/>
      <c r="F74" s="18"/>
      <c r="G74" s="18"/>
      <c r="H74" s="18"/>
      <c r="I74" s="18"/>
      <c r="J74" s="18"/>
      <c r="K74" s="18"/>
    </row>
    <row r="75" spans="1:20" s="12" customFormat="1" ht="18.75" customHeight="1">
      <c r="A75" s="18"/>
      <c r="B75" s="19" t="s">
        <v>103</v>
      </c>
      <c r="E75" s="19"/>
      <c r="F75" s="19"/>
      <c r="G75" s="4"/>
      <c r="H75" s="4"/>
      <c r="I75" s="4"/>
      <c r="J75" s="4"/>
      <c r="K75" s="4"/>
    </row>
    <row r="76" spans="1:20" s="12" customFormat="1" ht="15.75" customHeight="1">
      <c r="A76" s="4"/>
      <c r="B76" s="213"/>
      <c r="C76" s="4"/>
      <c r="D76" s="4"/>
      <c r="E76" s="4"/>
      <c r="F76" s="4"/>
      <c r="G76" s="4"/>
      <c r="H76" s="4"/>
      <c r="I76" s="4"/>
      <c r="J76" s="4"/>
      <c r="K76" s="4"/>
    </row>
    <row r="77" spans="1:20" s="12" customFormat="1" ht="13.5" customHeight="1">
      <c r="A77" s="4"/>
      <c r="B77" s="4"/>
      <c r="C77" s="4"/>
      <c r="D77" s="4"/>
      <c r="E77" s="4"/>
      <c r="F77" s="4"/>
      <c r="G77" s="4"/>
      <c r="H77" s="4"/>
      <c r="I77" s="4"/>
      <c r="J77" s="4"/>
      <c r="K77" s="4"/>
    </row>
    <row r="78" spans="1:20" s="12" customFormat="1" ht="13.5" customHeight="1">
      <c r="A78" s="4"/>
      <c r="B78" s="4"/>
      <c r="C78" s="4"/>
      <c r="D78" s="4"/>
      <c r="E78" s="4"/>
      <c r="F78" s="4"/>
      <c r="G78" s="4"/>
      <c r="H78" s="4"/>
      <c r="I78" s="4"/>
      <c r="J78" s="4"/>
      <c r="K78" s="4"/>
    </row>
    <row r="79" spans="1:20" ht="13.5" customHeight="1">
      <c r="B79" s="4" t="s">
        <v>38</v>
      </c>
    </row>
    <row r="80" spans="1:20" s="12" customFormat="1" ht="13.5" customHeight="1">
      <c r="A80" s="4"/>
      <c r="B80" s="4" t="s">
        <v>39</v>
      </c>
      <c r="E80" s="4"/>
      <c r="F80" s="4"/>
      <c r="G80" s="4"/>
      <c r="H80" s="4"/>
      <c r="I80" s="4" t="s">
        <v>114</v>
      </c>
      <c r="K80" s="4"/>
    </row>
    <row r="81" spans="1:12" s="12" customFormat="1" ht="13.5" customHeight="1">
      <c r="A81" s="4"/>
      <c r="B81" s="4" t="s">
        <v>40</v>
      </c>
      <c r="E81" s="4"/>
      <c r="F81" s="4"/>
      <c r="G81" s="4"/>
      <c r="H81" s="4"/>
      <c r="I81" s="4"/>
      <c r="J81" s="4"/>
      <c r="K81" s="4"/>
    </row>
    <row r="82" spans="1:12" s="12" customFormat="1" ht="13.5" customHeight="1">
      <c r="A82" s="4"/>
      <c r="B82" s="18"/>
      <c r="C82" s="18"/>
      <c r="D82" s="18"/>
      <c r="E82" s="18"/>
      <c r="F82" s="18"/>
      <c r="G82" s="18"/>
      <c r="H82" s="18"/>
      <c r="I82" s="18"/>
      <c r="J82" s="18"/>
      <c r="K82" s="18"/>
    </row>
    <row r="83" spans="1:12" s="12" customFormat="1" ht="18.75" customHeight="1">
      <c r="A83" s="18"/>
      <c r="B83" s="31" t="s">
        <v>41</v>
      </c>
      <c r="E83" s="26"/>
      <c r="F83" s="26"/>
      <c r="G83" s="7" t="s">
        <v>57</v>
      </c>
      <c r="H83" s="71" t="s">
        <v>95</v>
      </c>
      <c r="J83" s="4"/>
      <c r="K83" s="4"/>
    </row>
    <row r="84" spans="1:12" s="12" customFormat="1" ht="13.5" customHeight="1">
      <c r="A84" s="4"/>
      <c r="B84" s="4"/>
      <c r="C84" s="4"/>
      <c r="D84" s="4"/>
      <c r="E84" s="4"/>
      <c r="F84" s="4"/>
      <c r="G84" s="4"/>
      <c r="H84" s="72" t="s">
        <v>59</v>
      </c>
      <c r="I84" s="4" t="s">
        <v>101</v>
      </c>
      <c r="J84" s="4"/>
      <c r="K84" s="4"/>
    </row>
    <row r="85" spans="1:12" s="12" customFormat="1" ht="13.5" customHeight="1">
      <c r="A85" s="4"/>
      <c r="B85" s="18"/>
      <c r="C85" s="18"/>
      <c r="D85" s="18"/>
      <c r="E85" s="18"/>
      <c r="F85" s="18"/>
      <c r="G85" s="18"/>
      <c r="H85" s="18"/>
      <c r="I85" s="18"/>
      <c r="J85" s="18"/>
      <c r="K85" s="18"/>
    </row>
    <row r="86" spans="1:12" s="12" customFormat="1" ht="13.5" customHeight="1">
      <c r="A86" s="18"/>
      <c r="B86" s="4"/>
      <c r="C86" s="4"/>
      <c r="D86" s="4"/>
      <c r="E86" s="4"/>
      <c r="F86" s="4"/>
      <c r="G86" s="4"/>
      <c r="H86" s="4"/>
      <c r="I86" s="4"/>
      <c r="J86" s="4"/>
      <c r="K86" s="4"/>
    </row>
    <row r="87" spans="1:12" s="12" customFormat="1" ht="13.5" customHeight="1">
      <c r="B87" s="4"/>
      <c r="C87" s="4"/>
      <c r="D87" s="4"/>
      <c r="E87" s="4"/>
      <c r="F87" s="4"/>
      <c r="G87" s="4"/>
      <c r="H87" s="4"/>
      <c r="I87" s="4"/>
      <c r="J87" s="4"/>
      <c r="K87" s="4"/>
    </row>
    <row r="88" spans="1:12" s="12" customFormat="1" ht="13.5" customHeight="1">
      <c r="B88" s="4"/>
      <c r="C88" s="4"/>
      <c r="D88" s="4"/>
      <c r="E88" s="4"/>
      <c r="F88" s="4"/>
      <c r="G88" s="4"/>
      <c r="H88" s="4"/>
      <c r="I88" s="4"/>
      <c r="J88" s="4"/>
      <c r="K88" s="4"/>
    </row>
    <row r="89" spans="1:12" s="12" customFormat="1" ht="13.5" customHeight="1">
      <c r="B89" s="4"/>
      <c r="C89" s="4"/>
      <c r="D89" s="4"/>
      <c r="E89" s="4"/>
      <c r="F89" s="4"/>
      <c r="G89" s="4"/>
      <c r="H89" s="4"/>
      <c r="I89" s="4"/>
      <c r="J89" s="4"/>
      <c r="K89" s="4"/>
    </row>
    <row r="90" spans="1:12" s="12" customFormat="1" ht="13.5" customHeight="1">
      <c r="B90" s="4"/>
      <c r="C90" s="4"/>
      <c r="D90" s="4"/>
      <c r="E90" s="4"/>
      <c r="F90" s="4"/>
      <c r="G90" s="4"/>
      <c r="H90" s="4"/>
      <c r="I90" s="4"/>
      <c r="J90" s="4"/>
      <c r="K90" s="4"/>
    </row>
    <row r="91" spans="1:12" s="12" customFormat="1" ht="13.5" customHeight="1">
      <c r="A91" s="4"/>
      <c r="B91" s="18"/>
      <c r="C91" s="18"/>
      <c r="D91" s="18"/>
      <c r="E91" s="18"/>
      <c r="F91" s="18"/>
      <c r="G91" s="18"/>
      <c r="H91" s="18"/>
      <c r="I91" s="18"/>
      <c r="J91" s="18"/>
      <c r="K91" s="18"/>
    </row>
    <row r="92" spans="1:12" s="12" customFormat="1" ht="15.75" customHeight="1">
      <c r="A92" s="18"/>
      <c r="B92" s="26"/>
      <c r="C92" s="26"/>
      <c r="D92" s="26"/>
      <c r="E92" s="26"/>
      <c r="F92" s="74" t="s">
        <v>65</v>
      </c>
      <c r="I92" s="73" t="s">
        <v>80</v>
      </c>
      <c r="J92" s="73" t="s">
        <v>122</v>
      </c>
      <c r="K92" s="77" t="s">
        <v>104</v>
      </c>
    </row>
    <row r="93" spans="1:12" s="12" customFormat="1" ht="15.75" customHeight="1">
      <c r="A93" s="17"/>
      <c r="B93" s="76" t="s">
        <v>42</v>
      </c>
      <c r="C93" s="18"/>
      <c r="D93" s="18"/>
      <c r="E93" s="30"/>
      <c r="F93" s="75" t="s">
        <v>43</v>
      </c>
      <c r="G93" s="18"/>
      <c r="H93" s="18"/>
      <c r="I93" s="87"/>
      <c r="J93" s="87"/>
      <c r="K93" s="18"/>
      <c r="L93" s="27"/>
    </row>
    <row r="94" spans="1:12" s="12" customFormat="1" ht="6" customHeight="1">
      <c r="B94" s="88"/>
      <c r="E94" s="16"/>
      <c r="F94" s="89"/>
      <c r="I94" s="90"/>
      <c r="J94" s="90"/>
      <c r="L94" s="27"/>
    </row>
    <row r="95" spans="1:12" s="12" customFormat="1" ht="15.75" customHeight="1">
      <c r="B95" s="5">
        <v>1</v>
      </c>
      <c r="C95" s="4" t="s">
        <v>210</v>
      </c>
      <c r="D95" s="4"/>
      <c r="F95" s="4"/>
      <c r="G95" s="4"/>
      <c r="H95" s="4"/>
      <c r="I95" s="36">
        <v>0</v>
      </c>
      <c r="J95" s="36">
        <v>0</v>
      </c>
      <c r="K95" s="80"/>
      <c r="L95" s="34"/>
    </row>
    <row r="96" spans="1:12" s="12" customFormat="1" ht="15.75" customHeight="1">
      <c r="B96" s="210">
        <v>2</v>
      </c>
      <c r="C96" s="4" t="s">
        <v>210</v>
      </c>
      <c r="D96" s="4"/>
      <c r="F96" s="4"/>
      <c r="G96" s="4"/>
      <c r="H96" s="4"/>
      <c r="I96" s="36">
        <v>0</v>
      </c>
      <c r="J96" s="36">
        <v>0</v>
      </c>
      <c r="K96" s="80"/>
      <c r="L96" s="34"/>
    </row>
    <row r="97" spans="1:12" s="12" customFormat="1" ht="15.75" customHeight="1">
      <c r="B97" s="210">
        <v>3</v>
      </c>
      <c r="C97" s="4" t="s">
        <v>210</v>
      </c>
      <c r="D97" s="4"/>
      <c r="F97" s="4"/>
      <c r="G97" s="4"/>
      <c r="H97" s="4"/>
      <c r="I97" s="36">
        <v>0</v>
      </c>
      <c r="J97" s="36">
        <v>0</v>
      </c>
      <c r="K97" s="80"/>
      <c r="L97" s="34"/>
    </row>
    <row r="98" spans="1:12" s="12" customFormat="1" ht="15.75" customHeight="1">
      <c r="B98" s="210">
        <v>4</v>
      </c>
      <c r="C98" s="4" t="s">
        <v>210</v>
      </c>
      <c r="D98" s="4"/>
      <c r="F98" s="4"/>
      <c r="G98" s="4"/>
      <c r="H98" s="4"/>
      <c r="I98" s="36">
        <v>0</v>
      </c>
      <c r="J98" s="36">
        <v>0</v>
      </c>
      <c r="K98" s="80"/>
      <c r="L98" s="34"/>
    </row>
    <row r="99" spans="1:12" s="12" customFormat="1" ht="15.75" customHeight="1">
      <c r="B99" s="210">
        <v>5</v>
      </c>
      <c r="C99" s="4" t="s">
        <v>210</v>
      </c>
      <c r="D99" s="4"/>
      <c r="F99" s="4"/>
      <c r="G99" s="4"/>
      <c r="H99" s="4"/>
      <c r="I99" s="36">
        <v>0</v>
      </c>
      <c r="J99" s="36">
        <v>0</v>
      </c>
      <c r="K99" s="80"/>
      <c r="L99" s="34"/>
    </row>
    <row r="100" spans="1:12" s="12" customFormat="1" ht="15.75" customHeight="1">
      <c r="B100" s="210">
        <v>6</v>
      </c>
      <c r="C100" s="4" t="s">
        <v>210</v>
      </c>
      <c r="D100" s="4"/>
      <c r="F100" s="4"/>
      <c r="G100" s="4"/>
      <c r="H100" s="4"/>
      <c r="I100" s="36">
        <v>0</v>
      </c>
      <c r="J100" s="36">
        <v>0</v>
      </c>
      <c r="K100" s="80"/>
      <c r="L100" s="34"/>
    </row>
    <row r="101" spans="1:12" s="12" customFormat="1" ht="15.75" customHeight="1">
      <c r="B101" s="210">
        <v>7</v>
      </c>
      <c r="C101" s="4" t="s">
        <v>210</v>
      </c>
      <c r="D101" s="4"/>
      <c r="F101" s="4"/>
      <c r="G101" s="4"/>
      <c r="H101" s="4"/>
      <c r="I101" s="36">
        <v>0</v>
      </c>
      <c r="J101" s="36">
        <v>0</v>
      </c>
      <c r="K101" s="80"/>
      <c r="L101" s="34"/>
    </row>
    <row r="102" spans="1:12" s="12" customFormat="1" ht="15.75" customHeight="1">
      <c r="B102" s="210">
        <v>8</v>
      </c>
      <c r="C102" s="4" t="s">
        <v>210</v>
      </c>
      <c r="D102" s="4"/>
      <c r="F102" s="4"/>
      <c r="G102" s="4"/>
      <c r="H102" s="4"/>
      <c r="I102" s="36">
        <v>0</v>
      </c>
      <c r="J102" s="36">
        <v>0</v>
      </c>
      <c r="K102" s="80"/>
      <c r="L102" s="34"/>
    </row>
    <row r="103" spans="1:12" s="12" customFormat="1" ht="15.75" customHeight="1">
      <c r="B103" s="210">
        <v>9</v>
      </c>
      <c r="C103" s="4" t="s">
        <v>210</v>
      </c>
      <c r="D103" s="4"/>
      <c r="F103" s="4"/>
      <c r="G103" s="4"/>
      <c r="H103" s="4"/>
      <c r="I103" s="36">
        <v>0</v>
      </c>
      <c r="J103" s="36">
        <v>0</v>
      </c>
      <c r="K103" s="80"/>
      <c r="L103" s="34"/>
    </row>
    <row r="104" spans="1:12" s="12" customFormat="1" ht="15.75" customHeight="1">
      <c r="B104" s="5">
        <v>10</v>
      </c>
      <c r="C104" s="4" t="s">
        <v>210</v>
      </c>
      <c r="D104" s="4"/>
      <c r="F104" s="4"/>
      <c r="G104" s="4"/>
      <c r="H104" s="4"/>
      <c r="I104" s="36">
        <v>0</v>
      </c>
      <c r="J104" s="36">
        <v>0</v>
      </c>
      <c r="K104" s="80"/>
      <c r="L104" s="34"/>
    </row>
    <row r="105" spans="1:12" s="12" customFormat="1" ht="15.75" customHeight="1">
      <c r="B105" s="120">
        <v>11</v>
      </c>
      <c r="C105" s="4" t="s">
        <v>210</v>
      </c>
      <c r="D105" s="4"/>
      <c r="F105" s="4"/>
      <c r="G105" s="4"/>
      <c r="H105" s="4"/>
      <c r="I105" s="36">
        <v>0</v>
      </c>
      <c r="J105" s="36">
        <v>0</v>
      </c>
      <c r="K105" s="80"/>
      <c r="L105" s="34"/>
    </row>
    <row r="106" spans="1:12" s="12" customFormat="1" ht="4.5" customHeight="1">
      <c r="A106" s="4"/>
      <c r="B106" s="5"/>
      <c r="C106" s="5"/>
      <c r="D106" s="5"/>
      <c r="E106" s="4"/>
      <c r="F106" s="4"/>
      <c r="G106" s="4"/>
      <c r="H106" s="4"/>
      <c r="I106" s="35"/>
      <c r="J106" s="35"/>
      <c r="L106" s="37"/>
    </row>
    <row r="107" spans="1:12" s="12" customFormat="1" ht="13.5" customHeight="1">
      <c r="A107" s="4"/>
      <c r="B107" s="5"/>
      <c r="C107" s="5"/>
      <c r="D107" s="5"/>
      <c r="E107" s="4"/>
      <c r="F107" s="4"/>
      <c r="G107" s="4"/>
      <c r="H107" s="4"/>
      <c r="I107" s="38">
        <f>+SUM(I95:I106)</f>
        <v>0</v>
      </c>
      <c r="J107" s="38">
        <f>+SUM(J95:J106)</f>
        <v>0</v>
      </c>
      <c r="L107" s="39"/>
    </row>
    <row r="108" spans="1:12" s="12" customFormat="1" ht="13.5" customHeight="1">
      <c r="A108" s="4"/>
      <c r="H108" s="3" t="s">
        <v>201</v>
      </c>
      <c r="I108" s="40">
        <f>+I107*18%</f>
        <v>0</v>
      </c>
      <c r="J108" s="40">
        <f>+J107*18%</f>
        <v>0</v>
      </c>
      <c r="K108" s="41"/>
      <c r="L108" s="92" t="s">
        <v>179</v>
      </c>
    </row>
    <row r="109" spans="1:12" s="12" customFormat="1" ht="13.5" customHeight="1">
      <c r="H109" s="69" t="s">
        <v>209</v>
      </c>
      <c r="I109" s="42">
        <f>+I108+I107</f>
        <v>0</v>
      </c>
      <c r="J109" s="42">
        <f>+J108+J107</f>
        <v>0</v>
      </c>
      <c r="K109" s="41"/>
      <c r="L109" s="93" t="s">
        <v>188</v>
      </c>
    </row>
    <row r="110" spans="1:12" s="12" customFormat="1" ht="25.5" customHeight="1">
      <c r="B110" s="107">
        <v>1</v>
      </c>
      <c r="C110" s="4" t="s">
        <v>333</v>
      </c>
      <c r="D110" s="4"/>
      <c r="F110" s="4"/>
      <c r="G110" s="4"/>
      <c r="H110" s="4"/>
      <c r="I110" s="36">
        <v>0</v>
      </c>
      <c r="J110" s="36">
        <v>0</v>
      </c>
      <c r="K110" s="41"/>
      <c r="L110" s="93"/>
    </row>
    <row r="111" spans="1:12" s="12" customFormat="1" ht="13.5" customHeight="1">
      <c r="B111" s="212">
        <v>2</v>
      </c>
      <c r="C111" s="4" t="s">
        <v>333</v>
      </c>
      <c r="D111" s="4"/>
      <c r="F111" s="4"/>
      <c r="G111" s="4"/>
      <c r="H111" s="4"/>
      <c r="I111" s="36">
        <v>0</v>
      </c>
      <c r="J111" s="36">
        <v>0</v>
      </c>
      <c r="K111" s="41"/>
      <c r="L111" s="93"/>
    </row>
    <row r="112" spans="1:12" s="12" customFormat="1" ht="13.5" customHeight="1">
      <c r="B112" s="212">
        <v>3</v>
      </c>
      <c r="C112" s="4" t="s">
        <v>333</v>
      </c>
      <c r="D112" s="4"/>
      <c r="F112" s="4"/>
      <c r="G112" s="4"/>
      <c r="H112" s="4"/>
      <c r="I112" s="36">
        <v>0</v>
      </c>
      <c r="J112" s="36">
        <v>0</v>
      </c>
      <c r="K112" s="41"/>
      <c r="L112" s="93"/>
    </row>
    <row r="113" spans="1:12" s="12" customFormat="1" ht="13.5" customHeight="1">
      <c r="B113" s="212">
        <v>4</v>
      </c>
      <c r="C113" s="4" t="s">
        <v>333</v>
      </c>
      <c r="D113" s="4"/>
      <c r="F113" s="4"/>
      <c r="G113" s="4"/>
      <c r="H113" s="4"/>
      <c r="I113" s="36">
        <v>0</v>
      </c>
      <c r="J113" s="36">
        <v>0</v>
      </c>
      <c r="K113" s="41"/>
      <c r="L113" s="93"/>
    </row>
    <row r="114" spans="1:12" s="12" customFormat="1" ht="13.5" customHeight="1">
      <c r="B114" s="212">
        <v>5</v>
      </c>
      <c r="C114" s="4" t="s">
        <v>333</v>
      </c>
      <c r="D114" s="4"/>
      <c r="F114" s="4"/>
      <c r="G114" s="4"/>
      <c r="H114" s="4"/>
      <c r="I114" s="36">
        <v>0</v>
      </c>
      <c r="J114" s="36">
        <v>0</v>
      </c>
      <c r="K114" s="41"/>
      <c r="L114" s="93"/>
    </row>
    <row r="115" spans="1:12" s="12" customFormat="1" ht="13.5" customHeight="1">
      <c r="B115" s="212">
        <v>6</v>
      </c>
      <c r="C115" s="4" t="s">
        <v>333</v>
      </c>
      <c r="D115" s="4"/>
      <c r="F115" s="4"/>
      <c r="G115" s="4"/>
      <c r="H115" s="4"/>
      <c r="I115" s="36">
        <v>0</v>
      </c>
      <c r="J115" s="36">
        <v>0</v>
      </c>
      <c r="K115" s="41"/>
      <c r="L115" s="93"/>
    </row>
    <row r="116" spans="1:12" s="12" customFormat="1" ht="13.5" customHeight="1">
      <c r="B116" s="212">
        <v>7</v>
      </c>
      <c r="C116" s="4" t="s">
        <v>333</v>
      </c>
      <c r="D116" s="4"/>
      <c r="F116" s="4"/>
      <c r="G116" s="4"/>
      <c r="H116" s="4"/>
      <c r="I116" s="36">
        <v>0</v>
      </c>
      <c r="J116" s="36">
        <v>0</v>
      </c>
      <c r="K116" s="41"/>
      <c r="L116" s="93"/>
    </row>
    <row r="117" spans="1:12" s="12" customFormat="1" ht="13.5" customHeight="1">
      <c r="B117" s="212">
        <v>8</v>
      </c>
      <c r="C117" s="4" t="s">
        <v>333</v>
      </c>
      <c r="D117" s="4"/>
      <c r="F117" s="4"/>
      <c r="G117" s="4"/>
      <c r="H117" s="4"/>
      <c r="I117" s="36">
        <v>0</v>
      </c>
      <c r="J117" s="36">
        <v>0</v>
      </c>
      <c r="K117" s="41"/>
      <c r="L117" s="93"/>
    </row>
    <row r="118" spans="1:12" s="12" customFormat="1" ht="13.5" customHeight="1">
      <c r="B118" s="212">
        <v>9</v>
      </c>
      <c r="C118" s="4" t="s">
        <v>333</v>
      </c>
      <c r="D118" s="4"/>
      <c r="F118" s="4"/>
      <c r="G118" s="4"/>
      <c r="H118" s="4"/>
      <c r="I118" s="36">
        <v>0</v>
      </c>
      <c r="J118" s="36">
        <v>0</v>
      </c>
      <c r="K118" s="41"/>
      <c r="L118" s="93"/>
    </row>
    <row r="119" spans="1:12" s="12" customFormat="1" ht="13.5" customHeight="1">
      <c r="B119" s="212">
        <v>10</v>
      </c>
      <c r="C119" s="4" t="s">
        <v>333</v>
      </c>
      <c r="D119" s="4"/>
      <c r="F119" s="4"/>
      <c r="G119" s="4"/>
      <c r="H119" s="4"/>
      <c r="I119" s="36">
        <v>0</v>
      </c>
      <c r="J119" s="36">
        <v>0</v>
      </c>
      <c r="K119" s="41"/>
      <c r="L119" s="93"/>
    </row>
    <row r="120" spans="1:12" s="12" customFormat="1" ht="7" customHeight="1">
      <c r="B120" s="204"/>
      <c r="C120" s="4"/>
      <c r="D120" s="4"/>
      <c r="F120" s="4"/>
      <c r="G120" s="4"/>
      <c r="H120" s="4"/>
      <c r="I120" s="36"/>
      <c r="J120" s="36"/>
      <c r="K120" s="41"/>
      <c r="L120" s="93"/>
    </row>
    <row r="121" spans="1:12" s="12" customFormat="1" ht="13.5" customHeight="1">
      <c r="B121" s="107"/>
      <c r="C121" s="107"/>
      <c r="D121" s="107"/>
      <c r="E121" s="4"/>
      <c r="F121" s="4"/>
      <c r="G121" s="4"/>
      <c r="H121" s="4"/>
      <c r="I121" s="38">
        <f>+SUM(I110:I120)</f>
        <v>0</v>
      </c>
      <c r="J121" s="38">
        <f>+SUM(J110:J120)</f>
        <v>0</v>
      </c>
      <c r="K121" s="41"/>
      <c r="L121" s="93"/>
    </row>
    <row r="122" spans="1:12" s="12" customFormat="1" ht="13.5" customHeight="1">
      <c r="B122" s="107"/>
      <c r="C122" s="107"/>
      <c r="D122" s="107"/>
      <c r="E122" s="4"/>
      <c r="F122" s="4"/>
      <c r="G122" s="4"/>
      <c r="H122" s="3" t="s">
        <v>213</v>
      </c>
      <c r="I122" s="98">
        <f>+I121*12.5%</f>
        <v>0</v>
      </c>
      <c r="J122" s="98">
        <f>+J121*12.5%</f>
        <v>0</v>
      </c>
      <c r="K122" s="41"/>
      <c r="L122" s="93"/>
    </row>
    <row r="123" spans="1:12" s="12" customFormat="1" ht="13.5" customHeight="1">
      <c r="B123" s="107"/>
      <c r="C123" s="107"/>
      <c r="D123" s="107"/>
      <c r="E123" s="4"/>
      <c r="F123" s="4"/>
      <c r="G123" s="4"/>
      <c r="H123" s="4"/>
      <c r="I123" s="39">
        <f>+I121-I122</f>
        <v>0</v>
      </c>
      <c r="J123" s="39">
        <f>+J121-J122</f>
        <v>0</v>
      </c>
      <c r="K123" s="41"/>
      <c r="L123" s="93"/>
    </row>
    <row r="124" spans="1:12" s="12" customFormat="1" ht="13.5" customHeight="1">
      <c r="B124" s="107"/>
      <c r="C124" s="107"/>
      <c r="D124" s="107"/>
      <c r="E124" s="4"/>
      <c r="F124" s="4"/>
      <c r="G124" s="4"/>
      <c r="H124" s="3" t="s">
        <v>211</v>
      </c>
      <c r="I124" s="45">
        <f>+I123*18%</f>
        <v>0</v>
      </c>
      <c r="J124" s="45">
        <f>+J123*18%</f>
        <v>0</v>
      </c>
      <c r="K124" s="41"/>
      <c r="L124" s="93"/>
    </row>
    <row r="125" spans="1:12" s="12" customFormat="1" ht="13.5" customHeight="1">
      <c r="H125" s="69" t="s">
        <v>212</v>
      </c>
      <c r="I125" s="42">
        <f>+I123+I124</f>
        <v>0</v>
      </c>
      <c r="J125" s="42">
        <f>+J124+J123</f>
        <v>0</v>
      </c>
      <c r="K125" s="41"/>
      <c r="L125" s="93"/>
    </row>
    <row r="126" spans="1:12" s="12" customFormat="1" ht="13.5" customHeight="1">
      <c r="H126" s="69"/>
      <c r="I126" s="41"/>
      <c r="J126" s="41"/>
      <c r="K126" s="41"/>
      <c r="L126" s="93"/>
    </row>
    <row r="127" spans="1:12" s="12" customFormat="1" ht="19.5" customHeight="1">
      <c r="A127" s="4"/>
      <c r="B127" s="4"/>
      <c r="C127" s="4"/>
      <c r="D127" s="4"/>
      <c r="E127" s="4"/>
      <c r="F127" s="221" t="s">
        <v>202</v>
      </c>
      <c r="G127" s="221"/>
      <c r="H127" s="108" t="s">
        <v>96</v>
      </c>
      <c r="I127" s="4"/>
      <c r="J127" s="26" t="s">
        <v>45</v>
      </c>
    </row>
    <row r="128" spans="1:12" s="12" customFormat="1" ht="13.5" customHeight="1">
      <c r="A128" s="4"/>
      <c r="B128" s="5"/>
      <c r="C128" s="19" t="s">
        <v>44</v>
      </c>
      <c r="D128" s="19"/>
      <c r="F128" s="19"/>
      <c r="G128" s="20"/>
      <c r="H128" s="43"/>
      <c r="I128" s="44" t="s">
        <v>117</v>
      </c>
      <c r="J128" s="44" t="s">
        <v>118</v>
      </c>
      <c r="K128" s="44" t="s">
        <v>119</v>
      </c>
    </row>
    <row r="129" spans="1:16" s="12" customFormat="1" ht="13.5" customHeight="1">
      <c r="A129" s="4"/>
      <c r="B129" s="5">
        <v>1</v>
      </c>
      <c r="C129" s="4"/>
      <c r="D129" s="19"/>
      <c r="F129" s="19"/>
      <c r="G129" s="119">
        <v>0.28000000000000003</v>
      </c>
      <c r="H129" s="37">
        <v>0</v>
      </c>
      <c r="I129" s="37"/>
      <c r="J129" s="37">
        <v>0</v>
      </c>
      <c r="K129" s="37"/>
    </row>
    <row r="130" spans="1:16" s="12" customFormat="1" ht="13.5" customHeight="1">
      <c r="A130" s="4"/>
      <c r="B130" s="210">
        <v>2</v>
      </c>
      <c r="C130" s="4"/>
      <c r="D130" s="19"/>
      <c r="F130" s="19"/>
      <c r="G130" s="119">
        <v>0.28000000000000003</v>
      </c>
      <c r="H130" s="37">
        <v>0</v>
      </c>
      <c r="I130" s="37"/>
      <c r="J130" s="37">
        <v>0</v>
      </c>
      <c r="K130" s="37"/>
    </row>
    <row r="131" spans="1:16" s="12" customFormat="1" ht="13.5" customHeight="1">
      <c r="A131" s="4"/>
      <c r="B131" s="210">
        <v>3</v>
      </c>
      <c r="C131" s="4"/>
      <c r="D131" s="19"/>
      <c r="F131" s="19"/>
      <c r="G131" s="119">
        <v>0.18</v>
      </c>
      <c r="H131" s="37">
        <v>0</v>
      </c>
      <c r="I131" s="37"/>
      <c r="J131" s="37">
        <v>0</v>
      </c>
      <c r="K131" s="37"/>
    </row>
    <row r="132" spans="1:16" s="12" customFormat="1" ht="13.5" customHeight="1">
      <c r="A132" s="4"/>
      <c r="B132" s="210">
        <v>4</v>
      </c>
      <c r="C132" s="4"/>
      <c r="D132" s="19"/>
      <c r="F132" s="19"/>
      <c r="G132" s="119">
        <v>0.28000000000000003</v>
      </c>
      <c r="H132" s="37">
        <v>0</v>
      </c>
      <c r="I132" s="37"/>
      <c r="J132" s="37">
        <v>0</v>
      </c>
      <c r="K132" s="37"/>
    </row>
    <row r="133" spans="1:16" s="12" customFormat="1" ht="13.5" customHeight="1">
      <c r="A133" s="4"/>
      <c r="B133" s="210">
        <v>5</v>
      </c>
      <c r="C133" s="4"/>
      <c r="D133" s="19"/>
      <c r="F133" s="19"/>
      <c r="G133" s="119">
        <v>0.28000000000000003</v>
      </c>
      <c r="H133" s="37">
        <v>0</v>
      </c>
      <c r="I133" s="37"/>
      <c r="J133" s="37">
        <v>0</v>
      </c>
      <c r="K133" s="37"/>
    </row>
    <row r="134" spans="1:16" s="12" customFormat="1" ht="13.5" customHeight="1">
      <c r="A134" s="4"/>
      <c r="B134" s="210">
        <v>6</v>
      </c>
      <c r="C134" s="4"/>
      <c r="D134" s="19"/>
      <c r="F134" s="19"/>
      <c r="G134" s="119">
        <v>0.28000000000000003</v>
      </c>
      <c r="H134" s="37">
        <v>0</v>
      </c>
      <c r="I134" s="37"/>
      <c r="J134" s="37">
        <v>0</v>
      </c>
      <c r="K134" s="37"/>
    </row>
    <row r="135" spans="1:16" s="12" customFormat="1" ht="13.5" customHeight="1">
      <c r="A135" s="4"/>
      <c r="B135" s="210">
        <v>7</v>
      </c>
      <c r="C135" s="4"/>
      <c r="D135" s="19"/>
      <c r="F135" s="19"/>
      <c r="G135" s="119">
        <v>0.28000000000000003</v>
      </c>
      <c r="H135" s="37">
        <v>0</v>
      </c>
      <c r="I135" s="37"/>
      <c r="J135" s="37">
        <v>0</v>
      </c>
      <c r="K135" s="37"/>
    </row>
    <row r="136" spans="1:16" s="12" customFormat="1" ht="13.5" customHeight="1">
      <c r="A136" s="4"/>
      <c r="B136" s="210">
        <v>8</v>
      </c>
      <c r="C136" s="4"/>
      <c r="D136" s="19"/>
      <c r="F136" s="19"/>
      <c r="G136" s="119">
        <v>0.28000000000000003</v>
      </c>
      <c r="H136" s="37">
        <v>0</v>
      </c>
      <c r="I136" s="37"/>
      <c r="J136" s="37">
        <v>0</v>
      </c>
      <c r="K136" s="37"/>
    </row>
    <row r="137" spans="1:16" s="12" customFormat="1" ht="13.5" customHeight="1">
      <c r="A137" s="4"/>
      <c r="B137" s="210">
        <v>9</v>
      </c>
      <c r="C137" s="4"/>
      <c r="D137" s="19"/>
      <c r="F137" s="19"/>
      <c r="G137" s="119">
        <v>0.28000000000000003</v>
      </c>
      <c r="H137" s="37">
        <v>0</v>
      </c>
      <c r="I137" s="37"/>
      <c r="J137" s="37">
        <v>0</v>
      </c>
      <c r="K137" s="37"/>
    </row>
    <row r="138" spans="1:16" s="12" customFormat="1" ht="13.5" customHeight="1">
      <c r="A138" s="4"/>
      <c r="B138" s="210">
        <v>10</v>
      </c>
      <c r="C138" s="4"/>
      <c r="D138" s="19"/>
      <c r="F138" s="19"/>
      <c r="G138" s="119">
        <v>0.28000000000000003</v>
      </c>
      <c r="H138" s="37">
        <v>0</v>
      </c>
      <c r="I138" s="37"/>
      <c r="J138" s="37">
        <v>0</v>
      </c>
      <c r="K138" s="37"/>
      <c r="P138" s="12">
        <f>12500*5%</f>
        <v>625</v>
      </c>
    </row>
    <row r="139" spans="1:16" s="12" customFormat="1" ht="13.5" customHeight="1">
      <c r="A139" s="4"/>
      <c r="B139" s="210">
        <v>11</v>
      </c>
      <c r="C139" s="4"/>
      <c r="D139" s="19"/>
      <c r="F139" s="19"/>
      <c r="G139" s="119">
        <v>0.28000000000000003</v>
      </c>
      <c r="H139" s="37">
        <v>0</v>
      </c>
      <c r="I139" s="37"/>
      <c r="J139" s="37">
        <v>0</v>
      </c>
      <c r="K139" s="37"/>
    </row>
    <row r="140" spans="1:16" s="12" customFormat="1" ht="13.5" customHeight="1">
      <c r="A140" s="4"/>
      <c r="B140" s="210">
        <v>12</v>
      </c>
      <c r="C140" s="4"/>
      <c r="D140" s="19"/>
      <c r="F140" s="19"/>
      <c r="G140" s="119">
        <v>0.28000000000000003</v>
      </c>
      <c r="H140" s="37">
        <v>0</v>
      </c>
      <c r="I140" s="37"/>
      <c r="J140" s="37">
        <v>0</v>
      </c>
      <c r="K140" s="37"/>
    </row>
    <row r="141" spans="1:16" s="12" customFormat="1" ht="13.5" customHeight="1">
      <c r="A141" s="4"/>
      <c r="B141" s="210">
        <v>13</v>
      </c>
      <c r="C141" s="4"/>
      <c r="D141" s="19"/>
      <c r="F141" s="19"/>
      <c r="G141" s="119">
        <v>0.28000000000000003</v>
      </c>
      <c r="H141" s="37">
        <v>0</v>
      </c>
      <c r="I141" s="37"/>
      <c r="J141" s="37">
        <v>0</v>
      </c>
      <c r="K141" s="37"/>
    </row>
    <row r="142" spans="1:16" s="12" customFormat="1" ht="13.5" customHeight="1">
      <c r="A142" s="4"/>
      <c r="B142" s="212">
        <v>14</v>
      </c>
      <c r="C142" s="4"/>
      <c r="D142" s="19"/>
      <c r="F142" s="19"/>
      <c r="G142" s="119">
        <v>0.28000000000000003</v>
      </c>
      <c r="H142" s="37">
        <v>0</v>
      </c>
      <c r="I142" s="37"/>
      <c r="J142" s="37">
        <v>0</v>
      </c>
      <c r="K142" s="37"/>
    </row>
    <row r="143" spans="1:16" s="12" customFormat="1" ht="13.5" customHeight="1">
      <c r="A143" s="4"/>
      <c r="B143" s="212">
        <v>15</v>
      </c>
      <c r="C143" s="4"/>
      <c r="D143" s="19"/>
      <c r="F143" s="19"/>
      <c r="G143" s="119">
        <v>0.28000000000000003</v>
      </c>
      <c r="H143" s="37">
        <v>0</v>
      </c>
      <c r="I143" s="37"/>
      <c r="J143" s="37">
        <v>0</v>
      </c>
      <c r="K143" s="37"/>
    </row>
    <row r="144" spans="1:16" s="12" customFormat="1" ht="13.5" customHeight="1">
      <c r="A144" s="4"/>
      <c r="B144" s="212">
        <v>16</v>
      </c>
      <c r="C144" s="4"/>
      <c r="D144" s="19"/>
      <c r="F144" s="19"/>
      <c r="G144" s="119">
        <v>0.28000000000000003</v>
      </c>
      <c r="H144" s="37">
        <v>0</v>
      </c>
      <c r="I144" s="37">
        <v>0</v>
      </c>
      <c r="J144" s="37">
        <v>0</v>
      </c>
      <c r="K144" s="37"/>
    </row>
    <row r="145" spans="1:19" s="12" customFormat="1" ht="13.5" customHeight="1">
      <c r="A145" s="4"/>
      <c r="B145" s="212">
        <v>17</v>
      </c>
      <c r="C145" s="4"/>
      <c r="D145" s="19"/>
      <c r="F145" s="19"/>
      <c r="G145" s="119">
        <v>0.18</v>
      </c>
      <c r="H145" s="37">
        <v>0</v>
      </c>
      <c r="I145" s="37"/>
      <c r="J145" s="37">
        <v>0</v>
      </c>
      <c r="K145" s="37"/>
    </row>
    <row r="146" spans="1:19" s="12" customFormat="1" ht="13.5" customHeight="1">
      <c r="A146" s="4"/>
      <c r="B146" s="212">
        <v>18</v>
      </c>
      <c r="C146" s="4"/>
      <c r="D146" s="19"/>
      <c r="F146" s="19"/>
      <c r="G146" s="119">
        <v>0.28000000000000003</v>
      </c>
      <c r="H146" s="37">
        <v>0</v>
      </c>
      <c r="I146" s="37"/>
      <c r="J146" s="37">
        <v>0</v>
      </c>
      <c r="K146" s="37"/>
    </row>
    <row r="147" spans="1:19" s="12" customFormat="1" ht="13.5" customHeight="1">
      <c r="A147" s="4"/>
      <c r="B147" s="212">
        <v>19</v>
      </c>
      <c r="C147" s="4"/>
      <c r="D147" s="19"/>
      <c r="F147" s="19"/>
      <c r="G147" s="119">
        <v>0.18</v>
      </c>
      <c r="H147" s="37">
        <v>0</v>
      </c>
      <c r="I147" s="37"/>
      <c r="J147" s="37">
        <v>0</v>
      </c>
      <c r="K147" s="37"/>
    </row>
    <row r="148" spans="1:19" s="12" customFormat="1" ht="13.5" customHeight="1">
      <c r="A148" s="4"/>
      <c r="B148" s="212">
        <v>20</v>
      </c>
      <c r="C148" s="4"/>
      <c r="D148" s="19"/>
      <c r="F148" s="19"/>
      <c r="G148" s="119">
        <v>0.28000000000000003</v>
      </c>
      <c r="H148" s="37">
        <v>0</v>
      </c>
      <c r="I148" s="37"/>
      <c r="J148" s="37"/>
      <c r="K148" s="37"/>
    </row>
    <row r="149" spans="1:19" s="12" customFormat="1" ht="1.5" customHeight="1">
      <c r="A149" s="4"/>
      <c r="B149" s="210">
        <v>23</v>
      </c>
      <c r="C149" s="1"/>
      <c r="D149" s="1"/>
      <c r="E149" s="4"/>
      <c r="F149" s="4"/>
      <c r="G149" s="119">
        <v>0.28000000000000003</v>
      </c>
      <c r="H149" s="37">
        <v>0</v>
      </c>
      <c r="I149" s="46"/>
      <c r="J149" s="47"/>
      <c r="K149" s="47"/>
      <c r="L149" s="48"/>
    </row>
    <row r="150" spans="1:19" s="12" customFormat="1" ht="15" customHeight="1">
      <c r="A150" s="4"/>
      <c r="B150" s="4"/>
      <c r="C150" s="4"/>
      <c r="D150" s="4"/>
      <c r="E150" s="49"/>
      <c r="F150" s="49"/>
      <c r="G150" s="3" t="s">
        <v>216</v>
      </c>
      <c r="H150" s="39">
        <f>SUMIF(G129:G149,"18%",H129:H149)</f>
        <v>0</v>
      </c>
      <c r="I150" s="39">
        <f>SUMIF(G129:G149,"18%",I129:I149)</f>
        <v>0</v>
      </c>
      <c r="J150" s="39">
        <f>SUMIF(G129:G149,"18%",J129:J149)</f>
        <v>0</v>
      </c>
      <c r="K150" s="39">
        <f>SUMIF(G129:G149,"18%",K129:K149)</f>
        <v>0</v>
      </c>
      <c r="L150" s="48"/>
    </row>
    <row r="151" spans="1:19" s="12" customFormat="1" ht="13.5" customHeight="1">
      <c r="A151" s="4"/>
      <c r="B151" s="4"/>
      <c r="C151" s="4"/>
      <c r="D151" s="4"/>
      <c r="G151" s="3" t="s">
        <v>217</v>
      </c>
      <c r="H151" s="98">
        <f>SUMIF(G129:G149,"28%",H129:H149)</f>
        <v>0</v>
      </c>
      <c r="I151" s="98">
        <f>SUMIF(G129:G149,"28%",I129:I149)</f>
        <v>0</v>
      </c>
      <c r="J151" s="98">
        <f>SUMIF(G129:G149,"28%",J129:J149)</f>
        <v>0</v>
      </c>
      <c r="K151" s="98">
        <f>SUMIF(G129:G149,"28%",K129:K149)</f>
        <v>0</v>
      </c>
      <c r="L151" s="94" t="s">
        <v>180</v>
      </c>
    </row>
    <row r="152" spans="1:19" s="12" customFormat="1" ht="15" customHeight="1">
      <c r="A152" s="4"/>
      <c r="B152" s="4"/>
      <c r="C152" s="4"/>
      <c r="D152" s="4"/>
      <c r="E152" s="4"/>
      <c r="F152" s="4"/>
      <c r="G152" s="3"/>
      <c r="H152" s="50">
        <f>SUM(H129:H149)</f>
        <v>0</v>
      </c>
      <c r="I152" s="40">
        <f>SUM(I150:I151)</f>
        <v>0</v>
      </c>
      <c r="J152" s="40">
        <f>SUM(J150:J151)</f>
        <v>0</v>
      </c>
      <c r="K152" s="40">
        <f>SUM(K150:K151)</f>
        <v>0</v>
      </c>
    </row>
    <row r="153" spans="1:19" s="12" customFormat="1" ht="15" customHeight="1">
      <c r="A153" s="4"/>
      <c r="B153" s="4"/>
      <c r="C153" s="4"/>
      <c r="D153" s="4"/>
      <c r="E153" s="4"/>
      <c r="F153" s="4"/>
      <c r="G153" s="109" t="s">
        <v>201</v>
      </c>
      <c r="H153" s="50"/>
      <c r="I153" s="40">
        <f>+I150*18%</f>
        <v>0</v>
      </c>
      <c r="J153" s="40">
        <f>+J150*18%</f>
        <v>0</v>
      </c>
      <c r="K153" s="40">
        <f>+K150*18%</f>
        <v>0</v>
      </c>
    </row>
    <row r="154" spans="1:19" s="12" customFormat="1" ht="15" customHeight="1">
      <c r="A154" s="4"/>
      <c r="B154" s="4"/>
      <c r="C154" s="4"/>
      <c r="D154" s="4"/>
      <c r="E154" s="4"/>
      <c r="F154" s="4"/>
      <c r="G154" s="109" t="s">
        <v>206</v>
      </c>
      <c r="H154" s="50"/>
      <c r="I154" s="45">
        <f>I151*28%</f>
        <v>0</v>
      </c>
      <c r="J154" s="45">
        <f>J151*28%</f>
        <v>0</v>
      </c>
      <c r="K154" s="45">
        <f>K151*28%</f>
        <v>0</v>
      </c>
    </row>
    <row r="155" spans="1:19" s="12" customFormat="1" ht="15" customHeight="1">
      <c r="A155" s="4"/>
      <c r="B155" s="4"/>
      <c r="C155" s="4"/>
      <c r="D155" s="4"/>
      <c r="E155" s="4"/>
      <c r="F155" s="4"/>
      <c r="G155" s="3"/>
      <c r="H155" s="50"/>
      <c r="I155" s="40">
        <f>SUM(I152:I154)</f>
        <v>0</v>
      </c>
      <c r="J155" s="40">
        <f>SUM(J152:J154)</f>
        <v>0</v>
      </c>
      <c r="K155" s="40">
        <f>SUM(K152:K154)</f>
        <v>0</v>
      </c>
    </row>
    <row r="156" spans="1:19" s="12" customFormat="1" ht="13.5" customHeight="1">
      <c r="A156" s="4"/>
      <c r="B156" s="1" t="s">
        <v>168</v>
      </c>
      <c r="D156" s="12">
        <v>25</v>
      </c>
      <c r="E156" s="4" t="s">
        <v>167</v>
      </c>
      <c r="G156" s="3"/>
      <c r="I156" s="43">
        <v>0</v>
      </c>
      <c r="J156" s="43">
        <v>0</v>
      </c>
      <c r="K156" s="43">
        <v>0</v>
      </c>
      <c r="L156" s="93" t="s">
        <v>181</v>
      </c>
      <c r="Q156" s="103">
        <f>H35</f>
        <v>0</v>
      </c>
      <c r="S156" s="12" t="e">
        <f>#REF!</f>
        <v>#REF!</v>
      </c>
    </row>
    <row r="157" spans="1:19" s="12" customFormat="1" ht="15" customHeight="1">
      <c r="A157" s="4"/>
      <c r="B157" s="4"/>
      <c r="C157" s="4"/>
      <c r="D157" s="4"/>
      <c r="F157" s="49"/>
      <c r="G157" s="4"/>
      <c r="H157" s="60" t="s">
        <v>248</v>
      </c>
      <c r="I157" s="42">
        <f>+I155-I156</f>
        <v>0</v>
      </c>
      <c r="J157" s="51">
        <f>+J155-J156</f>
        <v>0</v>
      </c>
      <c r="K157" s="51">
        <f>+K155-K156</f>
        <v>0</v>
      </c>
    </row>
    <row r="158" spans="1:19" s="12" customFormat="1" ht="13.5" customHeight="1">
      <c r="A158" s="4"/>
      <c r="B158" s="4"/>
      <c r="C158" s="4"/>
      <c r="D158" s="4"/>
      <c r="E158" s="4"/>
      <c r="F158" s="4"/>
      <c r="G158" s="4"/>
      <c r="H158" s="4"/>
      <c r="I158" s="4"/>
      <c r="J158" s="4"/>
      <c r="K158" s="4"/>
    </row>
    <row r="159" spans="1:19" s="12" customFormat="1" ht="13.5" customHeight="1">
      <c r="A159" s="4"/>
      <c r="B159" s="26" t="s">
        <v>48</v>
      </c>
      <c r="E159" s="26"/>
      <c r="F159" s="26"/>
      <c r="H159" s="4"/>
      <c r="I159" s="4"/>
      <c r="J159" s="4"/>
      <c r="K159" s="4"/>
    </row>
    <row r="160" spans="1:19" s="12" customFormat="1" ht="15" customHeight="1">
      <c r="A160" s="4"/>
      <c r="B160" s="110"/>
      <c r="C160" s="111" t="s">
        <v>49</v>
      </c>
      <c r="D160" s="110"/>
      <c r="E160" s="110"/>
      <c r="F160" s="110"/>
      <c r="G160" s="110"/>
      <c r="H160" s="112" t="s">
        <v>121</v>
      </c>
      <c r="I160" s="111" t="s">
        <v>50</v>
      </c>
      <c r="J160" s="111"/>
      <c r="K160" s="112" t="s">
        <v>74</v>
      </c>
      <c r="Q160" s="12">
        <f>6971*5%</f>
        <v>348.55</v>
      </c>
    </row>
    <row r="161" spans="1:27" s="12" customFormat="1" ht="15" customHeight="1">
      <c r="A161" s="4"/>
      <c r="B161" s="4"/>
      <c r="C161" s="4" t="s">
        <v>51</v>
      </c>
      <c r="D161" s="4"/>
      <c r="E161" s="4"/>
      <c r="F161" s="4"/>
      <c r="G161" s="4"/>
      <c r="H161" s="52">
        <f>I109+I125</f>
        <v>0</v>
      </c>
      <c r="I161" s="4" t="s">
        <v>220</v>
      </c>
      <c r="J161" s="4"/>
      <c r="K161" s="35">
        <f>+J109+J125</f>
        <v>0</v>
      </c>
    </row>
    <row r="162" spans="1:27" s="12" customFormat="1" ht="13.5" customHeight="1">
      <c r="A162" s="4"/>
      <c r="B162" s="4"/>
      <c r="C162" s="4" t="s">
        <v>52</v>
      </c>
      <c r="D162" s="4"/>
      <c r="E162" s="4"/>
      <c r="F162" s="4"/>
      <c r="G162" s="4"/>
      <c r="H162" s="53">
        <f>H152</f>
        <v>0</v>
      </c>
      <c r="I162" s="4" t="s">
        <v>52</v>
      </c>
      <c r="J162" s="4"/>
      <c r="K162" s="54">
        <f>+I157+J157+K157</f>
        <v>0</v>
      </c>
      <c r="L162" s="39"/>
    </row>
    <row r="163" spans="1:27" s="12" customFormat="1" ht="13.5" customHeight="1">
      <c r="A163" s="4"/>
      <c r="B163" s="4"/>
      <c r="C163" s="4"/>
      <c r="D163" s="4"/>
      <c r="E163" s="4"/>
      <c r="F163" s="4"/>
      <c r="G163" s="4"/>
      <c r="H163" s="52">
        <f>SUM(H161:H162)</f>
        <v>0</v>
      </c>
      <c r="I163" s="4"/>
      <c r="J163" s="4"/>
      <c r="K163" s="55">
        <f>SUM(K161:K162)</f>
        <v>0</v>
      </c>
      <c r="L163" s="39">
        <f>K163</f>
        <v>0</v>
      </c>
      <c r="Q163" s="12">
        <v>31918.98</v>
      </c>
    </row>
    <row r="164" spans="1:27" s="12" customFormat="1" ht="13.5" customHeight="1">
      <c r="A164" s="4"/>
      <c r="B164" s="4"/>
      <c r="C164" s="4"/>
      <c r="D164" s="4"/>
      <c r="E164" s="4"/>
      <c r="F164" s="4"/>
      <c r="G164" s="4"/>
      <c r="H164" s="56"/>
      <c r="I164" s="4" t="s">
        <v>203</v>
      </c>
      <c r="J164" s="4"/>
      <c r="K164" s="105">
        <v>1000</v>
      </c>
      <c r="L164" s="39"/>
      <c r="Q164" s="12">
        <v>1500</v>
      </c>
      <c r="AA164" s="12" t="s">
        <v>214</v>
      </c>
    </row>
    <row r="165" spans="1:27" s="12" customFormat="1" ht="13.5" customHeight="1">
      <c r="A165" s="4"/>
      <c r="B165" s="4"/>
      <c r="C165" s="4"/>
      <c r="D165" s="4"/>
      <c r="E165" s="4"/>
      <c r="F165" s="4"/>
      <c r="G165" s="4"/>
      <c r="H165" s="56"/>
      <c r="I165" s="4" t="s">
        <v>204</v>
      </c>
      <c r="J165" s="4"/>
      <c r="K165" s="55">
        <v>0</v>
      </c>
      <c r="L165" s="39">
        <f>L163+L164</f>
        <v>0</v>
      </c>
      <c r="Q165" s="12">
        <f>166+180+1297+271+597+260+301</f>
        <v>3072</v>
      </c>
      <c r="AA165" s="12" t="s">
        <v>215</v>
      </c>
    </row>
    <row r="166" spans="1:27" s="12" customFormat="1" ht="13.5" customHeight="1">
      <c r="A166" s="4"/>
      <c r="B166" s="4"/>
      <c r="C166" s="4"/>
      <c r="D166" s="4"/>
      <c r="E166" s="4"/>
      <c r="F166" s="4"/>
      <c r="G166" s="4"/>
      <c r="H166" s="56"/>
      <c r="I166" s="224" t="s">
        <v>249</v>
      </c>
      <c r="J166" s="224"/>
      <c r="K166" s="55">
        <f>+I156+J156+J122+J122*18%</f>
        <v>0</v>
      </c>
      <c r="L166" s="39">
        <v>7771.3</v>
      </c>
    </row>
    <row r="167" spans="1:27" s="12" customFormat="1" ht="13.5" customHeight="1">
      <c r="A167" s="4"/>
      <c r="B167" s="4"/>
      <c r="C167" s="4"/>
      <c r="D167" s="4"/>
      <c r="E167" s="4"/>
      <c r="F167" s="4"/>
      <c r="G167" s="4"/>
      <c r="H167" s="106"/>
      <c r="I167" s="4" t="s">
        <v>53</v>
      </c>
      <c r="J167" s="4"/>
      <c r="K167" s="105">
        <v>500</v>
      </c>
      <c r="L167" s="92" t="s">
        <v>182</v>
      </c>
    </row>
    <row r="168" spans="1:27" s="12" customFormat="1" ht="13.5" customHeight="1">
      <c r="A168" s="4"/>
      <c r="B168" s="4"/>
      <c r="C168" s="4"/>
      <c r="D168" s="4"/>
      <c r="E168" s="4"/>
      <c r="F168" s="4"/>
      <c r="G168" s="4"/>
      <c r="H168" s="106"/>
      <c r="I168" s="4" t="s">
        <v>205</v>
      </c>
      <c r="J168" s="4"/>
      <c r="K168" s="105">
        <v>0</v>
      </c>
      <c r="L168" s="92"/>
      <c r="Q168" s="12">
        <f>SUM(Q162:Q167)</f>
        <v>36490.979999999996</v>
      </c>
    </row>
    <row r="169" spans="1:27" s="12" customFormat="1" ht="13.5" customHeight="1">
      <c r="A169" s="4"/>
      <c r="B169" s="4"/>
      <c r="C169" s="4"/>
      <c r="D169" s="4"/>
      <c r="E169" s="4"/>
      <c r="F169" s="5" t="s">
        <v>47</v>
      </c>
      <c r="G169" s="4"/>
      <c r="H169" s="57">
        <f>+H163</f>
        <v>0</v>
      </c>
      <c r="I169" s="4"/>
      <c r="J169" s="5" t="s">
        <v>47</v>
      </c>
      <c r="K169" s="58">
        <f>K163-K164-K165+K166-K167+K168</f>
        <v>-1500</v>
      </c>
      <c r="L169" s="92" t="s">
        <v>183</v>
      </c>
    </row>
    <row r="170" spans="1:27" s="12" customFormat="1" ht="13.5" customHeight="1">
      <c r="A170" s="4"/>
      <c r="B170" s="4"/>
      <c r="C170" s="4"/>
      <c r="D170" s="4"/>
      <c r="E170" s="4"/>
      <c r="F170" s="4"/>
      <c r="G170" s="4"/>
      <c r="H170" s="4"/>
      <c r="I170" s="4"/>
      <c r="J170" s="4"/>
      <c r="K170" s="4"/>
      <c r="L170" s="59"/>
    </row>
    <row r="171" spans="1:27" s="12" customFormat="1" ht="13.5" customHeight="1">
      <c r="A171" s="4"/>
      <c r="B171" s="4"/>
      <c r="C171" s="4"/>
      <c r="D171" s="4"/>
      <c r="E171" s="4"/>
      <c r="F171" s="4"/>
      <c r="G171" s="4"/>
      <c r="H171" s="4"/>
      <c r="J171" s="101" t="s">
        <v>334</v>
      </c>
      <c r="K171" s="61">
        <f>+K169-K170</f>
        <v>-1500</v>
      </c>
    </row>
    <row r="172" spans="1:27" s="12" customFormat="1" ht="13.5" customHeight="1">
      <c r="A172" s="4"/>
      <c r="B172" s="20" t="s">
        <v>160</v>
      </c>
      <c r="C172" s="4"/>
      <c r="D172" s="4"/>
      <c r="E172" s="4"/>
      <c r="F172" s="4"/>
      <c r="G172" s="4"/>
      <c r="H172" s="4"/>
      <c r="I172" s="4"/>
      <c r="J172" s="4"/>
      <c r="K172" s="4"/>
    </row>
    <row r="173" spans="1:27" s="12" customFormat="1" ht="13.5" customHeight="1">
      <c r="A173" s="4"/>
      <c r="B173" s="5">
        <v>1</v>
      </c>
      <c r="C173" s="4" t="s">
        <v>335</v>
      </c>
      <c r="D173" s="4"/>
      <c r="E173" s="4"/>
      <c r="F173" s="4"/>
      <c r="G173" s="4"/>
      <c r="H173" s="4"/>
      <c r="I173" s="4"/>
      <c r="J173" s="4"/>
      <c r="K173" s="4"/>
      <c r="L173" s="93" t="s">
        <v>184</v>
      </c>
    </row>
    <row r="174" spans="1:27" s="12" customFormat="1" ht="13.5" customHeight="1">
      <c r="A174" s="4"/>
      <c r="B174" s="115">
        <v>2</v>
      </c>
      <c r="C174" s="4" t="s">
        <v>336</v>
      </c>
      <c r="D174" s="4"/>
      <c r="E174" s="4"/>
      <c r="F174" s="4"/>
      <c r="G174" s="4"/>
      <c r="H174" s="4"/>
      <c r="I174" s="4"/>
      <c r="J174" s="4"/>
      <c r="K174" s="4"/>
      <c r="L174" s="93"/>
    </row>
    <row r="175" spans="1:27" s="12" customFormat="1" ht="13.5" customHeight="1">
      <c r="A175" s="4"/>
      <c r="B175" s="202">
        <v>3</v>
      </c>
      <c r="C175" s="4" t="s">
        <v>290</v>
      </c>
      <c r="D175" s="4"/>
      <c r="E175" s="4"/>
      <c r="F175" s="4"/>
      <c r="G175" s="4"/>
      <c r="H175" s="4"/>
      <c r="I175" s="4"/>
      <c r="J175" s="4"/>
      <c r="K175" s="4"/>
      <c r="L175" s="93"/>
    </row>
    <row r="176" spans="1:27" s="12" customFormat="1" ht="13.5" customHeight="1">
      <c r="A176" s="4"/>
      <c r="B176" s="212">
        <v>4</v>
      </c>
      <c r="C176" s="4" t="s">
        <v>337</v>
      </c>
      <c r="D176" s="4"/>
      <c r="E176" s="4"/>
      <c r="F176" s="4"/>
      <c r="G176" s="4"/>
      <c r="H176" s="4"/>
      <c r="I176" s="4"/>
      <c r="J176" s="4"/>
      <c r="K176" s="4"/>
      <c r="L176" s="93"/>
    </row>
    <row r="177" spans="1:12" s="12" customFormat="1" ht="13.5" customHeight="1">
      <c r="A177" s="4"/>
      <c r="B177" s="212"/>
      <c r="C177" s="4" t="s">
        <v>338</v>
      </c>
      <c r="D177" s="4"/>
      <c r="E177" s="4"/>
      <c r="F177" s="4"/>
      <c r="G177" s="4"/>
      <c r="H177" s="4"/>
      <c r="I177" s="4"/>
      <c r="J177" s="4"/>
      <c r="K177" s="4"/>
      <c r="L177" s="93"/>
    </row>
    <row r="178" spans="1:12" s="12" customFormat="1" ht="13.5" customHeight="1">
      <c r="A178" s="4"/>
      <c r="B178" s="202">
        <v>5</v>
      </c>
      <c r="C178" s="20" t="s">
        <v>319</v>
      </c>
      <c r="D178" s="4"/>
      <c r="E178" s="4"/>
      <c r="F178" s="4"/>
      <c r="G178" s="4"/>
      <c r="H178" s="4"/>
      <c r="I178" s="4"/>
      <c r="J178" s="4"/>
      <c r="K178" s="4"/>
      <c r="L178" s="93"/>
    </row>
    <row r="179" spans="1:12" s="12" customFormat="1" ht="13.5" customHeight="1">
      <c r="A179" s="4"/>
      <c r="B179" s="4"/>
      <c r="C179" s="4"/>
      <c r="D179" s="4"/>
      <c r="E179" s="4"/>
      <c r="F179" s="4"/>
      <c r="G179" s="4"/>
      <c r="H179" s="4"/>
      <c r="I179" s="4"/>
      <c r="J179" s="4"/>
      <c r="K179" s="4"/>
      <c r="L179" s="93" t="s">
        <v>185</v>
      </c>
    </row>
    <row r="180" spans="1:12" s="12" customFormat="1" ht="13.5" customHeight="1">
      <c r="A180" s="4"/>
      <c r="B180" s="9" t="s">
        <v>123</v>
      </c>
      <c r="C180" s="9"/>
      <c r="D180" s="9"/>
      <c r="E180" s="9"/>
      <c r="F180" s="9"/>
      <c r="G180" s="9"/>
      <c r="H180" s="9"/>
      <c r="I180" s="9"/>
      <c r="J180" s="9"/>
      <c r="K180" s="9"/>
      <c r="L180" s="93" t="s">
        <v>186</v>
      </c>
    </row>
    <row r="181" spans="1:12" s="12" customFormat="1" ht="13.5" customHeight="1">
      <c r="A181" s="9"/>
      <c r="B181" s="4"/>
      <c r="C181" s="4"/>
      <c r="D181" s="4"/>
      <c r="E181" s="4"/>
      <c r="F181" s="4"/>
      <c r="G181" s="4"/>
      <c r="H181" s="4"/>
      <c r="I181" s="4"/>
      <c r="J181" s="4"/>
      <c r="K181" s="4"/>
    </row>
    <row r="182" spans="1:12" s="12" customFormat="1" ht="13.5" customHeight="1">
      <c r="A182" s="4"/>
      <c r="B182" s="19" t="s">
        <v>105</v>
      </c>
      <c r="E182" s="19"/>
      <c r="F182" s="19"/>
      <c r="G182" s="4"/>
      <c r="H182" s="4"/>
      <c r="I182" s="4"/>
      <c r="J182" s="4"/>
      <c r="K182" s="4"/>
    </row>
    <row r="183" spans="1:12" s="12" customFormat="1" ht="13.5" customHeight="1">
      <c r="A183" s="4"/>
      <c r="B183" s="19"/>
      <c r="C183" s="19"/>
      <c r="D183" s="19"/>
      <c r="E183" s="19"/>
      <c r="F183" s="19"/>
      <c r="G183" s="4"/>
      <c r="H183" s="4"/>
      <c r="I183" s="4"/>
      <c r="J183" s="4"/>
      <c r="K183" s="4"/>
    </row>
    <row r="184" spans="1:12" s="12" customFormat="1" ht="13.5" customHeight="1">
      <c r="A184" s="4"/>
      <c r="C184" s="5" t="s">
        <v>7</v>
      </c>
      <c r="D184" s="5"/>
      <c r="E184" s="4" t="s">
        <v>54</v>
      </c>
      <c r="F184" s="4"/>
      <c r="G184" s="60" t="s">
        <v>57</v>
      </c>
      <c r="H184" s="4" t="s">
        <v>92</v>
      </c>
      <c r="I184" s="4"/>
      <c r="J184" s="4"/>
      <c r="K184" s="4"/>
    </row>
    <row r="185" spans="1:12" s="12" customFormat="1" ht="13.5" customHeight="1">
      <c r="A185" s="4"/>
      <c r="C185" s="5" t="s">
        <v>8</v>
      </c>
      <c r="D185" s="5"/>
      <c r="E185" s="4" t="s">
        <v>55</v>
      </c>
      <c r="F185" s="4"/>
      <c r="G185" s="60" t="s">
        <v>57</v>
      </c>
      <c r="H185" s="4" t="s">
        <v>94</v>
      </c>
      <c r="I185" s="4"/>
      <c r="J185" s="4"/>
      <c r="K185" s="4"/>
    </row>
    <row r="186" spans="1:12" s="12" customFormat="1" ht="13.5" customHeight="1">
      <c r="A186" s="4"/>
      <c r="C186" s="5" t="s">
        <v>9</v>
      </c>
      <c r="D186" s="5"/>
      <c r="E186" s="4" t="s">
        <v>93</v>
      </c>
      <c r="F186" s="4"/>
      <c r="G186" s="60" t="s">
        <v>57</v>
      </c>
      <c r="H186" s="1">
        <f>L73</f>
        <v>20</v>
      </c>
      <c r="I186" s="4"/>
      <c r="J186" s="4"/>
      <c r="K186" s="4"/>
    </row>
    <row r="187" spans="1:12" s="12" customFormat="1" ht="13.5" customHeight="1">
      <c r="A187" s="4"/>
      <c r="C187" s="5" t="s">
        <v>10</v>
      </c>
      <c r="D187" s="5"/>
      <c r="E187" s="4" t="s">
        <v>56</v>
      </c>
      <c r="F187" s="4"/>
      <c r="G187" s="60" t="s">
        <v>57</v>
      </c>
      <c r="H187" s="4" t="s">
        <v>92</v>
      </c>
      <c r="I187" s="4"/>
      <c r="J187" s="4"/>
      <c r="K187" s="4"/>
    </row>
    <row r="188" spans="1:12" s="12" customFormat="1" ht="13.5" customHeight="1">
      <c r="A188" s="4"/>
      <c r="B188" s="5"/>
      <c r="C188" s="4"/>
      <c r="D188" s="4"/>
      <c r="E188" s="4"/>
      <c r="F188" s="4"/>
      <c r="G188" s="4"/>
      <c r="H188" s="4"/>
      <c r="I188" s="4"/>
      <c r="J188" s="4"/>
      <c r="K188" s="4"/>
    </row>
    <row r="189" spans="1:12" s="12" customFormat="1" ht="13.5" customHeight="1">
      <c r="A189" s="4"/>
      <c r="B189" s="4"/>
      <c r="C189" s="4"/>
      <c r="D189" s="4"/>
      <c r="E189" s="4"/>
      <c r="F189" s="4"/>
      <c r="G189" s="4"/>
      <c r="H189" s="4"/>
      <c r="I189" s="4"/>
      <c r="K189" s="4"/>
    </row>
    <row r="191" spans="1:12" ht="14">
      <c r="J191" s="78" t="s">
        <v>127</v>
      </c>
    </row>
    <row r="192" spans="1:12">
      <c r="J192" s="49" t="s">
        <v>129</v>
      </c>
    </row>
    <row r="193" spans="2:11" ht="27.75" customHeight="1">
      <c r="B193" s="214" t="s">
        <v>83</v>
      </c>
      <c r="C193" s="214"/>
      <c r="D193" s="214"/>
      <c r="E193" s="214"/>
      <c r="F193" s="214"/>
      <c r="G193" s="214"/>
      <c r="H193" s="214"/>
      <c r="I193" s="214"/>
      <c r="J193" s="214"/>
      <c r="K193" s="214"/>
    </row>
    <row r="194" spans="2:11" ht="14.5" customHeight="1">
      <c r="B194" s="4" t="s">
        <v>82</v>
      </c>
      <c r="G194" s="4" t="s">
        <v>166</v>
      </c>
      <c r="H194" s="5"/>
      <c r="J194" s="6" t="s">
        <v>320</v>
      </c>
    </row>
    <row r="195" spans="2:11" ht="14.5" customHeight="1">
      <c r="B195" s="4" t="s">
        <v>342</v>
      </c>
      <c r="H195" s="5" t="s">
        <v>326</v>
      </c>
      <c r="J195" s="205" t="s">
        <v>321</v>
      </c>
    </row>
    <row r="196" spans="2:11" ht="14.5" customHeight="1">
      <c r="B196" s="4" t="s">
        <v>343</v>
      </c>
      <c r="H196" s="5"/>
      <c r="J196" s="206" t="s">
        <v>113</v>
      </c>
    </row>
    <row r="197" spans="2:11" ht="14.5" customHeight="1">
      <c r="B197" s="20" t="s">
        <v>172</v>
      </c>
      <c r="J197" s="206" t="s">
        <v>196</v>
      </c>
    </row>
    <row r="198" spans="2:11" ht="14.5" customHeight="1">
      <c r="B198" s="20"/>
      <c r="H198" s="12"/>
      <c r="J198" s="20"/>
    </row>
    <row r="199" spans="2:11" ht="4.5" customHeight="1">
      <c r="B199" s="20"/>
      <c r="H199" s="12"/>
    </row>
    <row r="200" spans="2:11" ht="16.5" customHeight="1">
      <c r="B200" s="8" t="s">
        <v>66</v>
      </c>
      <c r="C200" s="8"/>
      <c r="D200" s="8"/>
      <c r="E200" s="8" t="str">
        <f>E8</f>
        <v>MY/MOTOR/2025/</v>
      </c>
      <c r="F200" s="8"/>
      <c r="G200" s="8"/>
      <c r="H200" s="9"/>
      <c r="I200" s="9"/>
      <c r="J200" s="10" t="s">
        <v>3</v>
      </c>
      <c r="K200" s="11" t="str">
        <f>K8</f>
        <v/>
      </c>
    </row>
    <row r="201" spans="2:11" ht="14.5" customHeight="1"/>
    <row r="202" spans="2:11" ht="14.5" customHeight="1">
      <c r="B202" s="19" t="s">
        <v>0</v>
      </c>
      <c r="C202" s="19"/>
      <c r="D202" s="19"/>
      <c r="E202" s="19"/>
      <c r="F202" s="19"/>
      <c r="G202" s="7" t="s">
        <v>57</v>
      </c>
      <c r="H202" s="1" t="str">
        <f>H18</f>
        <v>National Insurance Company Ltd.</v>
      </c>
    </row>
    <row r="203" spans="2:11" ht="14.5" customHeight="1">
      <c r="B203" s="19"/>
      <c r="C203" s="19"/>
      <c r="D203" s="19"/>
      <c r="E203" s="19"/>
      <c r="F203" s="19"/>
      <c r="G203" s="7"/>
      <c r="H203" s="1" t="str">
        <f>H19</f>
        <v>DO-1, Gurgaon , SCO 41-43 , Sector-31</v>
      </c>
    </row>
    <row r="204" spans="2:11" ht="14.5" customHeight="1">
      <c r="G204" s="7"/>
      <c r="H204" s="1" t="str">
        <f>H20</f>
        <v xml:space="preserve">Haryana </v>
      </c>
    </row>
    <row r="205" spans="2:11" ht="14.5" customHeight="1">
      <c r="G205" s="7"/>
      <c r="H205" s="1"/>
    </row>
    <row r="206" spans="2:11" ht="14.5" customHeight="1">
      <c r="B206" s="19" t="s">
        <v>1</v>
      </c>
      <c r="C206" s="19"/>
      <c r="D206" s="19"/>
      <c r="E206" s="19"/>
      <c r="F206" s="19"/>
      <c r="G206" s="7" t="s">
        <v>57</v>
      </c>
      <c r="H206" s="7">
        <f>H22</f>
        <v>0</v>
      </c>
    </row>
    <row r="207" spans="2:11" ht="14.5" customHeight="1">
      <c r="B207" s="19"/>
      <c r="C207" s="19"/>
      <c r="D207" s="19"/>
      <c r="E207" s="19"/>
      <c r="F207" s="19"/>
      <c r="G207" s="7"/>
      <c r="H207" s="1">
        <f>H23</f>
        <v>0</v>
      </c>
    </row>
    <row r="208" spans="2:11" ht="14.5" customHeight="1">
      <c r="G208" s="7"/>
      <c r="H208" s="1">
        <f>H24</f>
        <v>0</v>
      </c>
    </row>
    <row r="209" spans="2:18" ht="14.5" customHeight="1">
      <c r="H209" s="3"/>
    </row>
    <row r="210" spans="2:18" ht="14.5" customHeight="1">
      <c r="B210" s="15" t="str">
        <f>B14</f>
        <v>Policy No.:</v>
      </c>
      <c r="C210" s="15"/>
      <c r="D210" s="12">
        <f>D14</f>
        <v>0</v>
      </c>
      <c r="F210" s="12"/>
      <c r="G210" s="1"/>
      <c r="H210" s="3" t="s">
        <v>120</v>
      </c>
      <c r="I210" s="4">
        <f>I14</f>
        <v>0</v>
      </c>
    </row>
    <row r="211" spans="2:18" ht="14.5" customHeight="1">
      <c r="H211" s="3"/>
    </row>
    <row r="212" spans="2:18" ht="14.5" customHeight="1">
      <c r="B212" s="15" t="s">
        <v>5</v>
      </c>
      <c r="D212" s="4" t="str">
        <f>D16</f>
        <v>----</v>
      </c>
      <c r="H212" s="62"/>
      <c r="I212" s="63"/>
    </row>
    <row r="213" spans="2:18" ht="14.5" customHeight="1"/>
    <row r="214" spans="2:18" ht="14.5" customHeight="1">
      <c r="B214" s="19" t="s">
        <v>15</v>
      </c>
      <c r="E214" s="20">
        <f>H32</f>
        <v>0</v>
      </c>
      <c r="H214" s="20"/>
    </row>
    <row r="215" spans="2:18" ht="14.5" customHeight="1">
      <c r="H215" s="20"/>
    </row>
    <row r="216" spans="2:18" ht="21" customHeight="1">
      <c r="G216" s="64" t="s">
        <v>75</v>
      </c>
      <c r="H216" s="65"/>
    </row>
    <row r="217" spans="2:18" ht="14.5" customHeight="1">
      <c r="H217" s="16"/>
    </row>
    <row r="218" spans="2:18" ht="14.5" customHeight="1">
      <c r="B218" s="66" t="s">
        <v>42</v>
      </c>
      <c r="C218" s="12"/>
      <c r="D218" s="12"/>
      <c r="E218" s="26" t="s">
        <v>43</v>
      </c>
      <c r="F218" s="67"/>
      <c r="G218" s="16"/>
      <c r="I218" s="12"/>
      <c r="J218" s="68" t="s">
        <v>76</v>
      </c>
      <c r="K218" s="69"/>
    </row>
    <row r="219" spans="2:18" ht="14.5" customHeight="1">
      <c r="J219" s="35"/>
    </row>
    <row r="220" spans="2:18" ht="14.5" customHeight="1">
      <c r="B220" s="5">
        <v>1</v>
      </c>
      <c r="E220" s="4" t="s">
        <v>77</v>
      </c>
      <c r="J220" s="35">
        <v>0</v>
      </c>
      <c r="O220" s="4" t="s">
        <v>189</v>
      </c>
      <c r="R220" s="4">
        <v>850</v>
      </c>
    </row>
    <row r="221" spans="2:18" ht="14.5" customHeight="1">
      <c r="B221" s="5"/>
      <c r="J221" s="35"/>
      <c r="O221" s="4" t="s">
        <v>190</v>
      </c>
      <c r="R221" s="4">
        <v>1200</v>
      </c>
    </row>
    <row r="222" spans="2:18" ht="14.5" customHeight="1">
      <c r="B222" s="5">
        <v>2</v>
      </c>
      <c r="E222" s="4" t="s">
        <v>78</v>
      </c>
      <c r="J222" s="35">
        <v>0</v>
      </c>
      <c r="O222" s="4" t="s">
        <v>191</v>
      </c>
      <c r="R222" s="4">
        <v>1500</v>
      </c>
    </row>
    <row r="223" spans="2:18" ht="14.5" customHeight="1">
      <c r="B223" s="5"/>
      <c r="J223" s="35"/>
    </row>
    <row r="224" spans="2:18" ht="14.5" customHeight="1">
      <c r="B224" s="5">
        <v>3</v>
      </c>
      <c r="E224" s="4" t="s">
        <v>221</v>
      </c>
      <c r="J224" s="35">
        <v>0</v>
      </c>
      <c r="O224" s="4" t="s">
        <v>192</v>
      </c>
      <c r="R224" s="4">
        <v>600</v>
      </c>
    </row>
    <row r="225" spans="2:18" ht="14.5" customHeight="1">
      <c r="B225" s="5"/>
      <c r="J225" s="35"/>
      <c r="O225" s="4" t="s">
        <v>193</v>
      </c>
      <c r="R225" s="4">
        <v>850</v>
      </c>
    </row>
    <row r="226" spans="2:18" ht="14.5" customHeight="1">
      <c r="B226" s="5">
        <v>4</v>
      </c>
      <c r="E226" s="4" t="s">
        <v>79</v>
      </c>
      <c r="J226" s="35">
        <v>0</v>
      </c>
    </row>
    <row r="227" spans="2:18" ht="14.5" customHeight="1">
      <c r="B227" s="5"/>
      <c r="J227" s="35"/>
    </row>
    <row r="228" spans="2:18" ht="14.5" customHeight="1">
      <c r="B228" s="5">
        <v>5</v>
      </c>
      <c r="E228" s="4" t="s">
        <v>132</v>
      </c>
      <c r="J228" s="35">
        <v>200</v>
      </c>
    </row>
    <row r="229" spans="2:18" ht="14.5" customHeight="1">
      <c r="B229" s="5"/>
      <c r="E229" s="4" t="str">
        <f>+CONCATENATE(L73,R229)</f>
        <v>20 Photographs @ 10/- ppg</v>
      </c>
      <c r="J229" s="98"/>
      <c r="R229" s="4" t="s">
        <v>187</v>
      </c>
    </row>
    <row r="230" spans="2:18" ht="14.5" customHeight="1">
      <c r="I230" s="60" t="s">
        <v>47</v>
      </c>
      <c r="J230" s="97">
        <f>+SUM(J220:J229)</f>
        <v>200</v>
      </c>
    </row>
    <row r="231" spans="2:18" ht="14.5" customHeight="1">
      <c r="I231" s="60"/>
      <c r="J231" s="50">
        <v>0</v>
      </c>
    </row>
    <row r="232" spans="2:18" ht="14.5" customHeight="1" thickBot="1">
      <c r="I232" s="49"/>
      <c r="J232" s="99">
        <f>J230+J231</f>
        <v>200</v>
      </c>
    </row>
    <row r="233" spans="2:18" ht="14.5" customHeight="1" thickTop="1"/>
    <row r="234" spans="2:18" ht="14.5" customHeight="1">
      <c r="E234" s="4" t="s">
        <v>293</v>
      </c>
    </row>
    <row r="235" spans="2:18" ht="14.5" customHeight="1">
      <c r="E235" s="4" t="s">
        <v>296</v>
      </c>
    </row>
    <row r="236" spans="2:18" ht="14.5" customHeight="1">
      <c r="E236" s="4" t="s">
        <v>294</v>
      </c>
    </row>
    <row r="237" spans="2:18" ht="14.5" customHeight="1">
      <c r="E237" s="4" t="s">
        <v>295</v>
      </c>
    </row>
    <row r="238" spans="2:18" ht="14.5" customHeight="1"/>
    <row r="239" spans="2:18" ht="19.5" customHeight="1">
      <c r="J239" s="79" t="s">
        <v>127</v>
      </c>
    </row>
    <row r="240" spans="2:18" ht="14.25" customHeight="1">
      <c r="J240" s="20" t="s">
        <v>130</v>
      </c>
    </row>
    <row r="251" spans="8:8" ht="15">
      <c r="H251" s="114" t="s">
        <v>222</v>
      </c>
    </row>
    <row r="257" spans="2:10">
      <c r="B257" s="115">
        <v>1</v>
      </c>
      <c r="E257" s="4" t="s">
        <v>223</v>
      </c>
      <c r="I257" s="20" t="s">
        <v>131</v>
      </c>
    </row>
    <row r="258" spans="2:10">
      <c r="B258" s="115">
        <v>2</v>
      </c>
      <c r="E258" s="4" t="s">
        <v>224</v>
      </c>
      <c r="I258" s="104">
        <f>H71</f>
        <v>0</v>
      </c>
    </row>
    <row r="259" spans="2:10">
      <c r="B259" s="115">
        <v>3</v>
      </c>
      <c r="E259" s="4" t="s">
        <v>225</v>
      </c>
      <c r="I259" s="4" t="e">
        <f>#REF!</f>
        <v>#REF!</v>
      </c>
    </row>
    <row r="260" spans="2:10">
      <c r="B260" s="115">
        <v>4</v>
      </c>
      <c r="E260" s="4" t="s">
        <v>226</v>
      </c>
      <c r="I260" s="116">
        <f>K14</f>
        <v>0</v>
      </c>
    </row>
    <row r="261" spans="2:10">
      <c r="B261" s="115">
        <v>5</v>
      </c>
      <c r="E261" s="4" t="s">
        <v>227</v>
      </c>
      <c r="I261" s="4" t="e">
        <f>#REF!</f>
        <v>#REF!</v>
      </c>
    </row>
    <row r="262" spans="2:10">
      <c r="B262" s="115">
        <v>6</v>
      </c>
      <c r="E262" s="4" t="s">
        <v>228</v>
      </c>
      <c r="I262" s="4">
        <f>H32</f>
        <v>0</v>
      </c>
    </row>
    <row r="263" spans="2:10">
      <c r="B263" s="115">
        <v>7</v>
      </c>
      <c r="E263" s="4" t="s">
        <v>229</v>
      </c>
      <c r="I263" s="4">
        <f>H22</f>
        <v>0</v>
      </c>
    </row>
    <row r="264" spans="2:10">
      <c r="B264" s="115">
        <v>8</v>
      </c>
      <c r="E264" s="4" t="s">
        <v>230</v>
      </c>
      <c r="I264" s="22" t="s">
        <v>231</v>
      </c>
    </row>
    <row r="265" spans="2:10">
      <c r="B265" s="115">
        <v>9</v>
      </c>
      <c r="E265" s="4" t="s">
        <v>232</v>
      </c>
      <c r="I265" s="63" t="s">
        <v>231</v>
      </c>
    </row>
    <row r="266" spans="2:10">
      <c r="B266" s="115">
        <v>10</v>
      </c>
      <c r="E266" s="4" t="s">
        <v>233</v>
      </c>
      <c r="I266" s="117">
        <f>H67</f>
        <v>0</v>
      </c>
    </row>
    <row r="267" spans="2:10">
      <c r="B267" s="115">
        <v>11</v>
      </c>
      <c r="E267" s="4" t="s">
        <v>234</v>
      </c>
      <c r="I267" s="4" t="e">
        <f>#REF!</f>
        <v>#REF!</v>
      </c>
    </row>
    <row r="268" spans="2:10">
      <c r="B268" s="115">
        <v>12</v>
      </c>
      <c r="E268" s="4" t="s">
        <v>235</v>
      </c>
      <c r="I268" s="118">
        <f>H169</f>
        <v>0</v>
      </c>
    </row>
    <row r="269" spans="2:10">
      <c r="B269" s="115">
        <v>13</v>
      </c>
      <c r="E269" s="4" t="s">
        <v>236</v>
      </c>
      <c r="I269" s="118">
        <f>K169</f>
        <v>-1500</v>
      </c>
    </row>
    <row r="270" spans="2:10">
      <c r="B270" s="115"/>
    </row>
    <row r="271" spans="2:10">
      <c r="B271" s="115"/>
    </row>
    <row r="272" spans="2:10">
      <c r="B272" s="115">
        <v>14</v>
      </c>
      <c r="E272" s="4" t="s">
        <v>237</v>
      </c>
      <c r="J272" s="4" t="s">
        <v>92</v>
      </c>
    </row>
    <row r="273" spans="2:10">
      <c r="B273" s="115">
        <v>15</v>
      </c>
      <c r="E273" s="4" t="s">
        <v>238</v>
      </c>
      <c r="J273" s="4" t="s">
        <v>92</v>
      </c>
    </row>
    <row r="274" spans="2:10">
      <c r="B274" s="115">
        <v>16</v>
      </c>
      <c r="E274" s="4" t="s">
        <v>239</v>
      </c>
      <c r="J274" s="4" t="s">
        <v>92</v>
      </c>
    </row>
    <row r="275" spans="2:10">
      <c r="B275" s="115">
        <v>17</v>
      </c>
      <c r="E275" s="4" t="s">
        <v>240</v>
      </c>
      <c r="J275" s="4" t="s">
        <v>92</v>
      </c>
    </row>
    <row r="276" spans="2:10">
      <c r="B276" s="115">
        <v>18</v>
      </c>
      <c r="E276" s="4" t="s">
        <v>241</v>
      </c>
      <c r="J276" s="4" t="s">
        <v>92</v>
      </c>
    </row>
    <row r="277" spans="2:10">
      <c r="B277" s="115">
        <v>19</v>
      </c>
      <c r="E277" s="4" t="s">
        <v>243</v>
      </c>
      <c r="J277" s="4" t="s">
        <v>92</v>
      </c>
    </row>
    <row r="278" spans="2:10">
      <c r="B278" s="115">
        <v>20</v>
      </c>
      <c r="E278" s="4" t="s">
        <v>244</v>
      </c>
      <c r="J278" s="4" t="s">
        <v>245</v>
      </c>
    </row>
    <row r="279" spans="2:10">
      <c r="B279" s="115">
        <v>21</v>
      </c>
      <c r="E279" s="4" t="s">
        <v>246</v>
      </c>
      <c r="J279" s="4" t="s">
        <v>92</v>
      </c>
    </row>
    <row r="280" spans="2:10">
      <c r="B280" s="115">
        <v>22</v>
      </c>
      <c r="E280" s="4" t="s">
        <v>247</v>
      </c>
      <c r="J280" s="4" t="s">
        <v>242</v>
      </c>
    </row>
    <row r="281" spans="2:10">
      <c r="B281" s="115"/>
    </row>
    <row r="287" spans="2:10" ht="14">
      <c r="J287" s="79" t="s">
        <v>127</v>
      </c>
    </row>
    <row r="288" spans="2:10">
      <c r="J288" s="20" t="s">
        <v>130</v>
      </c>
    </row>
    <row r="316" spans="2:11" ht="17.5">
      <c r="B316" s="218" t="s">
        <v>133</v>
      </c>
      <c r="C316" s="218"/>
      <c r="D316" s="218"/>
      <c r="E316" s="218"/>
      <c r="F316" s="218"/>
      <c r="G316" s="218"/>
      <c r="H316" s="218"/>
      <c r="I316" s="218"/>
      <c r="J316" s="218"/>
      <c r="K316" s="218"/>
    </row>
    <row r="317" spans="2:11">
      <c r="B317" s="219"/>
      <c r="C317" s="219"/>
      <c r="D317" s="219"/>
      <c r="E317" s="219"/>
      <c r="F317" s="219"/>
      <c r="G317" s="219"/>
      <c r="H317" s="219"/>
      <c r="I317" s="219"/>
      <c r="J317" s="219"/>
      <c r="K317" s="219"/>
    </row>
    <row r="318" spans="2:11">
      <c r="B318" s="219"/>
      <c r="C318" s="219"/>
      <c r="D318" s="219"/>
      <c r="E318" s="219"/>
      <c r="F318" s="219"/>
      <c r="G318" s="219"/>
      <c r="H318" s="219"/>
      <c r="I318" s="219"/>
      <c r="J318" s="219"/>
      <c r="K318" s="219"/>
    </row>
    <row r="319" spans="2:11">
      <c r="B319" s="18"/>
      <c r="C319" s="18"/>
      <c r="D319" s="18"/>
      <c r="E319" s="18"/>
      <c r="F319" s="18"/>
      <c r="G319" s="18"/>
      <c r="H319" s="18"/>
      <c r="I319" s="18"/>
      <c r="J319" s="18"/>
      <c r="K319" s="18"/>
    </row>
    <row r="321" spans="2:18">
      <c r="B321" s="4" t="str">
        <f>B14</f>
        <v>Policy No.:</v>
      </c>
      <c r="D321" s="4" t="e">
        <f>#REF!</f>
        <v>#REF!</v>
      </c>
      <c r="H321" s="3"/>
      <c r="I321" s="3" t="s">
        <v>134</v>
      </c>
      <c r="J321" s="63" t="s">
        <v>265</v>
      </c>
    </row>
    <row r="323" spans="2:18">
      <c r="B323" s="4" t="s">
        <v>135</v>
      </c>
      <c r="D323" s="4">
        <f>H32</f>
        <v>0</v>
      </c>
      <c r="H323" s="3"/>
      <c r="I323" s="3" t="s">
        <v>136</v>
      </c>
      <c r="J323" s="4">
        <f>H22</f>
        <v>0</v>
      </c>
    </row>
    <row r="325" spans="2:18">
      <c r="B325" s="4" t="s">
        <v>137</v>
      </c>
      <c r="D325" s="20" t="s">
        <v>131</v>
      </c>
      <c r="H325" s="3"/>
      <c r="I325" s="3" t="s">
        <v>138</v>
      </c>
    </row>
    <row r="326" spans="2:18" s="20" customFormat="1"/>
    <row r="328" spans="2:18" ht="44.25" customHeight="1">
      <c r="B328" s="81" t="s">
        <v>42</v>
      </c>
      <c r="C328" s="9"/>
      <c r="D328" s="9"/>
      <c r="E328" s="82" t="s">
        <v>43</v>
      </c>
      <c r="F328" s="9"/>
      <c r="G328" s="9"/>
      <c r="H328" s="9"/>
      <c r="I328" s="83" t="s">
        <v>150</v>
      </c>
      <c r="J328" s="83" t="s">
        <v>151</v>
      </c>
      <c r="K328" s="9"/>
    </row>
    <row r="329" spans="2:18">
      <c r="B329" s="4">
        <v>1</v>
      </c>
      <c r="E329" s="4" t="s">
        <v>139</v>
      </c>
      <c r="I329" s="43">
        <f>J109</f>
        <v>0</v>
      </c>
      <c r="J329" s="43"/>
    </row>
    <row r="330" spans="2:18">
      <c r="I330" s="43"/>
      <c r="J330" s="43"/>
    </row>
    <row r="331" spans="2:18">
      <c r="B331" s="4">
        <v>2</v>
      </c>
      <c r="E331" s="4" t="s">
        <v>140</v>
      </c>
      <c r="I331" s="43">
        <v>0</v>
      </c>
      <c r="J331" s="43"/>
    </row>
    <row r="332" spans="2:18">
      <c r="I332" s="43"/>
      <c r="J332" s="43"/>
    </row>
    <row r="333" spans="2:18">
      <c r="B333" s="4">
        <v>3</v>
      </c>
      <c r="E333" s="19" t="s">
        <v>141</v>
      </c>
      <c r="I333" s="43"/>
      <c r="J333" s="43"/>
    </row>
    <row r="334" spans="2:18">
      <c r="D334" s="4" t="s">
        <v>147</v>
      </c>
      <c r="E334" s="4" t="s">
        <v>142</v>
      </c>
      <c r="I334" s="43">
        <f>I152</f>
        <v>0</v>
      </c>
      <c r="J334" s="43"/>
    </row>
    <row r="335" spans="2:18">
      <c r="E335" s="32" t="str">
        <f>+CONCATENATE(O335, D156,R335)</f>
        <v>Less Depreciation @ 25%</v>
      </c>
      <c r="I335" s="45">
        <f>I156</f>
        <v>0</v>
      </c>
      <c r="J335" s="45"/>
      <c r="O335" s="4" t="s">
        <v>198</v>
      </c>
      <c r="R335" s="4" t="s">
        <v>197</v>
      </c>
    </row>
    <row r="336" spans="2:18">
      <c r="E336" s="4" t="s">
        <v>143</v>
      </c>
      <c r="I336" s="43">
        <f>I334-I335</f>
        <v>0</v>
      </c>
      <c r="J336" s="43"/>
    </row>
    <row r="337" spans="2:10">
      <c r="I337" s="43"/>
      <c r="J337" s="43"/>
    </row>
    <row r="338" spans="2:10">
      <c r="D338" s="4" t="s">
        <v>148</v>
      </c>
      <c r="E338" s="4" t="s">
        <v>144</v>
      </c>
      <c r="I338" s="43">
        <f>J152</f>
        <v>0</v>
      </c>
      <c r="J338" s="43"/>
    </row>
    <row r="339" spans="2:10">
      <c r="E339" s="4" t="s">
        <v>145</v>
      </c>
      <c r="I339" s="45">
        <f>J156</f>
        <v>0</v>
      </c>
      <c r="J339" s="45"/>
    </row>
    <row r="340" spans="2:10">
      <c r="E340" s="4" t="s">
        <v>143</v>
      </c>
      <c r="I340" s="43">
        <f>I338-I339</f>
        <v>0</v>
      </c>
      <c r="J340" s="43"/>
    </row>
    <row r="341" spans="2:10">
      <c r="I341" s="43"/>
      <c r="J341" s="43"/>
    </row>
    <row r="342" spans="2:10">
      <c r="D342" s="4" t="s">
        <v>149</v>
      </c>
      <c r="E342" s="4" t="s">
        <v>146</v>
      </c>
      <c r="I342" s="45">
        <v>0</v>
      </c>
      <c r="J342" s="45"/>
    </row>
    <row r="343" spans="2:10">
      <c r="G343" s="3" t="s">
        <v>152</v>
      </c>
      <c r="I343" s="43">
        <f>I336+I340+I342</f>
        <v>0</v>
      </c>
      <c r="J343" s="43"/>
    </row>
    <row r="344" spans="2:10">
      <c r="B344" s="4">
        <v>4</v>
      </c>
      <c r="E344" s="4" t="s">
        <v>153</v>
      </c>
      <c r="I344" s="43">
        <f>K167</f>
        <v>500</v>
      </c>
      <c r="J344" s="43"/>
    </row>
    <row r="345" spans="2:10">
      <c r="I345" s="43"/>
      <c r="J345" s="43"/>
    </row>
    <row r="346" spans="2:10">
      <c r="B346" s="4">
        <v>5</v>
      </c>
      <c r="E346" s="4" t="s">
        <v>194</v>
      </c>
      <c r="I346" s="43">
        <f>K164</f>
        <v>1000</v>
      </c>
      <c r="J346" s="43"/>
    </row>
    <row r="347" spans="2:10">
      <c r="I347" s="43"/>
      <c r="J347" s="43"/>
    </row>
    <row r="348" spans="2:10" ht="14" thickBot="1">
      <c r="B348" s="4">
        <v>6</v>
      </c>
      <c r="E348" s="4" t="s">
        <v>154</v>
      </c>
      <c r="I348" s="84">
        <f>I343-I346+I329-I344</f>
        <v>-1500</v>
      </c>
      <c r="J348" s="84"/>
    </row>
    <row r="349" spans="2:10" ht="14" thickTop="1"/>
    <row r="351" spans="2:10">
      <c r="B351" s="20" t="s">
        <v>159</v>
      </c>
    </row>
    <row r="353" spans="2:17">
      <c r="B353" s="4" t="s">
        <v>155</v>
      </c>
      <c r="H353" s="4" t="s">
        <v>157</v>
      </c>
    </row>
    <row r="355" spans="2:17">
      <c r="B355" s="4" t="s">
        <v>156</v>
      </c>
      <c r="H355" s="4" t="s">
        <v>158</v>
      </c>
    </row>
    <row r="366" spans="2:17" ht="27">
      <c r="B366" s="215" t="s">
        <v>131</v>
      </c>
      <c r="C366" s="215"/>
      <c r="D366" s="215"/>
      <c r="E366" s="215"/>
      <c r="F366" s="215"/>
      <c r="G366" s="215"/>
      <c r="H366" s="215"/>
      <c r="I366" s="215"/>
      <c r="J366" s="215"/>
      <c r="K366" s="215"/>
      <c r="L366" s="85"/>
      <c r="M366" s="85"/>
      <c r="N366" s="85"/>
      <c r="O366" s="85"/>
      <c r="P366" s="85"/>
      <c r="Q366" s="85"/>
    </row>
    <row r="367" spans="2:17" ht="15.75" customHeight="1">
      <c r="B367" s="220" t="s">
        <v>166</v>
      </c>
      <c r="C367" s="220"/>
      <c r="D367" s="220"/>
      <c r="E367" s="220"/>
      <c r="F367" s="220"/>
      <c r="G367" s="220"/>
      <c r="H367" s="220"/>
      <c r="I367" s="220"/>
      <c r="J367" s="220"/>
      <c r="K367" s="220"/>
      <c r="L367" s="85"/>
      <c r="M367" s="85"/>
      <c r="N367" s="85"/>
      <c r="O367" s="85"/>
      <c r="P367" s="85"/>
      <c r="Q367" s="85"/>
    </row>
    <row r="369" spans="2:11">
      <c r="B369" s="15" t="str">
        <f>B14</f>
        <v>Policy No.:</v>
      </c>
      <c r="C369" s="15"/>
      <c r="D369" s="15" t="e">
        <f>#REF!</f>
        <v>#REF!</v>
      </c>
      <c r="E369" s="15"/>
      <c r="F369" s="15"/>
      <c r="G369" s="3" t="s">
        <v>165</v>
      </c>
      <c r="H369" s="4">
        <f>H22</f>
        <v>0</v>
      </c>
      <c r="J369" s="3" t="s">
        <v>135</v>
      </c>
      <c r="K369" s="20">
        <f>H32</f>
        <v>0</v>
      </c>
    </row>
    <row r="371" spans="2:11" ht="15">
      <c r="B371" s="216" t="s">
        <v>164</v>
      </c>
      <c r="C371" s="217"/>
      <c r="D371" s="217"/>
      <c r="E371" s="217"/>
      <c r="F371" s="217"/>
      <c r="G371" s="217"/>
      <c r="H371" s="217"/>
      <c r="I371" s="217"/>
      <c r="J371" s="217"/>
      <c r="K371" s="217"/>
    </row>
  </sheetData>
  <mergeCells count="12">
    <mergeCell ref="B1:K1"/>
    <mergeCell ref="B193:K193"/>
    <mergeCell ref="B366:K366"/>
    <mergeCell ref="B371:K371"/>
    <mergeCell ref="B316:K316"/>
    <mergeCell ref="B317:K317"/>
    <mergeCell ref="B318:K318"/>
    <mergeCell ref="B367:K367"/>
    <mergeCell ref="F127:G127"/>
    <mergeCell ref="B11:K11"/>
    <mergeCell ref="B12:K12"/>
    <mergeCell ref="I166:J166"/>
  </mergeCells>
  <phoneticPr fontId="2" type="noConversion"/>
  <dataValidations disablePrompts="1" count="1">
    <dataValidation type="list" allowBlank="1" showInputMessage="1" showErrorMessage="1" sqref="J166">
      <formula1>"S160:S161"</formula1>
    </dataValidation>
  </dataValidations>
  <hyperlinks>
    <hyperlink ref="G153" r:id="rId1" display="GST@18%"/>
    <hyperlink ref="G154" r:id="rId2" display="GST@28%"/>
  </hyperlinks>
  <printOptions horizontalCentered="1"/>
  <pageMargins left="0.23622047244094491" right="0.23622047244094491" top="0.35433070866141736" bottom="0.19685039370078741" header="0" footer="0.19685039370078741"/>
  <pageSetup paperSize="9" scale="96" orientation="portrait" r:id="rId3"/>
  <headerFooter alignWithMargins="0"/>
  <rowBreaks count="6" manualBreakCount="6">
    <brk id="59" min="1" max="10" man="1"/>
    <brk id="171" min="1" max="10" man="1"/>
    <brk id="192" min="1" max="10" man="1"/>
    <brk id="249" min="1" max="10" man="1"/>
    <brk id="315" min="1" max="10" man="1"/>
    <brk id="365" min="1" max="10" man="1"/>
  </rowBreaks>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3"/>
  <sheetViews>
    <sheetView topLeftCell="B1" workbookViewId="0">
      <selection activeCell="B5" sqref="B5"/>
    </sheetView>
  </sheetViews>
  <sheetFormatPr defaultColWidth="9.1796875" defaultRowHeight="13.5"/>
  <cols>
    <col min="1" max="1" width="0" style="4" hidden="1" customWidth="1"/>
    <col min="2" max="2" width="4" style="4" customWidth="1"/>
    <col min="3" max="3" width="8.453125" style="4" customWidth="1"/>
    <col min="4" max="4" width="3" style="4" customWidth="1"/>
    <col min="5" max="5" width="12.81640625" style="4" customWidth="1"/>
    <col min="6" max="6" width="9.26953125" style="4" customWidth="1"/>
    <col min="7" max="7" width="3.81640625" style="4" customWidth="1"/>
    <col min="8" max="8" width="13.81640625" style="4" customWidth="1"/>
    <col min="9" max="9" width="14.453125" style="4" customWidth="1"/>
    <col min="10" max="10" width="14.1796875" style="4" customWidth="1"/>
    <col min="11" max="11" width="16.7265625" style="4" customWidth="1"/>
    <col min="12" max="12" width="19.81640625" style="4" customWidth="1"/>
    <col min="13" max="13" width="7.54296875" style="4" hidden="1" customWidth="1"/>
    <col min="14" max="14" width="0.1796875" style="4" customWidth="1"/>
    <col min="15" max="16384" width="9.1796875" style="4"/>
  </cols>
  <sheetData>
    <row r="1" spans="1:16" ht="24.5">
      <c r="B1" s="214" t="s">
        <v>116</v>
      </c>
      <c r="C1" s="214"/>
      <c r="D1" s="214"/>
      <c r="E1" s="214"/>
      <c r="F1" s="214"/>
      <c r="G1" s="214"/>
      <c r="H1" s="214"/>
      <c r="I1" s="214"/>
      <c r="J1" s="214"/>
      <c r="K1" s="214"/>
      <c r="M1"/>
      <c r="N1"/>
      <c r="O1"/>
      <c r="P1"/>
    </row>
    <row r="2" spans="1:16">
      <c r="B2" s="4" t="s">
        <v>82</v>
      </c>
      <c r="G2" s="4" t="s">
        <v>166</v>
      </c>
      <c r="H2" s="95"/>
      <c r="J2" s="6" t="s">
        <v>320</v>
      </c>
      <c r="M2"/>
      <c r="N2"/>
      <c r="O2"/>
      <c r="P2"/>
    </row>
    <row r="3" spans="1:16">
      <c r="B3" s="4" t="s">
        <v>342</v>
      </c>
      <c r="H3" s="95" t="s">
        <v>328</v>
      </c>
      <c r="J3" s="205" t="s">
        <v>321</v>
      </c>
      <c r="M3"/>
      <c r="N3"/>
      <c r="O3"/>
      <c r="P3"/>
    </row>
    <row r="4" spans="1:16">
      <c r="B4" s="4" t="s">
        <v>343</v>
      </c>
      <c r="H4" s="95"/>
      <c r="J4" s="206" t="s">
        <v>113</v>
      </c>
      <c r="M4"/>
      <c r="N4"/>
      <c r="O4"/>
      <c r="P4"/>
    </row>
    <row r="5" spans="1:16">
      <c r="J5" s="206" t="s">
        <v>196</v>
      </c>
      <c r="M5"/>
      <c r="N5"/>
      <c r="O5"/>
      <c r="P5"/>
    </row>
    <row r="6" spans="1:16">
      <c r="J6" s="7"/>
      <c r="M6"/>
      <c r="N6"/>
      <c r="O6"/>
      <c r="P6"/>
    </row>
    <row r="7" spans="1:16" ht="15">
      <c r="F7" s="64" t="s">
        <v>84</v>
      </c>
      <c r="M7"/>
      <c r="N7"/>
      <c r="O7"/>
      <c r="P7"/>
    </row>
    <row r="8" spans="1:16" s="12" customFormat="1">
      <c r="A8" s="9"/>
      <c r="B8" s="4"/>
      <c r="C8" s="4"/>
      <c r="D8" s="4"/>
      <c r="E8" s="4"/>
      <c r="F8" s="20"/>
      <c r="G8" s="4"/>
      <c r="H8" s="4"/>
      <c r="I8" s="4"/>
      <c r="J8" s="4"/>
      <c r="K8" s="4"/>
      <c r="L8" s="4"/>
      <c r="M8"/>
      <c r="N8"/>
      <c r="O8"/>
      <c r="P8"/>
    </row>
    <row r="9" spans="1:16">
      <c r="B9" s="8" t="s">
        <v>66</v>
      </c>
      <c r="C9" s="8"/>
      <c r="D9" s="8"/>
      <c r="E9" s="8" t="str">
        <f>Sheet1!E8</f>
        <v>MY/MOTOR/2025/</v>
      </c>
      <c r="F9" s="8"/>
      <c r="G9" s="8"/>
      <c r="H9" s="9"/>
      <c r="I9" s="9"/>
      <c r="J9" s="10" t="s">
        <v>3</v>
      </c>
      <c r="K9" s="9" t="str">
        <f>Sheet1!K8</f>
        <v/>
      </c>
      <c r="M9"/>
      <c r="N9"/>
      <c r="O9"/>
      <c r="P9"/>
    </row>
    <row r="10" spans="1:16">
      <c r="M10"/>
      <c r="N10"/>
      <c r="O10"/>
      <c r="P10"/>
    </row>
    <row r="11" spans="1:16">
      <c r="B11" s="15" t="str">
        <f>Sheet1!B14</f>
        <v>Policy No.:</v>
      </c>
      <c r="C11" s="15"/>
      <c r="D11" s="4" t="e">
        <f>Sheet1!#REF!</f>
        <v>#REF!</v>
      </c>
      <c r="E11" s="12"/>
      <c r="F11" s="12"/>
      <c r="G11" s="1"/>
      <c r="H11" s="3" t="s">
        <v>120</v>
      </c>
      <c r="I11" s="4">
        <f>Sheet1!I14</f>
        <v>0</v>
      </c>
      <c r="M11"/>
      <c r="N11"/>
      <c r="O11"/>
      <c r="P11"/>
    </row>
    <row r="12" spans="1:16">
      <c r="M12"/>
      <c r="N12"/>
      <c r="O12"/>
      <c r="P12"/>
    </row>
    <row r="13" spans="1:16">
      <c r="B13" s="19" t="s">
        <v>0</v>
      </c>
      <c r="C13" s="19"/>
      <c r="D13" s="19"/>
      <c r="E13" s="19"/>
      <c r="F13" s="19"/>
      <c r="G13" s="7" t="s">
        <v>57</v>
      </c>
      <c r="H13" s="1" t="str">
        <f>Sheet1!H18</f>
        <v>National Insurance Company Ltd.</v>
      </c>
      <c r="M13"/>
      <c r="N13"/>
      <c r="O13"/>
      <c r="P13"/>
    </row>
    <row r="14" spans="1:16">
      <c r="B14" s="19"/>
      <c r="C14" s="19"/>
      <c r="D14" s="19"/>
      <c r="E14" s="19"/>
      <c r="F14" s="19"/>
      <c r="G14" s="7"/>
      <c r="H14" s="1" t="str">
        <f>Sheet1!H19</f>
        <v>DO-1, Gurgaon , SCO 41-43 , Sector-31</v>
      </c>
      <c r="M14"/>
      <c r="N14"/>
      <c r="O14"/>
      <c r="P14"/>
    </row>
    <row r="15" spans="1:16">
      <c r="G15" s="7"/>
      <c r="H15" s="1" t="str">
        <f>Sheet1!H20</f>
        <v xml:space="preserve">Haryana </v>
      </c>
      <c r="M15"/>
      <c r="N15"/>
      <c r="O15"/>
      <c r="P15"/>
    </row>
    <row r="16" spans="1:16">
      <c r="G16" s="7"/>
      <c r="H16" s="1"/>
      <c r="M16"/>
      <c r="N16"/>
      <c r="O16"/>
      <c r="P16"/>
    </row>
    <row r="17" spans="2:16">
      <c r="B17" s="19" t="s">
        <v>1</v>
      </c>
      <c r="C17" s="19"/>
      <c r="D17" s="19"/>
      <c r="E17" s="19"/>
      <c r="F17" s="19"/>
      <c r="G17" s="7" t="s">
        <v>57</v>
      </c>
      <c r="H17" s="1">
        <f>Sheet1!H22</f>
        <v>0</v>
      </c>
      <c r="M17"/>
      <c r="N17"/>
      <c r="O17"/>
      <c r="P17"/>
    </row>
    <row r="18" spans="2:16">
      <c r="B18" s="19"/>
      <c r="C18" s="19"/>
      <c r="D18" s="19"/>
      <c r="E18" s="19"/>
      <c r="F18" s="19"/>
      <c r="G18" s="7"/>
      <c r="H18" s="1">
        <f>Sheet1!H23</f>
        <v>0</v>
      </c>
      <c r="M18"/>
      <c r="N18"/>
      <c r="O18"/>
      <c r="P18"/>
    </row>
    <row r="19" spans="2:16">
      <c r="G19" s="7"/>
      <c r="H19" s="1">
        <f>Sheet1!H24</f>
        <v>0</v>
      </c>
      <c r="M19"/>
      <c r="N19"/>
      <c r="O19"/>
      <c r="P19"/>
    </row>
    <row r="20" spans="2:16">
      <c r="G20" s="20"/>
      <c r="M20"/>
      <c r="N20"/>
      <c r="O20"/>
      <c r="P20"/>
    </row>
    <row r="21" spans="2:16">
      <c r="B21" s="19" t="s">
        <v>2</v>
      </c>
      <c r="G21" s="20"/>
      <c r="M21"/>
      <c r="N21"/>
      <c r="O21"/>
      <c r="P21"/>
    </row>
    <row r="22" spans="2:16">
      <c r="B22" s="95" t="s">
        <v>7</v>
      </c>
      <c r="C22" s="4" t="s">
        <v>85</v>
      </c>
      <c r="G22" s="20" t="s">
        <v>57</v>
      </c>
      <c r="H22" s="1">
        <f>Sheet1!H32</f>
        <v>0</v>
      </c>
      <c r="M22"/>
      <c r="N22"/>
      <c r="O22"/>
      <c r="P22"/>
    </row>
    <row r="23" spans="2:16">
      <c r="B23" s="95" t="s">
        <v>8</v>
      </c>
      <c r="C23" s="4" t="s">
        <v>16</v>
      </c>
      <c r="G23" s="20" t="s">
        <v>57</v>
      </c>
      <c r="H23" s="70">
        <f>Sheet1!H33</f>
        <v>0</v>
      </c>
      <c r="I23" s="4" t="s">
        <v>86</v>
      </c>
      <c r="M23"/>
      <c r="N23"/>
      <c r="O23"/>
      <c r="P23"/>
    </row>
    <row r="24" spans="2:16">
      <c r="B24" s="95" t="s">
        <v>9</v>
      </c>
      <c r="C24" s="4" t="s">
        <v>17</v>
      </c>
      <c r="G24" s="20" t="s">
        <v>57</v>
      </c>
      <c r="H24" s="70">
        <f>Sheet1!H34</f>
        <v>0</v>
      </c>
      <c r="M24"/>
      <c r="N24"/>
      <c r="O24"/>
      <c r="P24"/>
    </row>
    <row r="25" spans="2:16">
      <c r="M25"/>
      <c r="N25"/>
      <c r="O25"/>
      <c r="P25"/>
    </row>
    <row r="26" spans="2:16">
      <c r="B26" s="19" t="s">
        <v>87</v>
      </c>
      <c r="E26" s="4" t="str">
        <f>Sheet1!D16</f>
        <v>----</v>
      </c>
      <c r="M26"/>
      <c r="N26"/>
      <c r="O26"/>
      <c r="P26"/>
    </row>
    <row r="27" spans="2:16">
      <c r="M27"/>
      <c r="N27"/>
      <c r="O27"/>
      <c r="P27"/>
    </row>
    <row r="28" spans="2:16">
      <c r="B28" s="19" t="s">
        <v>88</v>
      </c>
      <c r="M28"/>
      <c r="N28"/>
      <c r="O28"/>
      <c r="P28"/>
    </row>
    <row r="29" spans="2:16">
      <c r="B29" s="19"/>
      <c r="M29"/>
      <c r="N29"/>
      <c r="O29"/>
      <c r="P29"/>
    </row>
    <row r="30" spans="2:16">
      <c r="B30" s="19"/>
      <c r="M30"/>
      <c r="N30"/>
      <c r="O30"/>
      <c r="P30"/>
    </row>
    <row r="31" spans="2:16">
      <c r="B31" s="19"/>
      <c r="M31"/>
      <c r="N31"/>
      <c r="O31"/>
      <c r="P31"/>
    </row>
    <row r="32" spans="2:16">
      <c r="B32" s="19"/>
      <c r="M32"/>
      <c r="N32"/>
      <c r="O32"/>
      <c r="P32"/>
    </row>
    <row r="33" spans="1:16">
      <c r="B33" s="95" t="s">
        <v>7</v>
      </c>
      <c r="C33" s="4" t="s">
        <v>89</v>
      </c>
      <c r="M33"/>
      <c r="N33"/>
      <c r="O33"/>
      <c r="P33"/>
    </row>
    <row r="34" spans="1:16">
      <c r="B34" s="95"/>
      <c r="M34"/>
      <c r="N34"/>
      <c r="O34"/>
      <c r="P34"/>
    </row>
    <row r="35" spans="1:16">
      <c r="B35" s="95" t="s">
        <v>8</v>
      </c>
      <c r="C35" s="4" t="s">
        <v>200</v>
      </c>
      <c r="M35"/>
      <c r="N35"/>
      <c r="O35"/>
      <c r="P35"/>
    </row>
    <row r="36" spans="1:16">
      <c r="B36" s="95"/>
      <c r="M36"/>
      <c r="N36"/>
      <c r="O36"/>
      <c r="P36"/>
    </row>
    <row r="37" spans="1:16">
      <c r="B37" s="95" t="s">
        <v>9</v>
      </c>
      <c r="C37" s="4" t="s">
        <v>199</v>
      </c>
      <c r="M37"/>
      <c r="N37"/>
      <c r="O37"/>
      <c r="P37"/>
    </row>
    <row r="38" spans="1:16" s="12" customFormat="1">
      <c r="A38" s="18"/>
      <c r="B38" s="95"/>
      <c r="C38" s="4"/>
      <c r="D38" s="4"/>
      <c r="E38" s="4"/>
      <c r="F38" s="4"/>
      <c r="G38" s="4"/>
      <c r="H38" s="4"/>
      <c r="I38" s="4"/>
      <c r="J38" s="4"/>
      <c r="K38" s="4"/>
      <c r="L38" s="4"/>
      <c r="M38"/>
      <c r="N38"/>
      <c r="O38"/>
      <c r="P38"/>
    </row>
    <row r="39" spans="1:16">
      <c r="C39" s="4" t="s">
        <v>90</v>
      </c>
      <c r="M39"/>
      <c r="N39"/>
      <c r="O39"/>
      <c r="P39"/>
    </row>
    <row r="40" spans="1:16">
      <c r="M40"/>
      <c r="N40"/>
      <c r="O40"/>
      <c r="P40"/>
    </row>
    <row r="41" spans="1:16">
      <c r="M41"/>
      <c r="N41"/>
      <c r="O41"/>
      <c r="P41"/>
    </row>
    <row r="42" spans="1:16">
      <c r="M42"/>
      <c r="N42"/>
      <c r="O42"/>
      <c r="P42"/>
    </row>
    <row r="43" spans="1:16">
      <c r="M43"/>
      <c r="N43"/>
      <c r="O43"/>
      <c r="P43"/>
    </row>
    <row r="44" spans="1:16">
      <c r="B44" s="19" t="s">
        <v>91</v>
      </c>
      <c r="M44"/>
      <c r="N44"/>
      <c r="O44"/>
      <c r="P44"/>
    </row>
    <row r="45" spans="1:16">
      <c r="B45" s="95" t="s">
        <v>7</v>
      </c>
      <c r="C45" s="4" t="s">
        <v>98</v>
      </c>
      <c r="G45" s="4" t="s">
        <v>57</v>
      </c>
      <c r="H45" s="63" t="s">
        <v>174</v>
      </c>
      <c r="M45"/>
      <c r="N45"/>
      <c r="O45"/>
      <c r="P45"/>
    </row>
    <row r="46" spans="1:16">
      <c r="B46" s="95" t="s">
        <v>8</v>
      </c>
      <c r="C46" s="4" t="s">
        <v>56</v>
      </c>
      <c r="G46" s="4" t="s">
        <v>57</v>
      </c>
      <c r="H46" s="4" t="s">
        <v>92</v>
      </c>
      <c r="M46"/>
      <c r="N46"/>
      <c r="O46"/>
      <c r="P46"/>
    </row>
    <row r="47" spans="1:16">
      <c r="B47" s="102"/>
      <c r="M47"/>
      <c r="N47"/>
      <c r="O47"/>
      <c r="P47"/>
    </row>
    <row r="48" spans="1:16">
      <c r="B48" s="102"/>
      <c r="M48"/>
      <c r="N48"/>
      <c r="O48"/>
      <c r="P48"/>
    </row>
    <row r="49" spans="2:16">
      <c r="B49" s="102"/>
      <c r="M49"/>
      <c r="N49"/>
      <c r="O49"/>
      <c r="P49"/>
    </row>
    <row r="50" spans="2:16">
      <c r="M50"/>
      <c r="N50"/>
      <c r="O50"/>
      <c r="P50"/>
    </row>
    <row r="51" spans="2:16">
      <c r="M51"/>
      <c r="N51"/>
      <c r="O51"/>
      <c r="P51"/>
    </row>
    <row r="52" spans="2:16" ht="14">
      <c r="J52" s="79" t="s">
        <v>127</v>
      </c>
      <c r="M52"/>
      <c r="N52"/>
      <c r="O52"/>
      <c r="P52"/>
    </row>
    <row r="53" spans="2:16">
      <c r="J53" s="20" t="s">
        <v>130</v>
      </c>
      <c r="M53"/>
      <c r="N53"/>
      <c r="O53"/>
      <c r="P53"/>
    </row>
  </sheetData>
  <mergeCells count="1">
    <mergeCell ref="B1:K1"/>
  </mergeCells>
  <pageMargins left="0.39370078740157483" right="0.19685039370078741" top="0.39370078740157483" bottom="0.19685039370078741" header="0.31496062992125984" footer="0.31496062992125984"/>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N52"/>
  <sheetViews>
    <sheetView workbookViewId="0">
      <selection activeCell="B1" sqref="B1"/>
    </sheetView>
  </sheetViews>
  <sheetFormatPr defaultRowHeight="12.5"/>
  <sheetData>
    <row r="4" spans="2:14">
      <c r="B4" t="s">
        <v>316</v>
      </c>
    </row>
    <row r="5" spans="2:14" ht="13">
      <c r="N5" s="122"/>
    </row>
    <row r="6" spans="2:14" ht="13.5">
      <c r="B6" s="4" t="s">
        <v>250</v>
      </c>
      <c r="C6" s="4"/>
      <c r="D6" s="4"/>
      <c r="E6" s="4"/>
      <c r="F6" s="4"/>
      <c r="G6" s="4"/>
      <c r="H6" s="4"/>
      <c r="I6" s="4"/>
      <c r="J6" s="4"/>
      <c r="K6" s="4"/>
      <c r="L6" s="4"/>
      <c r="N6" s="122" t="s">
        <v>251</v>
      </c>
    </row>
    <row r="7" spans="2:14" ht="13.5">
      <c r="B7" s="4"/>
      <c r="C7" s="4"/>
      <c r="D7" s="4"/>
      <c r="E7" s="4"/>
      <c r="F7" s="4"/>
      <c r="G7" s="4"/>
      <c r="H7" s="4"/>
      <c r="I7" s="4"/>
      <c r="J7" s="4"/>
      <c r="K7" s="4"/>
      <c r="L7" s="4"/>
      <c r="N7" s="122"/>
    </row>
    <row r="8" spans="2:14" ht="13.5">
      <c r="B8" s="4" t="s">
        <v>292</v>
      </c>
      <c r="C8" s="4"/>
      <c r="D8" s="4"/>
      <c r="E8" s="4"/>
      <c r="F8" s="4"/>
      <c r="G8" s="4"/>
      <c r="H8" s="4"/>
      <c r="I8" s="4"/>
      <c r="J8" s="4"/>
      <c r="K8" s="4"/>
      <c r="L8" s="4"/>
      <c r="N8" s="122" t="s">
        <v>252</v>
      </c>
    </row>
    <row r="9" spans="2:14" ht="13.5">
      <c r="B9" s="4" t="s">
        <v>253</v>
      </c>
      <c r="C9" s="4"/>
      <c r="D9" s="4"/>
      <c r="E9" s="4"/>
      <c r="F9" s="4"/>
      <c r="G9" s="4"/>
      <c r="H9" s="4"/>
      <c r="I9" s="4"/>
      <c r="J9" s="4"/>
      <c r="K9" s="4"/>
      <c r="L9" s="4"/>
      <c r="N9" s="122"/>
    </row>
    <row r="10" spans="2:14" ht="13.5">
      <c r="B10" s="4"/>
      <c r="C10" s="4"/>
      <c r="D10" s="4"/>
      <c r="E10" s="4"/>
      <c r="F10" s="4"/>
      <c r="G10" s="4"/>
      <c r="H10" s="4"/>
      <c r="I10" s="4"/>
      <c r="J10" s="4"/>
      <c r="K10" s="4"/>
      <c r="L10" s="4"/>
      <c r="N10" s="122"/>
    </row>
    <row r="11" spans="2:14" ht="13.5">
      <c r="B11" s="4" t="s">
        <v>254</v>
      </c>
      <c r="C11" s="4"/>
      <c r="D11" s="4"/>
      <c r="E11" s="4"/>
      <c r="F11" s="4"/>
      <c r="G11" s="4"/>
      <c r="H11" s="4"/>
      <c r="I11" s="4"/>
      <c r="J11" s="4"/>
      <c r="K11" s="4"/>
      <c r="L11" s="4"/>
      <c r="N11" s="122" t="s">
        <v>255</v>
      </c>
    </row>
    <row r="12" spans="2:14" ht="13.5">
      <c r="B12" s="4" t="s">
        <v>256</v>
      </c>
      <c r="C12" s="4"/>
      <c r="D12" s="4"/>
      <c r="E12" s="4"/>
      <c r="F12" s="4"/>
      <c r="G12" s="4"/>
      <c r="H12" s="4"/>
      <c r="I12" s="4"/>
      <c r="J12" s="4"/>
      <c r="K12" s="4"/>
      <c r="L12" s="4"/>
      <c r="N12" s="122"/>
    </row>
    <row r="13" spans="2:14" ht="13.5">
      <c r="B13" s="4"/>
      <c r="C13" s="4"/>
      <c r="D13" s="4"/>
      <c r="E13" s="4"/>
      <c r="F13" s="4"/>
      <c r="G13" s="4"/>
      <c r="H13" s="4"/>
      <c r="I13" s="4"/>
      <c r="J13" s="4"/>
      <c r="K13" s="4"/>
      <c r="L13" s="4"/>
      <c r="N13" s="122"/>
    </row>
    <row r="14" spans="2:14" ht="13.5">
      <c r="B14" s="4" t="s">
        <v>257</v>
      </c>
      <c r="C14" s="4"/>
      <c r="D14" s="4"/>
      <c r="E14" s="4"/>
      <c r="F14" s="4"/>
      <c r="G14" s="4"/>
      <c r="H14" s="4"/>
      <c r="I14" s="4"/>
      <c r="J14" s="4"/>
      <c r="K14" s="4"/>
      <c r="L14" s="4"/>
      <c r="N14" s="122" t="s">
        <v>258</v>
      </c>
    </row>
    <row r="15" spans="2:14" ht="13.5">
      <c r="B15" s="4" t="s">
        <v>256</v>
      </c>
      <c r="C15" s="4"/>
      <c r="D15" s="4"/>
      <c r="E15" s="4"/>
      <c r="F15" s="4"/>
      <c r="G15" s="4"/>
      <c r="H15" s="4"/>
      <c r="I15" s="4"/>
      <c r="J15" s="4"/>
      <c r="K15" s="4"/>
      <c r="L15" s="4"/>
      <c r="N15" s="122"/>
    </row>
    <row r="16" spans="2:14" ht="13.5">
      <c r="B16" s="4"/>
      <c r="C16" s="4"/>
      <c r="D16" s="4"/>
      <c r="E16" s="4"/>
      <c r="F16" s="4"/>
      <c r="G16" s="4"/>
      <c r="H16" s="4"/>
      <c r="I16" s="4"/>
      <c r="J16" s="4"/>
      <c r="K16" s="4"/>
      <c r="L16" s="4"/>
      <c r="N16" s="122"/>
    </row>
    <row r="17" spans="2:14" ht="13.5">
      <c r="B17" s="4" t="s">
        <v>259</v>
      </c>
      <c r="C17" s="4"/>
      <c r="D17" s="4"/>
      <c r="E17" s="4"/>
      <c r="F17" s="4"/>
      <c r="G17" s="4"/>
      <c r="H17" s="4"/>
      <c r="I17" s="4"/>
      <c r="J17" s="4"/>
      <c r="K17" s="4"/>
      <c r="L17" s="4"/>
      <c r="N17" s="122" t="s">
        <v>260</v>
      </c>
    </row>
    <row r="18" spans="2:14" ht="13.5">
      <c r="B18" s="4" t="s">
        <v>261</v>
      </c>
      <c r="C18" s="4"/>
      <c r="D18" s="4"/>
      <c r="E18" s="4"/>
      <c r="F18" s="4"/>
      <c r="G18" s="4"/>
      <c r="H18" s="4"/>
      <c r="I18" s="4"/>
      <c r="J18" s="4"/>
      <c r="K18" s="4"/>
      <c r="L18" s="4"/>
      <c r="N18" s="122"/>
    </row>
    <row r="19" spans="2:14" ht="13.5">
      <c r="B19" s="4"/>
      <c r="C19" s="4"/>
      <c r="D19" s="4"/>
      <c r="E19" s="4"/>
      <c r="F19" s="4"/>
      <c r="G19" s="4"/>
      <c r="H19" s="4"/>
      <c r="I19" s="4"/>
      <c r="J19" s="4"/>
      <c r="K19" s="4"/>
      <c r="L19" s="4"/>
      <c r="N19" s="122"/>
    </row>
    <row r="20" spans="2:14" ht="13.5">
      <c r="B20" s="4" t="s">
        <v>262</v>
      </c>
      <c r="C20" s="4"/>
      <c r="D20" s="4"/>
      <c r="E20" s="4"/>
      <c r="F20" s="4"/>
      <c r="G20" s="4"/>
      <c r="H20" s="4"/>
      <c r="I20" s="4"/>
      <c r="J20" s="4"/>
      <c r="K20" s="4"/>
      <c r="L20" s="4"/>
      <c r="N20" s="122" t="s">
        <v>263</v>
      </c>
    </row>
    <row r="21" spans="2:14" ht="13.5">
      <c r="B21" s="4" t="s">
        <v>264</v>
      </c>
      <c r="C21" s="4"/>
      <c r="D21" s="4"/>
      <c r="E21" s="4"/>
      <c r="F21" s="4"/>
      <c r="G21" s="4"/>
      <c r="H21" s="4"/>
      <c r="I21" s="4"/>
      <c r="J21" s="4"/>
      <c r="K21" s="4"/>
      <c r="L21" s="4"/>
      <c r="N21" s="122"/>
    </row>
    <row r="23" spans="2:14" ht="13.5">
      <c r="B23" s="4" t="s">
        <v>289</v>
      </c>
    </row>
    <row r="25" spans="2:14" ht="13.5">
      <c r="B25" s="4" t="s">
        <v>329</v>
      </c>
    </row>
    <row r="27" spans="2:14" ht="13.5">
      <c r="B27" s="4" t="s">
        <v>290</v>
      </c>
    </row>
    <row r="29" spans="2:14" ht="13.5">
      <c r="B29" s="20" t="s">
        <v>291</v>
      </c>
    </row>
    <row r="32" spans="2:14" ht="13.5">
      <c r="B32" s="155" t="s">
        <v>173</v>
      </c>
    </row>
    <row r="33" spans="2:2" ht="13.5">
      <c r="B33" s="155" t="s">
        <v>297</v>
      </c>
    </row>
    <row r="34" spans="2:2" ht="13.5">
      <c r="B34" s="155" t="s">
        <v>298</v>
      </c>
    </row>
    <row r="36" spans="2:2" ht="13.5">
      <c r="B36" s="201" t="s">
        <v>173</v>
      </c>
    </row>
    <row r="37" spans="2:2" ht="13.5">
      <c r="B37" s="201" t="s">
        <v>312</v>
      </c>
    </row>
    <row r="38" spans="2:2" ht="13.5">
      <c r="B38" s="201" t="s">
        <v>313</v>
      </c>
    </row>
    <row r="40" spans="2:2" ht="13.5">
      <c r="B40" s="201" t="s">
        <v>173</v>
      </c>
    </row>
    <row r="41" spans="2:2" ht="13.5">
      <c r="B41" s="201" t="s">
        <v>314</v>
      </c>
    </row>
    <row r="42" spans="2:2" ht="13.5">
      <c r="B42" s="201" t="s">
        <v>315</v>
      </c>
    </row>
    <row r="45" spans="2:2" ht="13.5">
      <c r="B45" s="207" t="s">
        <v>322</v>
      </c>
    </row>
    <row r="46" spans="2:2" ht="13.5">
      <c r="B46" s="207" t="s">
        <v>323</v>
      </c>
    </row>
    <row r="47" spans="2:2" ht="13.5">
      <c r="B47" s="207" t="s">
        <v>324</v>
      </c>
    </row>
    <row r="50" spans="2:2" ht="13.5">
      <c r="B50" s="208" t="s">
        <v>173</v>
      </c>
    </row>
    <row r="51" spans="2:2" ht="13.5">
      <c r="B51" s="208" t="s">
        <v>330</v>
      </c>
    </row>
    <row r="52" spans="2:2" ht="13.5">
      <c r="B52" s="208" t="s">
        <v>331</v>
      </c>
    </row>
  </sheetData>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M30"/>
  <sheetViews>
    <sheetView topLeftCell="A4" workbookViewId="0">
      <selection activeCell="K21" sqref="K21"/>
    </sheetView>
  </sheetViews>
  <sheetFormatPr defaultRowHeight="12.5"/>
  <cols>
    <col min="4" max="4" width="9.26953125" customWidth="1"/>
    <col min="5" max="5" width="49" customWidth="1"/>
    <col min="6" max="6" width="14.81640625" customWidth="1"/>
  </cols>
  <sheetData>
    <row r="3" spans="3:13" ht="13.5">
      <c r="C3" s="148" t="s">
        <v>124</v>
      </c>
      <c r="D3" s="148"/>
      <c r="E3" s="7">
        <f>Sheet1!H32</f>
        <v>0</v>
      </c>
    </row>
    <row r="4" spans="3:13" ht="13">
      <c r="C4" s="228" t="s">
        <v>286</v>
      </c>
      <c r="D4" s="228"/>
      <c r="E4" s="148">
        <f>Sheet1!H22</f>
        <v>0</v>
      </c>
    </row>
    <row r="5" spans="3:13" ht="13">
      <c r="C5" s="148" t="s">
        <v>287</v>
      </c>
      <c r="D5" s="148"/>
      <c r="E5" s="153" t="e">
        <f>Sheet1!#REF!</f>
        <v>#REF!</v>
      </c>
    </row>
    <row r="6" spans="3:13" ht="13.5" thickBot="1">
      <c r="C6" s="149" t="s">
        <v>288</v>
      </c>
      <c r="D6" s="149"/>
      <c r="E6" s="153">
        <f>Sheet1!K14</f>
        <v>0</v>
      </c>
    </row>
    <row r="7" spans="3:13" ht="19" thickBot="1">
      <c r="C7" s="150"/>
      <c r="D7" s="225" t="s">
        <v>266</v>
      </c>
      <c r="E7" s="226"/>
      <c r="F7" s="227"/>
    </row>
    <row r="8" spans="3:13">
      <c r="C8" s="151"/>
      <c r="D8" s="124"/>
      <c r="E8" s="125"/>
      <c r="F8" s="126"/>
    </row>
    <row r="9" spans="3:13">
      <c r="C9" s="151"/>
      <c r="D9" s="124"/>
      <c r="E9" s="125"/>
      <c r="F9" s="126"/>
    </row>
    <row r="10" spans="3:13">
      <c r="C10" s="151"/>
      <c r="D10" s="124"/>
      <c r="E10" s="125"/>
      <c r="F10" s="126"/>
    </row>
    <row r="11" spans="3:13">
      <c r="C11" s="151"/>
      <c r="D11" s="124"/>
      <c r="E11" s="125"/>
      <c r="F11" s="127" t="s">
        <v>267</v>
      </c>
    </row>
    <row r="12" spans="3:13">
      <c r="C12" s="151"/>
      <c r="D12" s="128">
        <v>1</v>
      </c>
      <c r="E12" s="129" t="s">
        <v>268</v>
      </c>
      <c r="F12" s="130">
        <f>2031.35+3844.06</f>
        <v>5875.41</v>
      </c>
    </row>
    <row r="13" spans="3:13">
      <c r="C13" s="151"/>
      <c r="D13" s="131" t="s">
        <v>269</v>
      </c>
      <c r="E13" s="129" t="s">
        <v>270</v>
      </c>
      <c r="F13" s="130">
        <f>+F12*18%</f>
        <v>1057.5737999999999</v>
      </c>
    </row>
    <row r="14" spans="3:13" ht="14.5">
      <c r="C14" s="151"/>
      <c r="D14" s="132">
        <v>2</v>
      </c>
      <c r="E14" s="133" t="s">
        <v>271</v>
      </c>
      <c r="F14" s="130">
        <f>133.59+934.37+2734.37+1355.46+265.62</f>
        <v>5423.41</v>
      </c>
      <c r="J14">
        <f>16.9+97.45+84.74+312.71+73.72+18.22</f>
        <v>603.74</v>
      </c>
      <c r="K14">
        <f>17.55+23.4+10.15+71.87+71.87+32.03+34.38</f>
        <v>261.25</v>
      </c>
    </row>
    <row r="15" spans="3:13" ht="14.5">
      <c r="C15" s="151"/>
      <c r="D15" s="134" t="s">
        <v>272</v>
      </c>
      <c r="E15" s="133" t="s">
        <v>273</v>
      </c>
      <c r="F15" s="130">
        <f>+F14*28%</f>
        <v>1518.5548000000001</v>
      </c>
      <c r="J15">
        <f>+J14*18%</f>
        <v>108.67319999999999</v>
      </c>
      <c r="K15">
        <f>+K14*28%</f>
        <v>73.150000000000006</v>
      </c>
      <c r="M15">
        <f>2472+2020+2020</f>
        <v>6512</v>
      </c>
    </row>
    <row r="16" spans="3:13" ht="14.5">
      <c r="C16" s="151"/>
      <c r="D16" s="124"/>
      <c r="E16" s="135"/>
      <c r="F16" s="136"/>
    </row>
    <row r="17" spans="3:9" ht="14.5">
      <c r="C17" s="151"/>
      <c r="D17" s="137" t="s">
        <v>274</v>
      </c>
      <c r="E17" s="138" t="s">
        <v>275</v>
      </c>
      <c r="F17" s="130">
        <f>+F14+F12</f>
        <v>11298.82</v>
      </c>
    </row>
    <row r="18" spans="3:9">
      <c r="C18" s="151"/>
      <c r="D18" s="124"/>
      <c r="E18" s="125"/>
      <c r="F18" s="136"/>
    </row>
    <row r="19" spans="3:9">
      <c r="C19" s="151"/>
      <c r="D19" s="139"/>
      <c r="E19" s="140" t="s">
        <v>276</v>
      </c>
      <c r="F19" s="130">
        <v>450</v>
      </c>
    </row>
    <row r="20" spans="3:9">
      <c r="C20" s="151"/>
      <c r="D20" s="139"/>
      <c r="E20" s="140" t="s">
        <v>277</v>
      </c>
      <c r="F20" s="130">
        <v>10744</v>
      </c>
    </row>
    <row r="21" spans="3:9">
      <c r="C21" s="151"/>
      <c r="D21" s="141"/>
      <c r="E21" s="142" t="s">
        <v>278</v>
      </c>
      <c r="F21" s="130">
        <f>+F20+F19</f>
        <v>11194</v>
      </c>
    </row>
    <row r="22" spans="3:9">
      <c r="C22" s="151"/>
      <c r="D22" s="141" t="s">
        <v>279</v>
      </c>
      <c r="E22" s="142" t="s">
        <v>280</v>
      </c>
      <c r="F22" s="130">
        <f>+F21*18%</f>
        <v>2014.9199999999998</v>
      </c>
    </row>
    <row r="23" spans="3:9">
      <c r="C23" s="151"/>
      <c r="D23" s="124"/>
      <c r="E23" s="125"/>
      <c r="F23" s="136"/>
    </row>
    <row r="24" spans="3:9">
      <c r="C24" s="151"/>
      <c r="D24" s="143" t="s">
        <v>281</v>
      </c>
      <c r="E24" s="144" t="s">
        <v>282</v>
      </c>
      <c r="F24" s="130">
        <f>+F13+F15+F22</f>
        <v>4591.0486000000001</v>
      </c>
    </row>
    <row r="25" spans="3:9">
      <c r="C25" s="151"/>
      <c r="D25" s="124"/>
      <c r="E25" s="125"/>
      <c r="F25" s="136"/>
      <c r="I25">
        <f>46.8+72.65</f>
        <v>119.45</v>
      </c>
    </row>
    <row r="26" spans="3:9">
      <c r="C26" s="151"/>
      <c r="D26" s="139"/>
      <c r="E26" s="140" t="s">
        <v>283</v>
      </c>
      <c r="F26" s="130">
        <v>0</v>
      </c>
      <c r="I26">
        <f>+I25*28%</f>
        <v>33.446000000000005</v>
      </c>
    </row>
    <row r="27" spans="3:9">
      <c r="C27" s="151"/>
      <c r="D27" s="139"/>
      <c r="E27" s="140" t="s">
        <v>153</v>
      </c>
      <c r="F27" s="130">
        <v>0</v>
      </c>
    </row>
    <row r="28" spans="3:9">
      <c r="C28" s="151"/>
      <c r="D28" s="139"/>
      <c r="E28" s="140" t="s">
        <v>284</v>
      </c>
      <c r="F28" s="130">
        <v>1000</v>
      </c>
    </row>
    <row r="29" spans="3:9">
      <c r="C29" s="151"/>
      <c r="D29" s="124"/>
      <c r="E29" s="125"/>
      <c r="F29" s="136"/>
    </row>
    <row r="30" spans="3:9" ht="15" thickBot="1">
      <c r="C30" s="152"/>
      <c r="D30" s="145"/>
      <c r="E30" s="146" t="s">
        <v>285</v>
      </c>
      <c r="F30" s="147">
        <f>+F24+F17-F28-F27+F26+F21</f>
        <v>26083.868600000002</v>
      </c>
    </row>
  </sheetData>
  <mergeCells count="2">
    <mergeCell ref="D7:F7"/>
    <mergeCell ref="C4:D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P39"/>
  <sheetViews>
    <sheetView topLeftCell="A5" workbookViewId="0">
      <selection activeCell="C40" sqref="C40"/>
    </sheetView>
  </sheetViews>
  <sheetFormatPr defaultColWidth="0" defaultRowHeight="12.5"/>
  <cols>
    <col min="1" max="1" width="7.26953125" customWidth="1"/>
    <col min="2" max="2" width="38.54296875" customWidth="1"/>
    <col min="3" max="4" width="11.81640625" customWidth="1"/>
    <col min="5" max="5" width="12.453125" customWidth="1"/>
    <col min="6" max="8" width="9.1796875" customWidth="1"/>
    <col min="9" max="16" width="0" hidden="1" customWidth="1"/>
    <col min="17" max="16384" width="9.1796875" hidden="1"/>
  </cols>
  <sheetData>
    <row r="3" spans="1:12" ht="13.5">
      <c r="A3" s="246" t="s">
        <v>299</v>
      </c>
      <c r="B3" s="246"/>
      <c r="C3" s="246">
        <f>Sheet1!H32</f>
        <v>0</v>
      </c>
      <c r="D3" s="246"/>
      <c r="E3" s="246"/>
    </row>
    <row r="4" spans="1:12" ht="13">
      <c r="A4" s="228" t="s">
        <v>300</v>
      </c>
      <c r="B4" s="228"/>
      <c r="C4" s="228">
        <f>Sheet1!H22</f>
        <v>0</v>
      </c>
      <c r="D4" s="228"/>
      <c r="E4" s="228"/>
    </row>
    <row r="5" spans="1:12">
      <c r="A5" s="247" t="s">
        <v>287</v>
      </c>
      <c r="B5" s="247"/>
      <c r="C5" s="248">
        <f>Sheet1!D14</f>
        <v>0</v>
      </c>
      <c r="D5" s="248"/>
      <c r="E5" s="248"/>
    </row>
    <row r="6" spans="1:12">
      <c r="A6" s="249" t="s">
        <v>288</v>
      </c>
      <c r="B6" s="249"/>
      <c r="C6" s="250" t="str">
        <f>Sheet1!D16</f>
        <v>----</v>
      </c>
      <c r="D6" s="250"/>
      <c r="E6" s="250"/>
    </row>
    <row r="7" spans="1:12">
      <c r="A7" s="156"/>
      <c r="B7" s="156"/>
      <c r="C7" s="157"/>
      <c r="D7" s="157"/>
      <c r="E7" s="157"/>
    </row>
    <row r="8" spans="1:12" ht="19" thickBot="1">
      <c r="A8" s="251" t="s">
        <v>266</v>
      </c>
      <c r="B8" s="252"/>
      <c r="C8" s="252"/>
      <c r="D8" s="252"/>
      <c r="E8" s="253"/>
    </row>
    <row r="9" spans="1:12">
      <c r="A9" s="158"/>
      <c r="B9" s="125"/>
      <c r="C9" s="125"/>
      <c r="D9" s="125"/>
      <c r="E9" s="159"/>
    </row>
    <row r="10" spans="1:12" ht="13.5">
      <c r="A10" s="160"/>
      <c r="B10" s="161"/>
      <c r="C10" s="162" t="s">
        <v>301</v>
      </c>
      <c r="D10" s="162" t="s">
        <v>302</v>
      </c>
      <c r="E10" s="163" t="s">
        <v>146</v>
      </c>
    </row>
    <row r="11" spans="1:12">
      <c r="A11" s="164"/>
      <c r="B11" s="165" t="s">
        <v>303</v>
      </c>
      <c r="C11" s="166">
        <v>0</v>
      </c>
      <c r="D11" s="166">
        <v>0</v>
      </c>
      <c r="E11" s="167">
        <v>0</v>
      </c>
    </row>
    <row r="12" spans="1:12">
      <c r="A12" s="164"/>
      <c r="B12" s="129" t="str">
        <f>CONCATENATE("Depreciation @ ",H12," %")</f>
        <v>Depreciation @ 25 %</v>
      </c>
      <c r="C12" s="166">
        <f>C11*H12/100</f>
        <v>0</v>
      </c>
      <c r="D12" s="166"/>
      <c r="E12" s="167"/>
      <c r="H12" s="168">
        <v>25</v>
      </c>
      <c r="L12">
        <v>100</v>
      </c>
    </row>
    <row r="13" spans="1:12">
      <c r="A13" s="164"/>
      <c r="B13" s="129" t="s">
        <v>304</v>
      </c>
      <c r="C13" s="166"/>
      <c r="D13" s="166">
        <f>+D11*50%</f>
        <v>0</v>
      </c>
      <c r="E13" s="167"/>
      <c r="J13" s="169"/>
      <c r="L13" s="169">
        <f>+L12*10%</f>
        <v>10</v>
      </c>
    </row>
    <row r="14" spans="1:12">
      <c r="A14" s="164"/>
      <c r="B14" s="165" t="s">
        <v>305</v>
      </c>
      <c r="C14" s="167"/>
      <c r="D14" s="167"/>
      <c r="E14" s="170">
        <v>0</v>
      </c>
      <c r="J14" s="125"/>
      <c r="L14" s="125"/>
    </row>
    <row r="15" spans="1:12">
      <c r="A15" s="164">
        <v>1</v>
      </c>
      <c r="B15" s="171" t="s">
        <v>306</v>
      </c>
      <c r="C15" s="254">
        <f>SUM(C11:E11)-C12-D13-E14</f>
        <v>0</v>
      </c>
      <c r="D15" s="255"/>
      <c r="E15" s="256"/>
      <c r="J15" s="125"/>
      <c r="L15" s="125"/>
    </row>
    <row r="16" spans="1:12">
      <c r="A16" s="172" t="s">
        <v>269</v>
      </c>
      <c r="B16" s="173" t="s">
        <v>270</v>
      </c>
      <c r="C16" s="254">
        <f>+C15*18%</f>
        <v>0</v>
      </c>
      <c r="D16" s="255"/>
      <c r="E16" s="256"/>
      <c r="L16">
        <f>+L12-L13</f>
        <v>90</v>
      </c>
    </row>
    <row r="17" spans="1:12" s="178" customFormat="1">
      <c r="A17" s="174"/>
      <c r="B17" s="175"/>
      <c r="C17" s="176"/>
      <c r="D17" s="176"/>
      <c r="E17" s="177"/>
    </row>
    <row r="18" spans="1:12" ht="14.5">
      <c r="A18" s="179"/>
      <c r="B18" s="133" t="s">
        <v>307</v>
      </c>
      <c r="C18" s="180">
        <v>0</v>
      </c>
      <c r="D18" s="181">
        <v>0</v>
      </c>
      <c r="E18" s="181">
        <v>0</v>
      </c>
      <c r="L18">
        <f>+L16*18%</f>
        <v>16.2</v>
      </c>
    </row>
    <row r="19" spans="1:12" ht="14.5">
      <c r="A19" s="179"/>
      <c r="B19" s="133" t="str">
        <f>CONCATENATE("Depreciation @ ",H19," %")</f>
        <v>Depreciation @ 25 %</v>
      </c>
      <c r="C19" s="180">
        <f>C18*H19/100</f>
        <v>0</v>
      </c>
      <c r="D19" s="181"/>
      <c r="E19" s="181"/>
      <c r="H19">
        <v>25</v>
      </c>
    </row>
    <row r="20" spans="1:12" ht="14.5">
      <c r="A20" s="179"/>
      <c r="B20" s="133" t="s">
        <v>304</v>
      </c>
      <c r="C20" s="180"/>
      <c r="D20" s="180">
        <f>+D18*50%</f>
        <v>0</v>
      </c>
      <c r="E20" s="181"/>
    </row>
    <row r="21" spans="1:12" ht="14.5">
      <c r="A21" s="179"/>
      <c r="B21" s="133" t="s">
        <v>305</v>
      </c>
      <c r="C21" s="180"/>
      <c r="D21" s="180"/>
      <c r="E21" s="181">
        <v>0</v>
      </c>
    </row>
    <row r="22" spans="1:12" ht="14.5">
      <c r="A22" s="179">
        <v>2</v>
      </c>
      <c r="B22" s="182" t="s">
        <v>306</v>
      </c>
      <c r="C22" s="232">
        <f>+SUM($C$18:$E$18)-$E$21-$D$20-$C$19</f>
        <v>0</v>
      </c>
      <c r="D22" s="233"/>
      <c r="E22" s="234"/>
    </row>
    <row r="23" spans="1:12" ht="14.5">
      <c r="A23" s="183" t="s">
        <v>272</v>
      </c>
      <c r="B23" s="184" t="s">
        <v>273</v>
      </c>
      <c r="C23" s="232">
        <f>+$C$22*28%</f>
        <v>0</v>
      </c>
      <c r="D23" s="233"/>
      <c r="E23" s="234"/>
      <c r="L23">
        <f>+L18+L16</f>
        <v>106.2</v>
      </c>
    </row>
    <row r="24" spans="1:12" ht="14.5">
      <c r="A24" s="185"/>
      <c r="B24" s="135"/>
      <c r="C24" s="186"/>
      <c r="D24" s="186"/>
      <c r="E24" s="187"/>
    </row>
    <row r="25" spans="1:12" ht="14.5">
      <c r="A25" s="188" t="s">
        <v>274</v>
      </c>
      <c r="B25" s="189" t="s">
        <v>308</v>
      </c>
      <c r="C25" s="235">
        <f>+C22+C15</f>
        <v>0</v>
      </c>
      <c r="D25" s="235"/>
      <c r="E25" s="236"/>
    </row>
    <row r="26" spans="1:12">
      <c r="A26" s="185"/>
      <c r="B26" s="125"/>
      <c r="C26" s="190"/>
      <c r="D26" s="190"/>
      <c r="E26" s="191"/>
    </row>
    <row r="27" spans="1:12">
      <c r="A27" s="192"/>
      <c r="B27" s="140" t="s">
        <v>276</v>
      </c>
      <c r="C27" s="237">
        <v>0</v>
      </c>
      <c r="D27" s="238"/>
      <c r="E27" s="239"/>
    </row>
    <row r="28" spans="1:12">
      <c r="A28" s="192"/>
      <c r="B28" s="140" t="s">
        <v>277</v>
      </c>
      <c r="C28" s="237">
        <v>0</v>
      </c>
      <c r="D28" s="238"/>
      <c r="E28" s="239"/>
    </row>
    <row r="29" spans="1:12">
      <c r="A29" s="192"/>
      <c r="B29" s="193" t="s">
        <v>309</v>
      </c>
      <c r="C29" s="237">
        <f>+C28*12.5%</f>
        <v>0</v>
      </c>
      <c r="D29" s="238"/>
      <c r="E29" s="239"/>
    </row>
    <row r="30" spans="1:12">
      <c r="A30" s="174"/>
      <c r="B30" s="194" t="s">
        <v>278</v>
      </c>
      <c r="C30" s="240">
        <f>+C27+C28-C29</f>
        <v>0</v>
      </c>
      <c r="D30" s="241"/>
      <c r="E30" s="242"/>
    </row>
    <row r="31" spans="1:12" s="178" customFormat="1">
      <c r="A31" s="174" t="s">
        <v>279</v>
      </c>
      <c r="B31" s="194" t="s">
        <v>280</v>
      </c>
      <c r="C31" s="240">
        <f>+C30*18%</f>
        <v>0</v>
      </c>
      <c r="D31" s="241"/>
      <c r="E31" s="242"/>
    </row>
    <row r="32" spans="1:12">
      <c r="A32" s="185"/>
      <c r="B32" s="125"/>
      <c r="C32" s="190"/>
      <c r="D32" s="190"/>
      <c r="E32" s="191"/>
    </row>
    <row r="33" spans="1:9">
      <c r="A33" s="195" t="s">
        <v>310</v>
      </c>
      <c r="B33" s="196" t="s">
        <v>282</v>
      </c>
      <c r="C33" s="243">
        <f>+C16+C23+C31</f>
        <v>0</v>
      </c>
      <c r="D33" s="244"/>
      <c r="E33" s="245"/>
    </row>
    <row r="34" spans="1:9">
      <c r="A34" s="185"/>
      <c r="B34" s="125"/>
      <c r="C34" s="190"/>
      <c r="D34" s="190"/>
      <c r="E34" s="191"/>
      <c r="I34">
        <f>46.8+72.65</f>
        <v>119.45</v>
      </c>
    </row>
    <row r="35" spans="1:9">
      <c r="A35" s="192"/>
      <c r="B35" s="140" t="s">
        <v>283</v>
      </c>
      <c r="C35" s="237">
        <v>0</v>
      </c>
      <c r="D35" s="238"/>
      <c r="E35" s="239"/>
      <c r="I35">
        <f>+I34*28%</f>
        <v>33.446000000000005</v>
      </c>
    </row>
    <row r="36" spans="1:9">
      <c r="A36" s="192"/>
      <c r="B36" s="140" t="s">
        <v>153</v>
      </c>
      <c r="C36" s="237">
        <v>0</v>
      </c>
      <c r="D36" s="238"/>
      <c r="E36" s="239"/>
    </row>
    <row r="37" spans="1:9">
      <c r="A37" s="192"/>
      <c r="B37" s="140" t="s">
        <v>284</v>
      </c>
      <c r="C37" s="237">
        <v>1000</v>
      </c>
      <c r="D37" s="238"/>
      <c r="E37" s="239"/>
    </row>
    <row r="38" spans="1:9">
      <c r="A38" s="185"/>
      <c r="B38" s="125"/>
      <c r="C38" s="197"/>
      <c r="D38" s="197"/>
      <c r="E38" s="198"/>
    </row>
    <row r="39" spans="1:9" ht="15.5">
      <c r="A39" s="199"/>
      <c r="B39" s="200" t="s">
        <v>311</v>
      </c>
      <c r="C39" s="229">
        <f>ROUND((C25+C33+C35+C30-C36-C37),0)</f>
        <v>-1000</v>
      </c>
      <c r="D39" s="230"/>
      <c r="E39" s="231"/>
    </row>
  </sheetData>
  <mergeCells count="24">
    <mergeCell ref="C22:E22"/>
    <mergeCell ref="A3:B3"/>
    <mergeCell ref="C3:E3"/>
    <mergeCell ref="A4:B4"/>
    <mergeCell ref="C4:E4"/>
    <mergeCell ref="A5:B5"/>
    <mergeCell ref="C5:E5"/>
    <mergeCell ref="A6:B6"/>
    <mergeCell ref="C6:E6"/>
    <mergeCell ref="A8:E8"/>
    <mergeCell ref="C15:E15"/>
    <mergeCell ref="C16:E16"/>
    <mergeCell ref="C39:E39"/>
    <mergeCell ref="C23:E23"/>
    <mergeCell ref="C25:E25"/>
    <mergeCell ref="C27:E27"/>
    <mergeCell ref="C28:E28"/>
    <mergeCell ref="C29:E29"/>
    <mergeCell ref="C30:E30"/>
    <mergeCell ref="C31:E31"/>
    <mergeCell ref="C33:E33"/>
    <mergeCell ref="C35:E35"/>
    <mergeCell ref="C36:E36"/>
    <mergeCell ref="C37:E37"/>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Sheet1</vt:lpstr>
      <vt:lpstr>Sheet2</vt:lpstr>
      <vt:lpstr>Remarks</vt:lpstr>
      <vt:lpstr>Sheet3</vt:lpstr>
      <vt:lpstr>Claim cost Approval </vt:lpstr>
      <vt:lpstr>Sheet1!Print_Area</vt:lpstr>
      <vt:lpstr>Sheet2!Print_Area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yameen</dc:creator>
  <cp:lastModifiedBy>Administrator</cp:lastModifiedBy>
  <cp:lastPrinted>2022-12-22T05:56:34Z</cp:lastPrinted>
  <dcterms:created xsi:type="dcterms:W3CDTF">2005-10-09T18:31:11Z</dcterms:created>
  <dcterms:modified xsi:type="dcterms:W3CDTF">2025-05-30T04:34:50Z</dcterms:modified>
</cp:coreProperties>
</file>