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assessmentsheet\New folder\"/>
    </mc:Choice>
  </mc:AlternateContent>
  <bookViews>
    <workbookView xWindow="0" yWindow="0" windowWidth="19430" windowHeight="9740" tabRatio="563" activeTab="1"/>
  </bookViews>
  <sheets>
    <sheet name="Repair Assessment Sheet" sheetId="2" r:id="rId1"/>
    <sheet name="Survey Report " sheetId="3" r:id="rId2"/>
    <sheet name="ICan Upload " sheetId="1" r:id="rId3"/>
    <sheet name="ICan Upload  (2)" sheetId="4" r:id="rId4"/>
    <sheet name="Bill" sheetId="5" r:id="rId5"/>
  </sheets>
  <externalReferences>
    <externalReference r:id="rId6"/>
  </externalReferences>
  <definedNames>
    <definedName name="_xlnm._FilterDatabase" localSheetId="0" hidden="1">'Repair Assessment Sheet'!$E$43:$I$70</definedName>
    <definedName name="_xlnm.Print_Area" localSheetId="0">'Repair Assessment Sheet'!$B$2:$S$98</definedName>
    <definedName name="_xlnm.Print_Area" localSheetId="1">'Survey Report '!$A$1:$G$101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2" i="3" l="1"/>
  <c r="E86" i="2" l="1"/>
  <c r="L52" i="2" l="1"/>
  <c r="N52" i="2" s="1"/>
  <c r="M52" i="2"/>
  <c r="O52" i="2"/>
  <c r="L53" i="2"/>
  <c r="N53" i="2" s="1"/>
  <c r="M53" i="2"/>
  <c r="O53" i="2"/>
  <c r="L54" i="2"/>
  <c r="N54" i="2" s="1"/>
  <c r="M54" i="2"/>
  <c r="O54" i="2"/>
  <c r="L55" i="2"/>
  <c r="N55" i="2" s="1"/>
  <c r="M55" i="2"/>
  <c r="O55" i="2"/>
  <c r="L56" i="2"/>
  <c r="N56" i="2" s="1"/>
  <c r="M56" i="2"/>
  <c r="O56" i="2"/>
  <c r="L57" i="2"/>
  <c r="N57" i="2" s="1"/>
  <c r="M57" i="2"/>
  <c r="O57" i="2"/>
  <c r="L58" i="2"/>
  <c r="N58" i="2" s="1"/>
  <c r="M58" i="2"/>
  <c r="O58" i="2"/>
  <c r="Q17" i="2"/>
  <c r="Q18" i="2"/>
  <c r="E29" i="2"/>
  <c r="E30" i="2"/>
  <c r="E31" i="2"/>
  <c r="H35" i="2"/>
  <c r="J35" i="2"/>
  <c r="G37" i="2"/>
  <c r="Q39" i="2"/>
  <c r="L44" i="2"/>
  <c r="N44" i="2" s="1"/>
  <c r="M44" i="2"/>
  <c r="O44" i="2"/>
  <c r="L45" i="2"/>
  <c r="N45" i="2" s="1"/>
  <c r="M45" i="2"/>
  <c r="O45" i="2"/>
  <c r="L46" i="2"/>
  <c r="N46" i="2" s="1"/>
  <c r="M46" i="2"/>
  <c r="O46" i="2"/>
  <c r="L47" i="2"/>
  <c r="N47" i="2" s="1"/>
  <c r="M47" i="2"/>
  <c r="O47" i="2"/>
  <c r="L48" i="2"/>
  <c r="N48" i="2" s="1"/>
  <c r="M48" i="2"/>
  <c r="O48" i="2"/>
  <c r="L49" i="2"/>
  <c r="N49" i="2" s="1"/>
  <c r="M49" i="2"/>
  <c r="O49" i="2"/>
  <c r="L50" i="2"/>
  <c r="N50" i="2" s="1"/>
  <c r="M50" i="2"/>
  <c r="O50" i="2"/>
  <c r="L51" i="2"/>
  <c r="N51" i="2" s="1"/>
  <c r="M51" i="2"/>
  <c r="O51" i="2"/>
  <c r="L59" i="2"/>
  <c r="N59" i="2" s="1"/>
  <c r="M59" i="2"/>
  <c r="O59" i="2"/>
  <c r="L60" i="2"/>
  <c r="N60" i="2" s="1"/>
  <c r="M60" i="2"/>
  <c r="O60" i="2"/>
  <c r="L61" i="2"/>
  <c r="N61" i="2" s="1"/>
  <c r="M61" i="2"/>
  <c r="O61" i="2"/>
  <c r="L62" i="2"/>
  <c r="N62" i="2" s="1"/>
  <c r="M62" i="2"/>
  <c r="O62" i="2"/>
  <c r="L63" i="2"/>
  <c r="N63" i="2" s="1"/>
  <c r="M63" i="2"/>
  <c r="O63" i="2"/>
  <c r="L64" i="2"/>
  <c r="N64" i="2" s="1"/>
  <c r="M64" i="2"/>
  <c r="O64" i="2"/>
  <c r="L65" i="2"/>
  <c r="N65" i="2" s="1"/>
  <c r="M65" i="2"/>
  <c r="O65" i="2"/>
  <c r="L66" i="2"/>
  <c r="N66" i="2" s="1"/>
  <c r="M66" i="2"/>
  <c r="O66" i="2"/>
  <c r="L67" i="2"/>
  <c r="N67" i="2" s="1"/>
  <c r="M67" i="2"/>
  <c r="O67" i="2"/>
  <c r="L68" i="2"/>
  <c r="N68" i="2" s="1"/>
  <c r="M68" i="2"/>
  <c r="O68" i="2"/>
  <c r="L69" i="2"/>
  <c r="N69" i="2" s="1"/>
  <c r="M69" i="2"/>
  <c r="O69" i="2"/>
  <c r="J70" i="2"/>
  <c r="Q70" i="2"/>
  <c r="R70" i="2"/>
  <c r="S70" i="2"/>
  <c r="T70" i="2" l="1"/>
  <c r="P66" i="2"/>
  <c r="P55" i="2"/>
  <c r="P51" i="2"/>
  <c r="P67" i="2"/>
  <c r="P46" i="2"/>
  <c r="P68" i="2"/>
  <c r="P63" i="2"/>
  <c r="P62" i="2"/>
  <c r="P48" i="2"/>
  <c r="P44" i="2"/>
  <c r="P69" i="2"/>
  <c r="P64" i="2"/>
  <c r="P49" i="2"/>
  <c r="P47" i="2"/>
  <c r="P65" i="2"/>
  <c r="P50" i="2"/>
  <c r="P54" i="2"/>
  <c r="P58" i="2"/>
  <c r="P56" i="2"/>
  <c r="P61" i="2"/>
  <c r="P57" i="2"/>
  <c r="P53" i="2"/>
  <c r="P52" i="2"/>
  <c r="M70" i="2"/>
  <c r="P59" i="2"/>
  <c r="P60" i="2"/>
  <c r="N70" i="2"/>
  <c r="P45" i="2"/>
  <c r="F77" i="2"/>
  <c r="P70" i="2" l="1"/>
  <c r="G77" i="2"/>
  <c r="E77" i="2"/>
  <c r="R105" i="2" l="1"/>
  <c r="K98" i="3" l="1"/>
  <c r="I97" i="2"/>
  <c r="U12" i="1"/>
  <c r="R262" i="1"/>
  <c r="R263" i="1"/>
  <c r="R264" i="1"/>
  <c r="M15" i="1"/>
  <c r="N15" i="1"/>
  <c r="O15" i="1"/>
  <c r="M16" i="1"/>
  <c r="N16" i="1"/>
  <c r="O16" i="1"/>
  <c r="M17" i="1"/>
  <c r="N17" i="1"/>
  <c r="O17" i="1"/>
  <c r="M18" i="1"/>
  <c r="N18" i="1"/>
  <c r="O18" i="1"/>
  <c r="M19" i="1"/>
  <c r="N19" i="1"/>
  <c r="O19" i="1"/>
  <c r="M20" i="1"/>
  <c r="N20" i="1"/>
  <c r="O20" i="1"/>
  <c r="M21" i="1"/>
  <c r="N21" i="1"/>
  <c r="O21" i="1"/>
  <c r="M22" i="1"/>
  <c r="N22" i="1"/>
  <c r="O22" i="1"/>
  <c r="M23" i="1"/>
  <c r="N23" i="1"/>
  <c r="O23" i="1"/>
  <c r="M24" i="1"/>
  <c r="N24" i="1"/>
  <c r="O24" i="1"/>
  <c r="M25" i="1"/>
  <c r="N25" i="1"/>
  <c r="O25" i="1"/>
  <c r="M26" i="1"/>
  <c r="N26" i="1"/>
  <c r="O26" i="1"/>
  <c r="M27" i="1"/>
  <c r="N27" i="1"/>
  <c r="O27" i="1"/>
  <c r="M28" i="1"/>
  <c r="N28" i="1"/>
  <c r="O28" i="1"/>
  <c r="M29" i="1"/>
  <c r="N29" i="1"/>
  <c r="O29" i="1"/>
  <c r="M30" i="1"/>
  <c r="N30" i="1"/>
  <c r="O30" i="1"/>
  <c r="M31" i="1"/>
  <c r="N31" i="1"/>
  <c r="O31" i="1"/>
  <c r="M32" i="1"/>
  <c r="N32" i="1"/>
  <c r="O32" i="1"/>
  <c r="M33" i="1"/>
  <c r="N33" i="1"/>
  <c r="O33" i="1"/>
  <c r="M34" i="1"/>
  <c r="N34" i="1"/>
  <c r="O34" i="1"/>
  <c r="M35" i="1"/>
  <c r="N35" i="1"/>
  <c r="O35" i="1"/>
  <c r="M36" i="1"/>
  <c r="N36" i="1"/>
  <c r="O36" i="1"/>
  <c r="M37" i="1"/>
  <c r="N37" i="1"/>
  <c r="O37" i="1"/>
  <c r="M38" i="1"/>
  <c r="N38" i="1"/>
  <c r="O38" i="1"/>
  <c r="M39" i="1"/>
  <c r="N39" i="1"/>
  <c r="O39" i="1"/>
  <c r="M40" i="1"/>
  <c r="N40" i="1"/>
  <c r="O40" i="1"/>
  <c r="M41" i="1"/>
  <c r="N41" i="1"/>
  <c r="O41" i="1"/>
  <c r="M42" i="1"/>
  <c r="N42" i="1"/>
  <c r="O42" i="1"/>
  <c r="M43" i="1"/>
  <c r="N43" i="1"/>
  <c r="O43" i="1"/>
  <c r="M44" i="1"/>
  <c r="N44" i="1"/>
  <c r="O44" i="1"/>
  <c r="M45" i="1"/>
  <c r="N45" i="1"/>
  <c r="O45" i="1"/>
  <c r="M46" i="1"/>
  <c r="N46" i="1"/>
  <c r="O46" i="1"/>
  <c r="M47" i="1"/>
  <c r="N47" i="1"/>
  <c r="O47" i="1"/>
  <c r="M48" i="1"/>
  <c r="N48" i="1"/>
  <c r="O48" i="1"/>
  <c r="M49" i="1"/>
  <c r="N49" i="1"/>
  <c r="O49" i="1"/>
  <c r="M50" i="1"/>
  <c r="N50" i="1"/>
  <c r="O50" i="1"/>
  <c r="M51" i="1"/>
  <c r="N51" i="1"/>
  <c r="O51" i="1"/>
  <c r="M52" i="1"/>
  <c r="N52" i="1"/>
  <c r="O52" i="1"/>
  <c r="M53" i="1"/>
  <c r="N53" i="1"/>
  <c r="O53" i="1"/>
  <c r="M54" i="1"/>
  <c r="N54" i="1"/>
  <c r="O54" i="1"/>
  <c r="M55" i="1"/>
  <c r="N55" i="1"/>
  <c r="O55" i="1"/>
  <c r="M56" i="1"/>
  <c r="N56" i="1"/>
  <c r="O56" i="1"/>
  <c r="M57" i="1"/>
  <c r="N57" i="1"/>
  <c r="O57" i="1"/>
  <c r="M58" i="1"/>
  <c r="N58" i="1"/>
  <c r="O58" i="1"/>
  <c r="M59" i="1"/>
  <c r="N59" i="1"/>
  <c r="O59" i="1"/>
  <c r="M60" i="1"/>
  <c r="N60" i="1"/>
  <c r="O60" i="1"/>
  <c r="M61" i="1"/>
  <c r="N61" i="1"/>
  <c r="O61" i="1"/>
  <c r="M62" i="1"/>
  <c r="N62" i="1"/>
  <c r="O62" i="1"/>
  <c r="M63" i="1"/>
  <c r="N63" i="1"/>
  <c r="O63" i="1"/>
  <c r="M64" i="1"/>
  <c r="N64" i="1"/>
  <c r="O64" i="1"/>
  <c r="M65" i="1"/>
  <c r="N65" i="1"/>
  <c r="O65" i="1"/>
  <c r="M66" i="1"/>
  <c r="N66" i="1"/>
  <c r="O66" i="1"/>
  <c r="M67" i="1"/>
  <c r="N67" i="1"/>
  <c r="O67" i="1"/>
  <c r="M68" i="1"/>
  <c r="N68" i="1"/>
  <c r="O68" i="1"/>
  <c r="M69" i="1"/>
  <c r="N69" i="1"/>
  <c r="O69" i="1"/>
  <c r="M70" i="1"/>
  <c r="N70" i="1"/>
  <c r="O70" i="1"/>
  <c r="M71" i="1"/>
  <c r="N71" i="1"/>
  <c r="O71" i="1"/>
  <c r="M72" i="1"/>
  <c r="N72" i="1"/>
  <c r="O72" i="1"/>
  <c r="M73" i="1"/>
  <c r="N73" i="1"/>
  <c r="O73" i="1"/>
  <c r="M74" i="1"/>
  <c r="N74" i="1"/>
  <c r="O74" i="1"/>
  <c r="M75" i="1"/>
  <c r="N75" i="1"/>
  <c r="O75" i="1"/>
  <c r="M76" i="1"/>
  <c r="N76" i="1"/>
  <c r="O76" i="1"/>
  <c r="M77" i="1"/>
  <c r="N77" i="1"/>
  <c r="O77" i="1"/>
  <c r="M78" i="1"/>
  <c r="N78" i="1"/>
  <c r="O78" i="1"/>
  <c r="M79" i="1"/>
  <c r="N79" i="1"/>
  <c r="O79" i="1"/>
  <c r="M80" i="1"/>
  <c r="N80" i="1"/>
  <c r="O80" i="1"/>
  <c r="M81" i="1"/>
  <c r="N81" i="1"/>
  <c r="O81" i="1"/>
  <c r="M82" i="1"/>
  <c r="N82" i="1"/>
  <c r="O82" i="1"/>
  <c r="M83" i="1"/>
  <c r="N83" i="1"/>
  <c r="O83" i="1"/>
  <c r="M84" i="1"/>
  <c r="N84" i="1"/>
  <c r="O84" i="1"/>
  <c r="M85" i="1"/>
  <c r="N85" i="1"/>
  <c r="O85" i="1"/>
  <c r="M86" i="1"/>
  <c r="N86" i="1"/>
  <c r="O86" i="1"/>
  <c r="M87" i="1"/>
  <c r="N87" i="1"/>
  <c r="O87" i="1"/>
  <c r="M88" i="1"/>
  <c r="N88" i="1"/>
  <c r="O88" i="1"/>
  <c r="M89" i="1"/>
  <c r="N89" i="1"/>
  <c r="O89" i="1"/>
  <c r="M90" i="1"/>
  <c r="N90" i="1"/>
  <c r="O90" i="1"/>
  <c r="M91" i="1"/>
  <c r="N91" i="1"/>
  <c r="O91" i="1"/>
  <c r="M92" i="1"/>
  <c r="N92" i="1"/>
  <c r="O92" i="1"/>
  <c r="M93" i="1"/>
  <c r="N93" i="1"/>
  <c r="O93" i="1"/>
  <c r="M94" i="1"/>
  <c r="N94" i="1"/>
  <c r="O94" i="1"/>
  <c r="M95" i="1"/>
  <c r="N95" i="1"/>
  <c r="O95" i="1"/>
  <c r="M96" i="1"/>
  <c r="N96" i="1"/>
  <c r="O96" i="1"/>
  <c r="M97" i="1"/>
  <c r="N97" i="1"/>
  <c r="O97" i="1"/>
  <c r="M98" i="1"/>
  <c r="N98" i="1"/>
  <c r="O98" i="1"/>
  <c r="M99" i="1"/>
  <c r="N99" i="1"/>
  <c r="O99" i="1"/>
  <c r="M100" i="1"/>
  <c r="N100" i="1"/>
  <c r="O100" i="1"/>
  <c r="M101" i="1"/>
  <c r="N101" i="1"/>
  <c r="O101" i="1"/>
  <c r="M102" i="1"/>
  <c r="N102" i="1"/>
  <c r="O102" i="1"/>
  <c r="M103" i="1"/>
  <c r="N103" i="1"/>
  <c r="O103" i="1"/>
  <c r="M104" i="1"/>
  <c r="N104" i="1"/>
  <c r="O104" i="1"/>
  <c r="M105" i="1"/>
  <c r="N105" i="1"/>
  <c r="O105" i="1"/>
  <c r="M106" i="1"/>
  <c r="N106" i="1"/>
  <c r="O106" i="1"/>
  <c r="M107" i="1"/>
  <c r="N107" i="1"/>
  <c r="O107" i="1"/>
  <c r="M108" i="1"/>
  <c r="N108" i="1"/>
  <c r="O108" i="1"/>
  <c r="M109" i="1"/>
  <c r="N109" i="1"/>
  <c r="O109" i="1"/>
  <c r="M110" i="1"/>
  <c r="N110" i="1"/>
  <c r="O110" i="1"/>
  <c r="M111" i="1"/>
  <c r="N111" i="1"/>
  <c r="O111" i="1"/>
  <c r="M112" i="1"/>
  <c r="N112" i="1"/>
  <c r="O112" i="1"/>
  <c r="M113" i="1"/>
  <c r="N113" i="1"/>
  <c r="O113" i="1"/>
  <c r="M114" i="1"/>
  <c r="N114" i="1"/>
  <c r="O114" i="1"/>
  <c r="M115" i="1"/>
  <c r="N115" i="1"/>
  <c r="O115" i="1"/>
  <c r="M116" i="1"/>
  <c r="N116" i="1"/>
  <c r="O116" i="1"/>
  <c r="M117" i="1"/>
  <c r="N117" i="1"/>
  <c r="O117" i="1"/>
  <c r="M118" i="1"/>
  <c r="N118" i="1"/>
  <c r="O118" i="1"/>
  <c r="M119" i="1"/>
  <c r="N119" i="1"/>
  <c r="O119" i="1"/>
  <c r="M120" i="1"/>
  <c r="N120" i="1"/>
  <c r="O120" i="1"/>
  <c r="M121" i="1"/>
  <c r="N121" i="1"/>
  <c r="O121" i="1"/>
  <c r="M122" i="1"/>
  <c r="N122" i="1"/>
  <c r="O122" i="1"/>
  <c r="M123" i="1"/>
  <c r="N123" i="1"/>
  <c r="O123" i="1"/>
  <c r="M124" i="1"/>
  <c r="N124" i="1"/>
  <c r="O124" i="1"/>
  <c r="M125" i="1"/>
  <c r="N125" i="1"/>
  <c r="O125" i="1"/>
  <c r="M126" i="1"/>
  <c r="N126" i="1"/>
  <c r="O126" i="1"/>
  <c r="M127" i="1"/>
  <c r="N127" i="1"/>
  <c r="O127" i="1"/>
  <c r="M128" i="1"/>
  <c r="N128" i="1"/>
  <c r="O128" i="1"/>
  <c r="M129" i="1"/>
  <c r="N129" i="1"/>
  <c r="O129" i="1"/>
  <c r="M130" i="1"/>
  <c r="N130" i="1"/>
  <c r="O130" i="1"/>
  <c r="M131" i="1"/>
  <c r="N131" i="1"/>
  <c r="O131" i="1"/>
  <c r="M132" i="1"/>
  <c r="N132" i="1"/>
  <c r="O132" i="1"/>
  <c r="M133" i="1"/>
  <c r="N133" i="1"/>
  <c r="O133" i="1"/>
  <c r="M134" i="1"/>
  <c r="N134" i="1"/>
  <c r="O134" i="1"/>
  <c r="M135" i="1"/>
  <c r="N135" i="1"/>
  <c r="O135" i="1"/>
  <c r="M136" i="1"/>
  <c r="N136" i="1"/>
  <c r="O136" i="1"/>
  <c r="M137" i="1"/>
  <c r="N137" i="1"/>
  <c r="O137" i="1"/>
  <c r="M138" i="1"/>
  <c r="N138" i="1"/>
  <c r="O138" i="1"/>
  <c r="M139" i="1"/>
  <c r="N139" i="1"/>
  <c r="O139" i="1"/>
  <c r="M140" i="1"/>
  <c r="N140" i="1"/>
  <c r="O140" i="1"/>
  <c r="M141" i="1"/>
  <c r="N141" i="1"/>
  <c r="O141" i="1"/>
  <c r="M142" i="1"/>
  <c r="N142" i="1"/>
  <c r="O142" i="1"/>
  <c r="M143" i="1"/>
  <c r="N143" i="1"/>
  <c r="O143" i="1"/>
  <c r="M144" i="1"/>
  <c r="N144" i="1"/>
  <c r="O144" i="1"/>
  <c r="M145" i="1"/>
  <c r="N145" i="1"/>
  <c r="O145" i="1"/>
  <c r="M146" i="1"/>
  <c r="N146" i="1"/>
  <c r="O146" i="1"/>
  <c r="M147" i="1"/>
  <c r="N147" i="1"/>
  <c r="O147" i="1"/>
  <c r="M148" i="1"/>
  <c r="N148" i="1"/>
  <c r="O148" i="1"/>
  <c r="M149" i="1"/>
  <c r="N149" i="1"/>
  <c r="O149" i="1"/>
  <c r="M150" i="1"/>
  <c r="N150" i="1"/>
  <c r="O150" i="1"/>
  <c r="M151" i="1"/>
  <c r="N151" i="1"/>
  <c r="O151" i="1"/>
  <c r="M152" i="1"/>
  <c r="N152" i="1"/>
  <c r="O152" i="1"/>
  <c r="M153" i="1"/>
  <c r="N153" i="1"/>
  <c r="O153" i="1"/>
  <c r="M154" i="1"/>
  <c r="N154" i="1"/>
  <c r="O154" i="1"/>
  <c r="M155" i="1"/>
  <c r="N155" i="1"/>
  <c r="O155" i="1"/>
  <c r="M156" i="1"/>
  <c r="N156" i="1"/>
  <c r="O156" i="1"/>
  <c r="M157" i="1"/>
  <c r="N157" i="1"/>
  <c r="O157" i="1"/>
  <c r="M158" i="1"/>
  <c r="N158" i="1"/>
  <c r="O158" i="1"/>
  <c r="M159" i="1"/>
  <c r="N159" i="1"/>
  <c r="O159" i="1"/>
  <c r="M160" i="1"/>
  <c r="N160" i="1"/>
  <c r="O160" i="1"/>
  <c r="M161" i="1"/>
  <c r="N161" i="1"/>
  <c r="O161" i="1"/>
  <c r="M162" i="1"/>
  <c r="N162" i="1"/>
  <c r="O162" i="1"/>
  <c r="M163" i="1"/>
  <c r="N163" i="1"/>
  <c r="O163" i="1"/>
  <c r="M164" i="1"/>
  <c r="N164" i="1"/>
  <c r="O164" i="1"/>
  <c r="M165" i="1"/>
  <c r="N165" i="1"/>
  <c r="O165" i="1"/>
  <c r="M166" i="1"/>
  <c r="N166" i="1"/>
  <c r="O166" i="1"/>
  <c r="M167" i="1"/>
  <c r="N167" i="1"/>
  <c r="O167" i="1"/>
  <c r="M168" i="1"/>
  <c r="N168" i="1"/>
  <c r="O168" i="1"/>
  <c r="M169" i="1"/>
  <c r="N169" i="1"/>
  <c r="O169" i="1"/>
  <c r="M170" i="1"/>
  <c r="N170" i="1"/>
  <c r="O170" i="1"/>
  <c r="M171" i="1"/>
  <c r="N171" i="1"/>
  <c r="O171" i="1"/>
  <c r="M172" i="1"/>
  <c r="N172" i="1"/>
  <c r="O172" i="1"/>
  <c r="M173" i="1"/>
  <c r="N173" i="1"/>
  <c r="O173" i="1"/>
  <c r="M174" i="1"/>
  <c r="N174" i="1"/>
  <c r="O174" i="1"/>
  <c r="M175" i="1"/>
  <c r="N175" i="1"/>
  <c r="O175" i="1"/>
  <c r="M176" i="1"/>
  <c r="N176" i="1"/>
  <c r="O176" i="1"/>
  <c r="M177" i="1"/>
  <c r="N177" i="1"/>
  <c r="O177" i="1"/>
  <c r="M178" i="1"/>
  <c r="N178" i="1"/>
  <c r="O178" i="1"/>
  <c r="M179" i="1"/>
  <c r="N179" i="1"/>
  <c r="O179" i="1"/>
  <c r="M180" i="1"/>
  <c r="N180" i="1"/>
  <c r="O180" i="1"/>
  <c r="M181" i="1"/>
  <c r="N181" i="1"/>
  <c r="O181" i="1"/>
  <c r="M182" i="1"/>
  <c r="N182" i="1"/>
  <c r="O182" i="1"/>
  <c r="M183" i="1"/>
  <c r="N183" i="1"/>
  <c r="O183" i="1"/>
  <c r="M184" i="1"/>
  <c r="N184" i="1"/>
  <c r="O184" i="1"/>
  <c r="M185" i="1"/>
  <c r="N185" i="1"/>
  <c r="O185" i="1"/>
  <c r="M186" i="1"/>
  <c r="N186" i="1"/>
  <c r="O186" i="1"/>
  <c r="M187" i="1"/>
  <c r="N187" i="1"/>
  <c r="O187" i="1"/>
  <c r="M188" i="1"/>
  <c r="N188" i="1"/>
  <c r="O188" i="1"/>
  <c r="M189" i="1"/>
  <c r="N189" i="1"/>
  <c r="O189" i="1"/>
  <c r="M190" i="1"/>
  <c r="N190" i="1"/>
  <c r="O190" i="1"/>
  <c r="M191" i="1"/>
  <c r="N191" i="1"/>
  <c r="O191" i="1"/>
  <c r="M192" i="1"/>
  <c r="N192" i="1"/>
  <c r="O192" i="1"/>
  <c r="M193" i="1"/>
  <c r="N193" i="1"/>
  <c r="O193" i="1"/>
  <c r="M194" i="1"/>
  <c r="N194" i="1"/>
  <c r="O194" i="1"/>
  <c r="M195" i="1"/>
  <c r="N195" i="1"/>
  <c r="O195" i="1"/>
  <c r="M196" i="1"/>
  <c r="N196" i="1"/>
  <c r="O196" i="1"/>
  <c r="M197" i="1"/>
  <c r="N197" i="1"/>
  <c r="O197" i="1"/>
  <c r="M198" i="1"/>
  <c r="N198" i="1"/>
  <c r="O198" i="1"/>
  <c r="M199" i="1"/>
  <c r="N199" i="1"/>
  <c r="O199" i="1"/>
  <c r="M200" i="1"/>
  <c r="N200" i="1"/>
  <c r="O200" i="1"/>
  <c r="M201" i="1"/>
  <c r="N201" i="1"/>
  <c r="O201" i="1"/>
  <c r="M202" i="1"/>
  <c r="N202" i="1"/>
  <c r="O202" i="1"/>
  <c r="M203" i="1"/>
  <c r="N203" i="1"/>
  <c r="O203" i="1"/>
  <c r="M204" i="1"/>
  <c r="N204" i="1"/>
  <c r="O204" i="1"/>
  <c r="M205" i="1"/>
  <c r="N205" i="1"/>
  <c r="O205" i="1"/>
  <c r="M206" i="1"/>
  <c r="N206" i="1"/>
  <c r="O206" i="1"/>
  <c r="M207" i="1"/>
  <c r="N207" i="1"/>
  <c r="O207" i="1"/>
  <c r="M208" i="1"/>
  <c r="N208" i="1"/>
  <c r="O208" i="1"/>
  <c r="M209" i="1"/>
  <c r="N209" i="1"/>
  <c r="O209" i="1"/>
  <c r="M210" i="1"/>
  <c r="N210" i="1"/>
  <c r="O210" i="1"/>
  <c r="M211" i="1"/>
  <c r="N211" i="1"/>
  <c r="O211" i="1"/>
  <c r="M212" i="1"/>
  <c r="N212" i="1"/>
  <c r="O212" i="1"/>
  <c r="M213" i="1"/>
  <c r="N213" i="1"/>
  <c r="O213" i="1"/>
  <c r="M214" i="1"/>
  <c r="N214" i="1"/>
  <c r="O214" i="1"/>
  <c r="M215" i="1"/>
  <c r="N215" i="1"/>
  <c r="O215" i="1"/>
  <c r="M216" i="1"/>
  <c r="N216" i="1"/>
  <c r="O216" i="1"/>
  <c r="M217" i="1"/>
  <c r="N217" i="1"/>
  <c r="O217" i="1"/>
  <c r="M218" i="1"/>
  <c r="N218" i="1"/>
  <c r="O218" i="1"/>
  <c r="M219" i="1"/>
  <c r="N219" i="1"/>
  <c r="O219" i="1"/>
  <c r="M220" i="1"/>
  <c r="N220" i="1"/>
  <c r="O220" i="1"/>
  <c r="M221" i="1"/>
  <c r="N221" i="1"/>
  <c r="O221" i="1"/>
  <c r="M222" i="1"/>
  <c r="N222" i="1"/>
  <c r="O222" i="1"/>
  <c r="M223" i="1"/>
  <c r="N223" i="1"/>
  <c r="O223" i="1"/>
  <c r="M224" i="1"/>
  <c r="N224" i="1"/>
  <c r="O224" i="1"/>
  <c r="M225" i="1"/>
  <c r="N225" i="1"/>
  <c r="O225" i="1"/>
  <c r="M226" i="1"/>
  <c r="N226" i="1"/>
  <c r="O226" i="1"/>
  <c r="M227" i="1"/>
  <c r="N227" i="1"/>
  <c r="O227" i="1"/>
  <c r="M228" i="1"/>
  <c r="N228" i="1"/>
  <c r="O228" i="1"/>
  <c r="M229" i="1"/>
  <c r="N229" i="1"/>
  <c r="O229" i="1"/>
  <c r="M230" i="1"/>
  <c r="N230" i="1"/>
  <c r="O230" i="1"/>
  <c r="M231" i="1"/>
  <c r="N231" i="1"/>
  <c r="O231" i="1"/>
  <c r="M232" i="1"/>
  <c r="N232" i="1"/>
  <c r="O232" i="1"/>
  <c r="M233" i="1"/>
  <c r="N233" i="1"/>
  <c r="O233" i="1"/>
  <c r="M234" i="1"/>
  <c r="N234" i="1"/>
  <c r="O234" i="1"/>
  <c r="M235" i="1"/>
  <c r="N235" i="1"/>
  <c r="O235" i="1"/>
  <c r="M236" i="1"/>
  <c r="N236" i="1"/>
  <c r="O236" i="1"/>
  <c r="M237" i="1"/>
  <c r="N237" i="1"/>
  <c r="O237" i="1"/>
  <c r="M238" i="1"/>
  <c r="N238" i="1"/>
  <c r="O238" i="1"/>
  <c r="M239" i="1"/>
  <c r="N239" i="1"/>
  <c r="O239" i="1"/>
  <c r="M240" i="1"/>
  <c r="N240" i="1"/>
  <c r="O240" i="1"/>
  <c r="M241" i="1"/>
  <c r="N241" i="1"/>
  <c r="O241" i="1"/>
  <c r="M242" i="1"/>
  <c r="N242" i="1"/>
  <c r="O242" i="1"/>
  <c r="M243" i="1"/>
  <c r="N243" i="1"/>
  <c r="O243" i="1"/>
  <c r="M244" i="1"/>
  <c r="N244" i="1"/>
  <c r="O244" i="1"/>
  <c r="M245" i="1"/>
  <c r="N245" i="1"/>
  <c r="O245" i="1"/>
  <c r="M246" i="1"/>
  <c r="N246" i="1"/>
  <c r="O246" i="1"/>
  <c r="M247" i="1"/>
  <c r="N247" i="1"/>
  <c r="O247" i="1"/>
  <c r="M248" i="1"/>
  <c r="N248" i="1"/>
  <c r="O248" i="1"/>
  <c r="M249" i="1"/>
  <c r="N249" i="1"/>
  <c r="O249" i="1"/>
  <c r="M250" i="1"/>
  <c r="N250" i="1"/>
  <c r="O250" i="1"/>
  <c r="M251" i="1"/>
  <c r="N251" i="1"/>
  <c r="O251" i="1"/>
  <c r="M252" i="1"/>
  <c r="N252" i="1"/>
  <c r="O252" i="1"/>
  <c r="M253" i="1"/>
  <c r="N253" i="1"/>
  <c r="O253" i="1"/>
  <c r="M254" i="1"/>
  <c r="N254" i="1"/>
  <c r="O254" i="1"/>
  <c r="M255" i="1"/>
  <c r="N255" i="1"/>
  <c r="O255" i="1"/>
  <c r="M256" i="1"/>
  <c r="N256" i="1"/>
  <c r="O256" i="1"/>
  <c r="M257" i="1"/>
  <c r="N257" i="1"/>
  <c r="O257" i="1"/>
  <c r="M258" i="1"/>
  <c r="N258" i="1"/>
  <c r="O258" i="1"/>
  <c r="M259" i="1"/>
  <c r="N259" i="1"/>
  <c r="O259" i="1"/>
  <c r="M260" i="1"/>
  <c r="N260" i="1"/>
  <c r="O260" i="1"/>
  <c r="M261" i="1"/>
  <c r="N261" i="1"/>
  <c r="O261" i="1"/>
  <c r="M262" i="1"/>
  <c r="N262" i="1"/>
  <c r="O262" i="1"/>
  <c r="M263" i="1"/>
  <c r="N263" i="1"/>
  <c r="O263" i="1"/>
  <c r="M264" i="1"/>
  <c r="N264" i="1"/>
  <c r="O264" i="1"/>
  <c r="M265" i="1"/>
  <c r="N265" i="1"/>
  <c r="O265" i="1"/>
  <c r="M266" i="1"/>
  <c r="N266" i="1"/>
  <c r="O266" i="1"/>
  <c r="G276" i="1"/>
  <c r="G275" i="1"/>
  <c r="G274" i="1"/>
  <c r="G273" i="1"/>
  <c r="G272" i="1"/>
  <c r="G271" i="1"/>
  <c r="G270" i="1"/>
  <c r="G269"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5" i="1"/>
  <c r="K266" i="1"/>
  <c r="K268"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P102" i="2"/>
  <c r="R106" i="2"/>
  <c r="R159" i="2" s="1"/>
  <c r="R161" i="2" s="1"/>
  <c r="U6" i="1" l="1"/>
  <c r="U5" i="1"/>
  <c r="U3" i="1"/>
  <c r="U4" i="1"/>
  <c r="V45" i="2"/>
  <c r="R15" i="1" s="1"/>
  <c r="V46" i="2"/>
  <c r="R16" i="1" s="1"/>
  <c r="V47" i="2"/>
  <c r="R17" i="1" s="1"/>
  <c r="V48" i="2"/>
  <c r="R18" i="1" s="1"/>
  <c r="V49" i="2"/>
  <c r="R19" i="1" s="1"/>
  <c r="V50" i="2"/>
  <c r="R20" i="1" s="1"/>
  <c r="V51" i="2"/>
  <c r="R21" i="1" s="1"/>
  <c r="V52" i="2"/>
  <c r="R22" i="1" s="1"/>
  <c r="V53" i="2"/>
  <c r="R23" i="1" s="1"/>
  <c r="V54" i="2"/>
  <c r="R24" i="1" s="1"/>
  <c r="V55" i="2"/>
  <c r="R25" i="1" s="1"/>
  <c r="R26" i="1"/>
  <c r="V56" i="2"/>
  <c r="R27" i="1" s="1"/>
  <c r="V57" i="2"/>
  <c r="R28" i="1" s="1"/>
  <c r="V58" i="2"/>
  <c r="R29" i="1" s="1"/>
  <c r="V59" i="2"/>
  <c r="R30" i="1" s="1"/>
  <c r="V60" i="2"/>
  <c r="R31" i="1" s="1"/>
  <c r="V61" i="2"/>
  <c r="R32" i="1" s="1"/>
  <c r="V62" i="2"/>
  <c r="R33" i="1" s="1"/>
  <c r="V63" i="2"/>
  <c r="R34" i="1" s="1"/>
  <c r="V64" i="2"/>
  <c r="R35" i="1" s="1"/>
  <c r="V65" i="2"/>
  <c r="R36" i="1" s="1"/>
  <c r="V66" i="2"/>
  <c r="R37" i="1" s="1"/>
  <c r="V67" i="2"/>
  <c r="R38" i="1" s="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V44" i="2"/>
  <c r="R14" i="1" s="1"/>
  <c r="T45" i="2"/>
  <c r="T46" i="2"/>
  <c r="T47" i="2"/>
  <c r="T48" i="2"/>
  <c r="T49" i="2"/>
  <c r="T50" i="2"/>
  <c r="T51" i="2"/>
  <c r="T52" i="2"/>
  <c r="T53" i="2"/>
  <c r="T54" i="2"/>
  <c r="T55" i="2"/>
  <c r="T56" i="2"/>
  <c r="T57" i="2"/>
  <c r="T58" i="2"/>
  <c r="T59" i="2"/>
  <c r="T60" i="2"/>
  <c r="T61" i="2"/>
  <c r="T62" i="2"/>
  <c r="T63" i="2"/>
  <c r="T64" i="2"/>
  <c r="T65" i="2"/>
  <c r="T66" i="2"/>
  <c r="T67" i="2"/>
  <c r="T44" i="2"/>
  <c r="K264" i="1"/>
  <c r="D59" i="4" l="1"/>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14" i="4"/>
  <c r="J15" i="4"/>
  <c r="J16" i="4"/>
  <c r="J17" i="4"/>
  <c r="J18" i="4"/>
  <c r="J19" i="4"/>
  <c r="J20" i="4"/>
  <c r="J22" i="4"/>
  <c r="J23" i="4"/>
  <c r="J24" i="4"/>
  <c r="J26" i="4"/>
  <c r="J27" i="4"/>
  <c r="J28" i="4"/>
  <c r="J30" i="4"/>
  <c r="J31" i="4"/>
  <c r="J32" i="4"/>
  <c r="J35" i="4"/>
  <c r="J38" i="4"/>
  <c r="J39" i="4"/>
  <c r="K18" i="4"/>
  <c r="K22" i="4"/>
  <c r="K26" i="4"/>
  <c r="K28" i="4"/>
  <c r="K35" i="4"/>
  <c r="K37" i="4"/>
  <c r="K41" i="4"/>
  <c r="K30" i="4"/>
  <c r="G41" i="4"/>
  <c r="G18" i="4"/>
  <c r="G22" i="4"/>
  <c r="G26" i="4"/>
  <c r="G30" i="4"/>
  <c r="G34" i="4"/>
  <c r="G35" i="4"/>
  <c r="G37" i="4"/>
  <c r="G39" i="4"/>
  <c r="G14" i="4"/>
  <c r="K15" i="4"/>
  <c r="L15" i="4"/>
  <c r="M15" i="4"/>
  <c r="N15" i="4"/>
  <c r="O15" i="4"/>
  <c r="K16" i="4"/>
  <c r="L16" i="4"/>
  <c r="M16" i="4"/>
  <c r="N16" i="4"/>
  <c r="O16" i="4"/>
  <c r="K17" i="4"/>
  <c r="L17" i="4"/>
  <c r="M17" i="4"/>
  <c r="N17" i="4"/>
  <c r="O17" i="4"/>
  <c r="L18" i="4"/>
  <c r="M18" i="4"/>
  <c r="N18" i="4"/>
  <c r="O18" i="4"/>
  <c r="K19" i="4"/>
  <c r="L19" i="4"/>
  <c r="M19" i="4"/>
  <c r="N19" i="4"/>
  <c r="O19" i="4"/>
  <c r="K20" i="4"/>
  <c r="L20" i="4"/>
  <c r="M20" i="4"/>
  <c r="N20" i="4"/>
  <c r="O20" i="4"/>
  <c r="J21" i="4"/>
  <c r="K21" i="4"/>
  <c r="L21" i="4"/>
  <c r="M21" i="4"/>
  <c r="N21" i="4"/>
  <c r="O21" i="4"/>
  <c r="L22" i="4"/>
  <c r="M22" i="4"/>
  <c r="N22" i="4"/>
  <c r="O22" i="4"/>
  <c r="K23" i="4"/>
  <c r="L23" i="4"/>
  <c r="M23" i="4"/>
  <c r="N23" i="4"/>
  <c r="O23" i="4"/>
  <c r="K24" i="4"/>
  <c r="L24" i="4"/>
  <c r="M24" i="4"/>
  <c r="N24" i="4"/>
  <c r="O24" i="4"/>
  <c r="J25" i="4"/>
  <c r="K25" i="4"/>
  <c r="L25" i="4"/>
  <c r="M25" i="4"/>
  <c r="N25" i="4"/>
  <c r="O25" i="4"/>
  <c r="L26" i="4"/>
  <c r="M26" i="4"/>
  <c r="N26" i="4"/>
  <c r="O26" i="4"/>
  <c r="K27" i="4"/>
  <c r="L27" i="4"/>
  <c r="M27" i="4"/>
  <c r="N27" i="4"/>
  <c r="O27" i="4"/>
  <c r="L28" i="4"/>
  <c r="M28" i="4"/>
  <c r="N28" i="4"/>
  <c r="O28" i="4"/>
  <c r="J29" i="4"/>
  <c r="K29" i="4"/>
  <c r="L29" i="4"/>
  <c r="M29" i="4"/>
  <c r="N29" i="4"/>
  <c r="O29" i="4"/>
  <c r="L30" i="4"/>
  <c r="M30" i="4"/>
  <c r="N30" i="4"/>
  <c r="O30" i="4"/>
  <c r="K31" i="4"/>
  <c r="L31" i="4"/>
  <c r="M31" i="4"/>
  <c r="N31" i="4"/>
  <c r="O31" i="4"/>
  <c r="K32" i="4"/>
  <c r="L32" i="4"/>
  <c r="M32" i="4"/>
  <c r="N32" i="4"/>
  <c r="O32" i="4"/>
  <c r="J33" i="4"/>
  <c r="K33" i="4"/>
  <c r="L33" i="4"/>
  <c r="M33" i="4"/>
  <c r="N33" i="4"/>
  <c r="O33" i="4"/>
  <c r="J34" i="4"/>
  <c r="L34" i="4"/>
  <c r="M34" i="4"/>
  <c r="N34" i="4"/>
  <c r="O34" i="4"/>
  <c r="L35" i="4"/>
  <c r="M35" i="4"/>
  <c r="N35" i="4"/>
  <c r="O35" i="4"/>
  <c r="J36" i="4"/>
  <c r="K36" i="4"/>
  <c r="L36" i="4"/>
  <c r="M36" i="4"/>
  <c r="N36" i="4"/>
  <c r="O36" i="4"/>
  <c r="J37" i="4"/>
  <c r="L37" i="4"/>
  <c r="M37" i="4"/>
  <c r="N37" i="4"/>
  <c r="O37" i="4"/>
  <c r="K38" i="4"/>
  <c r="L38" i="4"/>
  <c r="M38" i="4"/>
  <c r="N38" i="4"/>
  <c r="O38" i="4"/>
  <c r="K39" i="4"/>
  <c r="L39" i="4"/>
  <c r="M39" i="4"/>
  <c r="N39" i="4"/>
  <c r="O39" i="4"/>
  <c r="J40" i="4"/>
  <c r="K40" i="4"/>
  <c r="L40" i="4"/>
  <c r="M40" i="4"/>
  <c r="N40" i="4"/>
  <c r="O40" i="4"/>
  <c r="J41" i="4"/>
  <c r="L41" i="4"/>
  <c r="M41" i="4"/>
  <c r="N41" i="4"/>
  <c r="O41" i="4"/>
  <c r="J42" i="4"/>
  <c r="K42" i="4"/>
  <c r="L42" i="4"/>
  <c r="M42" i="4"/>
  <c r="N42" i="4"/>
  <c r="O42" i="4"/>
  <c r="J43" i="4"/>
  <c r="L43" i="4"/>
  <c r="J44" i="4"/>
  <c r="K44" i="4"/>
  <c r="L44" i="4"/>
  <c r="M44" i="4"/>
  <c r="N44" i="4"/>
  <c r="O44" i="4"/>
  <c r="J45" i="4"/>
  <c r="K45" i="4"/>
  <c r="L45" i="4"/>
  <c r="M45" i="4"/>
  <c r="N45" i="4"/>
  <c r="O45" i="4"/>
  <c r="J46" i="4"/>
  <c r="K46" i="4"/>
  <c r="L46" i="4"/>
  <c r="M46" i="4"/>
  <c r="N46" i="4"/>
  <c r="O46" i="4"/>
  <c r="J47" i="4"/>
  <c r="K47" i="4"/>
  <c r="L47" i="4"/>
  <c r="M47" i="4"/>
  <c r="N47" i="4"/>
  <c r="O47" i="4"/>
  <c r="J48" i="4"/>
  <c r="L48" i="4"/>
  <c r="M48" i="4"/>
  <c r="N48" i="4"/>
  <c r="J49" i="4"/>
  <c r="L49" i="4"/>
  <c r="M49" i="4"/>
  <c r="N49" i="4"/>
  <c r="J50" i="4"/>
  <c r="L50" i="4"/>
  <c r="M50" i="4"/>
  <c r="N50" i="4"/>
  <c r="J51" i="4"/>
  <c r="L51" i="4"/>
  <c r="M51" i="4"/>
  <c r="N51" i="4"/>
  <c r="J52" i="4"/>
  <c r="K52" i="4"/>
  <c r="L52" i="4"/>
  <c r="M52" i="4"/>
  <c r="N52" i="4"/>
  <c r="O52" i="4"/>
  <c r="J53" i="4"/>
  <c r="L53" i="4"/>
  <c r="M53" i="4"/>
  <c r="N53" i="4"/>
  <c r="J54" i="4"/>
  <c r="L54" i="4"/>
  <c r="M54" i="4"/>
  <c r="N54" i="4"/>
  <c r="O54" i="4"/>
  <c r="J55" i="4"/>
  <c r="L55" i="4"/>
  <c r="M55" i="4"/>
  <c r="N55" i="4"/>
  <c r="O55" i="4"/>
  <c r="J56" i="4"/>
  <c r="L56" i="4"/>
  <c r="M56" i="4"/>
  <c r="N56" i="4"/>
  <c r="J57" i="4"/>
  <c r="K57" i="4"/>
  <c r="L57" i="4"/>
  <c r="M57" i="4"/>
  <c r="N57" i="4"/>
  <c r="J58" i="4"/>
  <c r="K58" i="4"/>
  <c r="L58" i="4"/>
  <c r="M58" i="4"/>
  <c r="N58" i="4"/>
  <c r="J59" i="4"/>
  <c r="K59" i="4"/>
  <c r="L59" i="4"/>
  <c r="M59" i="4"/>
  <c r="N59" i="4"/>
  <c r="J60" i="4"/>
  <c r="K60" i="4"/>
  <c r="L60" i="4"/>
  <c r="M60" i="4"/>
  <c r="N60" i="4"/>
  <c r="O60" i="4"/>
  <c r="J61" i="4"/>
  <c r="K61" i="4"/>
  <c r="L61" i="4"/>
  <c r="M61" i="4"/>
  <c r="N61" i="4"/>
  <c r="J62" i="4"/>
  <c r="K62" i="4"/>
  <c r="L62" i="4"/>
  <c r="M62" i="4"/>
  <c r="N62" i="4"/>
  <c r="J63" i="4"/>
  <c r="K63" i="4"/>
  <c r="L63" i="4"/>
  <c r="M63" i="4"/>
  <c r="N63" i="4"/>
  <c r="J64" i="4"/>
  <c r="K64" i="4"/>
  <c r="L64" i="4"/>
  <c r="M64" i="4"/>
  <c r="N64" i="4"/>
  <c r="J65" i="4"/>
  <c r="K65" i="4"/>
  <c r="L65" i="4"/>
  <c r="M65" i="4"/>
  <c r="N65" i="4"/>
  <c r="J66" i="4"/>
  <c r="K66" i="4"/>
  <c r="L66" i="4"/>
  <c r="M66" i="4"/>
  <c r="N66" i="4"/>
  <c r="J67" i="4"/>
  <c r="K67" i="4"/>
  <c r="L67" i="4"/>
  <c r="M67" i="4"/>
  <c r="N67" i="4"/>
  <c r="O67" i="4"/>
  <c r="J68" i="4"/>
  <c r="K68" i="4"/>
  <c r="L68" i="4"/>
  <c r="M68" i="4"/>
  <c r="N68" i="4"/>
  <c r="O68" i="4"/>
  <c r="J69" i="4"/>
  <c r="K69" i="4"/>
  <c r="L69" i="4"/>
  <c r="M69" i="4"/>
  <c r="N69" i="4"/>
  <c r="O69" i="4"/>
  <c r="J70" i="4"/>
  <c r="K70" i="4"/>
  <c r="L70" i="4"/>
  <c r="M70" i="4"/>
  <c r="N70" i="4"/>
  <c r="O70" i="4"/>
  <c r="J71" i="4"/>
  <c r="K71" i="4"/>
  <c r="L71" i="4"/>
  <c r="M71" i="4"/>
  <c r="N71" i="4"/>
  <c r="O71" i="4"/>
  <c r="J72" i="4"/>
  <c r="K72" i="4"/>
  <c r="L72" i="4"/>
  <c r="M72" i="4"/>
  <c r="N72" i="4"/>
  <c r="O72" i="4"/>
  <c r="J73" i="4"/>
  <c r="K73" i="4"/>
  <c r="L73" i="4"/>
  <c r="M73" i="4"/>
  <c r="N73" i="4"/>
  <c r="O73" i="4"/>
  <c r="J74" i="4"/>
  <c r="K74" i="4"/>
  <c r="L74" i="4"/>
  <c r="M74" i="4"/>
  <c r="N74" i="4"/>
  <c r="O74" i="4"/>
  <c r="J75" i="4"/>
  <c r="K75" i="4"/>
  <c r="L75" i="4"/>
  <c r="M75" i="4"/>
  <c r="N75" i="4"/>
  <c r="O75" i="4"/>
  <c r="J76" i="4"/>
  <c r="K76" i="4"/>
  <c r="L76" i="4"/>
  <c r="M76" i="4"/>
  <c r="N76" i="4"/>
  <c r="O76" i="4"/>
  <c r="J77" i="4"/>
  <c r="K77" i="4"/>
  <c r="L77" i="4"/>
  <c r="M77" i="4"/>
  <c r="N77" i="4"/>
  <c r="O77" i="4"/>
  <c r="J78" i="4"/>
  <c r="K78" i="4"/>
  <c r="L78" i="4"/>
  <c r="M78" i="4"/>
  <c r="N78" i="4"/>
  <c r="O78" i="4"/>
  <c r="J79" i="4"/>
  <c r="K79" i="4"/>
  <c r="L79" i="4"/>
  <c r="M79" i="4"/>
  <c r="N79" i="4"/>
  <c r="O79" i="4"/>
  <c r="J80" i="4"/>
  <c r="K80" i="4"/>
  <c r="L80" i="4"/>
  <c r="M80" i="4"/>
  <c r="N80" i="4"/>
  <c r="O80" i="4"/>
  <c r="J81" i="4"/>
  <c r="K81" i="4"/>
  <c r="L81" i="4"/>
  <c r="M81" i="4"/>
  <c r="N81" i="4"/>
  <c r="O81" i="4"/>
  <c r="J82" i="4"/>
  <c r="K82" i="4"/>
  <c r="L82" i="4"/>
  <c r="M82" i="4"/>
  <c r="N82" i="4"/>
  <c r="O82" i="4"/>
  <c r="J83" i="4"/>
  <c r="K83" i="4"/>
  <c r="L83" i="4"/>
  <c r="M83" i="4"/>
  <c r="N83" i="4"/>
  <c r="O83" i="4"/>
  <c r="J84" i="4"/>
  <c r="K84" i="4"/>
  <c r="L84" i="4"/>
  <c r="M84" i="4"/>
  <c r="N84" i="4"/>
  <c r="O84" i="4"/>
  <c r="J85" i="4"/>
  <c r="K85" i="4"/>
  <c r="L85" i="4"/>
  <c r="M85" i="4"/>
  <c r="N85" i="4"/>
  <c r="O85" i="4"/>
  <c r="J86" i="4"/>
  <c r="K86" i="4"/>
  <c r="L86" i="4"/>
  <c r="M86" i="4"/>
  <c r="N86" i="4"/>
  <c r="O86" i="4"/>
  <c r="J87" i="4"/>
  <c r="K87" i="4"/>
  <c r="L87" i="4"/>
  <c r="M87" i="4"/>
  <c r="N87" i="4"/>
  <c r="O87" i="4"/>
  <c r="J88" i="4"/>
  <c r="L88" i="4"/>
  <c r="M88" i="4"/>
  <c r="N88" i="4"/>
  <c r="O88" i="4"/>
  <c r="J89" i="4"/>
  <c r="K89" i="4"/>
  <c r="L89" i="4"/>
  <c r="M89" i="4"/>
  <c r="N89" i="4"/>
  <c r="O89" i="4"/>
  <c r="J90" i="4"/>
  <c r="K90" i="4"/>
  <c r="L90" i="4"/>
  <c r="M90" i="4"/>
  <c r="N90" i="4"/>
  <c r="O90" i="4"/>
  <c r="J91" i="4"/>
  <c r="K91" i="4"/>
  <c r="L91" i="4"/>
  <c r="M91" i="4"/>
  <c r="N91" i="4"/>
  <c r="O91" i="4"/>
  <c r="J92" i="4"/>
  <c r="K92" i="4"/>
  <c r="L92" i="4"/>
  <c r="M92" i="4"/>
  <c r="N92" i="4"/>
  <c r="O92" i="4"/>
  <c r="J93" i="4"/>
  <c r="K93" i="4"/>
  <c r="L93" i="4"/>
  <c r="M93" i="4"/>
  <c r="N93" i="4"/>
  <c r="O93" i="4"/>
  <c r="J94" i="4"/>
  <c r="K94" i="4"/>
  <c r="L94" i="4"/>
  <c r="M94" i="4"/>
  <c r="N94" i="4"/>
  <c r="O94" i="4"/>
  <c r="J95" i="4"/>
  <c r="L95" i="4"/>
  <c r="M95" i="4"/>
  <c r="N95" i="4"/>
  <c r="O95" i="4"/>
  <c r="J96" i="4"/>
  <c r="K96" i="4"/>
  <c r="L96" i="4"/>
  <c r="M96" i="4"/>
  <c r="N96" i="4"/>
  <c r="O96" i="4"/>
  <c r="J97" i="4"/>
  <c r="K97" i="4"/>
  <c r="L97" i="4"/>
  <c r="M97" i="4"/>
  <c r="N97" i="4"/>
  <c r="O97" i="4"/>
  <c r="J98" i="4"/>
  <c r="K98" i="4"/>
  <c r="L98" i="4"/>
  <c r="M98" i="4"/>
  <c r="N98" i="4"/>
  <c r="O98" i="4"/>
  <c r="J99" i="4"/>
  <c r="K99" i="4"/>
  <c r="L99" i="4"/>
  <c r="M99" i="4"/>
  <c r="N99" i="4"/>
  <c r="O99" i="4"/>
  <c r="J100" i="4"/>
  <c r="K100" i="4"/>
  <c r="L100" i="4"/>
  <c r="M100" i="4"/>
  <c r="N100" i="4"/>
  <c r="O100" i="4"/>
  <c r="J101" i="4"/>
  <c r="K101" i="4"/>
  <c r="L101" i="4"/>
  <c r="M101" i="4"/>
  <c r="N101" i="4"/>
  <c r="O101" i="4"/>
  <c r="J102" i="4"/>
  <c r="K102" i="4"/>
  <c r="L102" i="4"/>
  <c r="M102" i="4"/>
  <c r="N102" i="4"/>
  <c r="O102" i="4"/>
  <c r="J103" i="4"/>
  <c r="K103" i="4"/>
  <c r="L103" i="4"/>
  <c r="M103" i="4"/>
  <c r="N103" i="4"/>
  <c r="O103" i="4"/>
  <c r="J104" i="4"/>
  <c r="K104" i="4"/>
  <c r="L104" i="4"/>
  <c r="M104" i="4"/>
  <c r="N104" i="4"/>
  <c r="O104" i="4"/>
  <c r="J105" i="4"/>
  <c r="K105" i="4"/>
  <c r="L105" i="4"/>
  <c r="M105" i="4"/>
  <c r="N105" i="4"/>
  <c r="O105" i="4"/>
  <c r="J106" i="4"/>
  <c r="K106" i="4"/>
  <c r="L106" i="4"/>
  <c r="M106" i="4"/>
  <c r="N106" i="4"/>
  <c r="O106" i="4"/>
  <c r="J107" i="4"/>
  <c r="K107" i="4"/>
  <c r="L107" i="4"/>
  <c r="M107" i="4"/>
  <c r="N107" i="4"/>
  <c r="O107" i="4"/>
  <c r="J108" i="4"/>
  <c r="K108" i="4"/>
  <c r="L108" i="4"/>
  <c r="M108" i="4"/>
  <c r="N108" i="4"/>
  <c r="O108" i="4"/>
  <c r="J109" i="4"/>
  <c r="K109" i="4"/>
  <c r="L109" i="4"/>
  <c r="M109" i="4"/>
  <c r="N109" i="4"/>
  <c r="O109" i="4"/>
  <c r="J110" i="4"/>
  <c r="K110" i="4"/>
  <c r="L110" i="4"/>
  <c r="M110" i="4"/>
  <c r="N110" i="4"/>
  <c r="O110" i="4"/>
  <c r="J111" i="4"/>
  <c r="K111" i="4"/>
  <c r="L111" i="4"/>
  <c r="M111" i="4"/>
  <c r="N111" i="4"/>
  <c r="O111" i="4"/>
  <c r="J112" i="4"/>
  <c r="K112" i="4"/>
  <c r="L112" i="4"/>
  <c r="M112" i="4"/>
  <c r="N112" i="4"/>
  <c r="O112" i="4"/>
  <c r="J113" i="4"/>
  <c r="K113" i="4"/>
  <c r="L113" i="4"/>
  <c r="M113" i="4"/>
  <c r="N113" i="4"/>
  <c r="O113" i="4"/>
  <c r="J114" i="4"/>
  <c r="K114" i="4"/>
  <c r="L114" i="4"/>
  <c r="M114" i="4"/>
  <c r="N114" i="4"/>
  <c r="O114" i="4"/>
  <c r="J115" i="4"/>
  <c r="K115" i="4"/>
  <c r="L115" i="4"/>
  <c r="M115" i="4"/>
  <c r="N115" i="4"/>
  <c r="O115" i="4"/>
  <c r="J116" i="4"/>
  <c r="K116" i="4"/>
  <c r="L116" i="4"/>
  <c r="M116" i="4"/>
  <c r="N116" i="4"/>
  <c r="O116" i="4"/>
  <c r="J117" i="4"/>
  <c r="K117" i="4"/>
  <c r="L117" i="4"/>
  <c r="M117" i="4"/>
  <c r="N117" i="4"/>
  <c r="O117" i="4"/>
  <c r="J118" i="4"/>
  <c r="K118" i="4"/>
  <c r="L118" i="4"/>
  <c r="M118" i="4"/>
  <c r="N118" i="4"/>
  <c r="O118" i="4"/>
  <c r="J119" i="4"/>
  <c r="K119" i="4"/>
  <c r="L119" i="4"/>
  <c r="M119" i="4"/>
  <c r="N119" i="4"/>
  <c r="O119" i="4"/>
  <c r="J120" i="4"/>
  <c r="K120" i="4"/>
  <c r="L120" i="4"/>
  <c r="M120" i="4"/>
  <c r="N120" i="4"/>
  <c r="O120" i="4"/>
  <c r="J121" i="4"/>
  <c r="K121" i="4"/>
  <c r="L121" i="4"/>
  <c r="M121" i="4"/>
  <c r="N121" i="4"/>
  <c r="O121" i="4"/>
  <c r="J122" i="4"/>
  <c r="K122" i="4"/>
  <c r="L122" i="4"/>
  <c r="M122" i="4"/>
  <c r="N122" i="4"/>
  <c r="O122" i="4"/>
  <c r="J123" i="4"/>
  <c r="K123" i="4"/>
  <c r="L123" i="4"/>
  <c r="M123" i="4"/>
  <c r="N123" i="4"/>
  <c r="O123" i="4"/>
  <c r="J124" i="4"/>
  <c r="K124" i="4"/>
  <c r="L124" i="4"/>
  <c r="M124" i="4"/>
  <c r="N124" i="4"/>
  <c r="O124" i="4"/>
  <c r="J125" i="4"/>
  <c r="K125" i="4"/>
  <c r="L125" i="4"/>
  <c r="M125" i="4"/>
  <c r="N125" i="4"/>
  <c r="O125" i="4"/>
  <c r="J126" i="4"/>
  <c r="K126" i="4"/>
  <c r="L126" i="4"/>
  <c r="M126" i="4"/>
  <c r="N126" i="4"/>
  <c r="O126" i="4"/>
  <c r="J127" i="4"/>
  <c r="K127" i="4"/>
  <c r="L127" i="4"/>
  <c r="M127" i="4"/>
  <c r="N127" i="4"/>
  <c r="O127" i="4"/>
  <c r="J128" i="4"/>
  <c r="K128" i="4"/>
  <c r="L128" i="4"/>
  <c r="M128" i="4"/>
  <c r="N128" i="4"/>
  <c r="O128" i="4"/>
  <c r="J129" i="4"/>
  <c r="K129" i="4"/>
  <c r="L129" i="4"/>
  <c r="M129" i="4"/>
  <c r="N129" i="4"/>
  <c r="O129" i="4"/>
  <c r="J130" i="4"/>
  <c r="K130" i="4"/>
  <c r="L130" i="4"/>
  <c r="M130" i="4"/>
  <c r="N130" i="4"/>
  <c r="O130" i="4"/>
  <c r="G15" i="4"/>
  <c r="G16" i="4"/>
  <c r="G17" i="4"/>
  <c r="G19" i="4"/>
  <c r="G20" i="4"/>
  <c r="G21" i="4"/>
  <c r="G23" i="4"/>
  <c r="G24" i="4"/>
  <c r="G25" i="4"/>
  <c r="G27" i="4"/>
  <c r="G28" i="4"/>
  <c r="G29" i="4"/>
  <c r="G31" i="4"/>
  <c r="G32" i="4"/>
  <c r="G33" i="4"/>
  <c r="G36" i="4"/>
  <c r="G38" i="4"/>
  <c r="G40" i="4"/>
  <c r="G42" i="4"/>
  <c r="G43" i="4"/>
  <c r="G44" i="4"/>
  <c r="G45" i="4"/>
  <c r="G46" i="4"/>
  <c r="G47" i="4"/>
  <c r="G48" i="4"/>
  <c r="G49" i="4"/>
  <c r="G50" i="4"/>
  <c r="G51" i="4"/>
  <c r="G52" i="4"/>
  <c r="G53" i="4"/>
  <c r="G54" i="4"/>
  <c r="G55" i="4"/>
  <c r="G56" i="4"/>
  <c r="G57" i="4"/>
  <c r="G58" i="4"/>
  <c r="G59" i="4"/>
  <c r="G60" i="4"/>
  <c r="G61" i="4"/>
  <c r="G62" i="4"/>
  <c r="G63" i="4"/>
  <c r="G64" i="4"/>
  <c r="G65" i="4"/>
  <c r="G66"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C15" i="4"/>
  <c r="D15" i="4"/>
  <c r="E15" i="4"/>
  <c r="F15" i="4"/>
  <c r="C16" i="4"/>
  <c r="D16" i="4"/>
  <c r="E16" i="4"/>
  <c r="F16" i="4"/>
  <c r="C17" i="4"/>
  <c r="D17" i="4"/>
  <c r="E17" i="4"/>
  <c r="F17" i="4"/>
  <c r="C18" i="4"/>
  <c r="D18" i="4"/>
  <c r="E18" i="4"/>
  <c r="F18" i="4"/>
  <c r="C19" i="4"/>
  <c r="D19" i="4"/>
  <c r="E19" i="4"/>
  <c r="F19" i="4"/>
  <c r="C20" i="4"/>
  <c r="D20" i="4"/>
  <c r="E20" i="4"/>
  <c r="F20" i="4"/>
  <c r="C21" i="4"/>
  <c r="D21" i="4"/>
  <c r="E21" i="4"/>
  <c r="F21" i="4"/>
  <c r="C22" i="4"/>
  <c r="D22" i="4"/>
  <c r="E22" i="4"/>
  <c r="F22" i="4"/>
  <c r="C23" i="4"/>
  <c r="D23" i="4"/>
  <c r="E23" i="4"/>
  <c r="F23" i="4"/>
  <c r="C24" i="4"/>
  <c r="D24" i="4"/>
  <c r="E24" i="4"/>
  <c r="F24" i="4"/>
  <c r="C25" i="4"/>
  <c r="D25" i="4"/>
  <c r="E25" i="4"/>
  <c r="F25" i="4"/>
  <c r="C26" i="4"/>
  <c r="D26" i="4"/>
  <c r="E26" i="4"/>
  <c r="F26" i="4"/>
  <c r="C27" i="4"/>
  <c r="D27" i="4"/>
  <c r="E27" i="4"/>
  <c r="F27" i="4"/>
  <c r="C28" i="4"/>
  <c r="D28" i="4"/>
  <c r="E28" i="4"/>
  <c r="F28" i="4"/>
  <c r="C29" i="4"/>
  <c r="D29" i="4"/>
  <c r="E29" i="4"/>
  <c r="F29" i="4"/>
  <c r="C30" i="4"/>
  <c r="D30" i="4"/>
  <c r="E30" i="4"/>
  <c r="F30" i="4"/>
  <c r="C31" i="4"/>
  <c r="D31" i="4"/>
  <c r="E31" i="4"/>
  <c r="F31" i="4"/>
  <c r="C32" i="4"/>
  <c r="D32" i="4"/>
  <c r="E32" i="4"/>
  <c r="F32" i="4"/>
  <c r="C33" i="4"/>
  <c r="D33" i="4"/>
  <c r="E33" i="4"/>
  <c r="F33" i="4"/>
  <c r="C34" i="4"/>
  <c r="D34" i="4"/>
  <c r="E34" i="4"/>
  <c r="F34" i="4"/>
  <c r="C35" i="4"/>
  <c r="D35" i="4"/>
  <c r="E35" i="4"/>
  <c r="F35" i="4"/>
  <c r="C36" i="4"/>
  <c r="D36" i="4"/>
  <c r="E36" i="4"/>
  <c r="F36" i="4"/>
  <c r="C37" i="4"/>
  <c r="D37" i="4"/>
  <c r="E37" i="4"/>
  <c r="F37" i="4"/>
  <c r="C38" i="4"/>
  <c r="D38" i="4"/>
  <c r="E38" i="4"/>
  <c r="F38" i="4"/>
  <c r="C39" i="4"/>
  <c r="D39" i="4"/>
  <c r="E39" i="4"/>
  <c r="F39" i="4"/>
  <c r="C40" i="4"/>
  <c r="D40" i="4"/>
  <c r="E40" i="4"/>
  <c r="F40" i="4"/>
  <c r="C41" i="4"/>
  <c r="D41" i="4"/>
  <c r="E41" i="4"/>
  <c r="F41" i="4"/>
  <c r="C42" i="4"/>
  <c r="D42" i="4"/>
  <c r="E42" i="4"/>
  <c r="F42" i="4"/>
  <c r="C43" i="4"/>
  <c r="D43" i="4"/>
  <c r="E43" i="4"/>
  <c r="F43" i="4"/>
  <c r="C44" i="4"/>
  <c r="D44" i="4"/>
  <c r="E44" i="4"/>
  <c r="F44" i="4"/>
  <c r="C45" i="4"/>
  <c r="D45" i="4"/>
  <c r="E45" i="4"/>
  <c r="F45" i="4"/>
  <c r="C46" i="4"/>
  <c r="D46" i="4"/>
  <c r="E46" i="4"/>
  <c r="F46" i="4"/>
  <c r="C47" i="4"/>
  <c r="D47" i="4"/>
  <c r="E47" i="4"/>
  <c r="F47" i="4"/>
  <c r="C48" i="4"/>
  <c r="C49" i="4"/>
  <c r="E49" i="4"/>
  <c r="F49" i="4"/>
  <c r="C50" i="4"/>
  <c r="C51" i="4"/>
  <c r="E51" i="4"/>
  <c r="F51" i="4"/>
  <c r="C52" i="4"/>
  <c r="D52" i="4"/>
  <c r="E52" i="4"/>
  <c r="F52" i="4"/>
  <c r="C53" i="4"/>
  <c r="E53" i="4"/>
  <c r="F53" i="4"/>
  <c r="C54" i="4"/>
  <c r="C55" i="4"/>
  <c r="C56" i="4"/>
  <c r="C57" i="4"/>
  <c r="D57" i="4"/>
  <c r="E57" i="4"/>
  <c r="F57" i="4"/>
  <c r="C58" i="4"/>
  <c r="D58" i="4"/>
  <c r="E58" i="4"/>
  <c r="F58" i="4"/>
  <c r="C59" i="4"/>
  <c r="E59" i="4"/>
  <c r="F59" i="4"/>
  <c r="C60" i="4"/>
  <c r="D60" i="4"/>
  <c r="E60" i="4"/>
  <c r="F60" i="4"/>
  <c r="C61" i="4"/>
  <c r="D61" i="4"/>
  <c r="E61" i="4"/>
  <c r="F61" i="4"/>
  <c r="C62" i="4"/>
  <c r="D62" i="4"/>
  <c r="E62" i="4"/>
  <c r="F62" i="4"/>
  <c r="C63" i="4"/>
  <c r="D63" i="4"/>
  <c r="E63" i="4"/>
  <c r="F63" i="4"/>
  <c r="C64" i="4"/>
  <c r="D64" i="4"/>
  <c r="E64" i="4"/>
  <c r="F64" i="4"/>
  <c r="C65" i="4"/>
  <c r="D65" i="4"/>
  <c r="E65" i="4"/>
  <c r="F65" i="4"/>
  <c r="C66" i="4"/>
  <c r="D66" i="4"/>
  <c r="E66" i="4"/>
  <c r="F66" i="4"/>
  <c r="C67" i="4"/>
  <c r="D67" i="4"/>
  <c r="E67" i="4"/>
  <c r="F67" i="4"/>
  <c r="C68" i="4"/>
  <c r="D68" i="4"/>
  <c r="E68" i="4"/>
  <c r="F68" i="4"/>
  <c r="C69" i="4"/>
  <c r="D69" i="4"/>
  <c r="E69" i="4"/>
  <c r="F69" i="4"/>
  <c r="C70" i="4"/>
  <c r="D70" i="4"/>
  <c r="E70" i="4"/>
  <c r="F70" i="4"/>
  <c r="C71" i="4"/>
  <c r="D71" i="4"/>
  <c r="E71" i="4"/>
  <c r="F71" i="4"/>
  <c r="C72" i="4"/>
  <c r="D72" i="4"/>
  <c r="E72" i="4"/>
  <c r="F72" i="4"/>
  <c r="C73" i="4"/>
  <c r="D73" i="4"/>
  <c r="E73" i="4"/>
  <c r="F73" i="4"/>
  <c r="C74" i="4"/>
  <c r="D74" i="4"/>
  <c r="E74" i="4"/>
  <c r="F74" i="4"/>
  <c r="C75" i="4"/>
  <c r="D75" i="4"/>
  <c r="F75" i="4"/>
  <c r="C76" i="4"/>
  <c r="D76" i="4"/>
  <c r="E76" i="4"/>
  <c r="F76" i="4"/>
  <c r="C77" i="4"/>
  <c r="D77" i="4"/>
  <c r="E77" i="4"/>
  <c r="F77" i="4"/>
  <c r="C78" i="4"/>
  <c r="D78" i="4"/>
  <c r="E78" i="4"/>
  <c r="F78" i="4"/>
  <c r="C79" i="4"/>
  <c r="D79" i="4"/>
  <c r="E79" i="4"/>
  <c r="F79" i="4"/>
  <c r="C80" i="4"/>
  <c r="D80" i="4"/>
  <c r="E80" i="4"/>
  <c r="F80" i="4"/>
  <c r="C81" i="4"/>
  <c r="D81" i="4"/>
  <c r="E81" i="4"/>
  <c r="F81" i="4"/>
  <c r="C82" i="4"/>
  <c r="D82" i="4"/>
  <c r="E82" i="4"/>
  <c r="F82" i="4"/>
  <c r="C83" i="4"/>
  <c r="D83" i="4"/>
  <c r="E83" i="4"/>
  <c r="F83" i="4"/>
  <c r="C84" i="4"/>
  <c r="D84" i="4"/>
  <c r="E84" i="4"/>
  <c r="F84" i="4"/>
  <c r="C85" i="4"/>
  <c r="D85" i="4"/>
  <c r="E85" i="4"/>
  <c r="F85" i="4"/>
  <c r="C86" i="4"/>
  <c r="D86" i="4"/>
  <c r="E86" i="4"/>
  <c r="F86" i="4"/>
  <c r="C87" i="4"/>
  <c r="D87" i="4"/>
  <c r="E87" i="4"/>
  <c r="F87" i="4"/>
  <c r="C88" i="4"/>
  <c r="D88" i="4"/>
  <c r="E88" i="4"/>
  <c r="B99" i="4" s="1"/>
  <c r="F88" i="4"/>
  <c r="C89" i="4"/>
  <c r="D89" i="4"/>
  <c r="E89" i="4"/>
  <c r="B100" i="4" s="1"/>
  <c r="F89" i="4"/>
  <c r="C90" i="4"/>
  <c r="D90" i="4"/>
  <c r="E90" i="4"/>
  <c r="B101" i="4" s="1"/>
  <c r="F90" i="4"/>
  <c r="C91" i="4"/>
  <c r="D91" i="4"/>
  <c r="E91" i="4"/>
  <c r="B102" i="4" s="1"/>
  <c r="F91" i="4"/>
  <c r="C92" i="4"/>
  <c r="D92" i="4"/>
  <c r="E92" i="4"/>
  <c r="B103" i="4" s="1"/>
  <c r="F92" i="4"/>
  <c r="C93" i="4"/>
  <c r="D93" i="4"/>
  <c r="E93" i="4"/>
  <c r="B104" i="4" s="1"/>
  <c r="F93" i="4"/>
  <c r="C94" i="4"/>
  <c r="D94" i="4"/>
  <c r="E94" i="4"/>
  <c r="B105" i="4" s="1"/>
  <c r="F94" i="4"/>
  <c r="C95" i="4"/>
  <c r="D95" i="4"/>
  <c r="E95" i="4"/>
  <c r="B106" i="4" s="1"/>
  <c r="F95" i="4"/>
  <c r="C96" i="4"/>
  <c r="D96" i="4"/>
  <c r="E96" i="4"/>
  <c r="B107" i="4" s="1"/>
  <c r="F96" i="4"/>
  <c r="C97" i="4"/>
  <c r="D97" i="4"/>
  <c r="E97" i="4"/>
  <c r="B108" i="4" s="1"/>
  <c r="F97" i="4"/>
  <c r="C98" i="4"/>
  <c r="D98" i="4"/>
  <c r="E98" i="4"/>
  <c r="B109" i="4" s="1"/>
  <c r="F98" i="4"/>
  <c r="C99" i="4"/>
  <c r="D99" i="4"/>
  <c r="E99" i="4"/>
  <c r="B110" i="4" s="1"/>
  <c r="F99" i="4"/>
  <c r="C100" i="4"/>
  <c r="D100" i="4"/>
  <c r="E100" i="4"/>
  <c r="B111" i="4" s="1"/>
  <c r="F100" i="4"/>
  <c r="C101" i="4"/>
  <c r="D101" i="4"/>
  <c r="E101" i="4"/>
  <c r="B112" i="4" s="1"/>
  <c r="F101" i="4"/>
  <c r="C102" i="4"/>
  <c r="D102" i="4"/>
  <c r="E102" i="4"/>
  <c r="B113" i="4" s="1"/>
  <c r="F102" i="4"/>
  <c r="C103" i="4"/>
  <c r="D103" i="4"/>
  <c r="E103" i="4"/>
  <c r="B114" i="4" s="1"/>
  <c r="F103" i="4"/>
  <c r="C104" i="4"/>
  <c r="D104" i="4"/>
  <c r="E104" i="4"/>
  <c r="B115" i="4" s="1"/>
  <c r="F104" i="4"/>
  <c r="C105" i="4"/>
  <c r="D105" i="4"/>
  <c r="E105" i="4"/>
  <c r="B116" i="4" s="1"/>
  <c r="F105" i="4"/>
  <c r="C106" i="4"/>
  <c r="D106" i="4"/>
  <c r="E106" i="4"/>
  <c r="B117" i="4" s="1"/>
  <c r="F106" i="4"/>
  <c r="C107" i="4"/>
  <c r="D107" i="4"/>
  <c r="E107" i="4"/>
  <c r="B118" i="4" s="1"/>
  <c r="F107" i="4"/>
  <c r="C108" i="4"/>
  <c r="D108" i="4"/>
  <c r="E108" i="4"/>
  <c r="B119" i="4" s="1"/>
  <c r="F108" i="4"/>
  <c r="C109" i="4"/>
  <c r="D109" i="4"/>
  <c r="E109" i="4"/>
  <c r="B120" i="4" s="1"/>
  <c r="F109" i="4"/>
  <c r="C110" i="4"/>
  <c r="D110" i="4"/>
  <c r="E110" i="4"/>
  <c r="B121" i="4" s="1"/>
  <c r="F110" i="4"/>
  <c r="C111" i="4"/>
  <c r="D111" i="4"/>
  <c r="E111" i="4"/>
  <c r="B122" i="4" s="1"/>
  <c r="F111" i="4"/>
  <c r="C112" i="4"/>
  <c r="D112" i="4"/>
  <c r="E112" i="4"/>
  <c r="B123" i="4" s="1"/>
  <c r="F112" i="4"/>
  <c r="C113" i="4"/>
  <c r="D113" i="4"/>
  <c r="E113" i="4"/>
  <c r="B124" i="4" s="1"/>
  <c r="F113" i="4"/>
  <c r="C114" i="4"/>
  <c r="D114" i="4"/>
  <c r="E114" i="4"/>
  <c r="B125" i="4" s="1"/>
  <c r="F114" i="4"/>
  <c r="C115" i="4"/>
  <c r="D115" i="4"/>
  <c r="E115" i="4"/>
  <c r="B126" i="4" s="1"/>
  <c r="F115" i="4"/>
  <c r="C116" i="4"/>
  <c r="D116" i="4"/>
  <c r="E116" i="4"/>
  <c r="B127" i="4" s="1"/>
  <c r="F116" i="4"/>
  <c r="C117" i="4"/>
  <c r="D117" i="4"/>
  <c r="E117" i="4"/>
  <c r="B128" i="4" s="1"/>
  <c r="F117" i="4"/>
  <c r="C118" i="4"/>
  <c r="D118" i="4"/>
  <c r="E118" i="4"/>
  <c r="B129" i="4" s="1"/>
  <c r="F118" i="4"/>
  <c r="C119" i="4"/>
  <c r="D119" i="4"/>
  <c r="E119" i="4"/>
  <c r="B130" i="4" s="1"/>
  <c r="F119" i="4"/>
  <c r="C120" i="4"/>
  <c r="D120" i="4"/>
  <c r="E120" i="4"/>
  <c r="F120" i="4"/>
  <c r="C121" i="4"/>
  <c r="D121" i="4"/>
  <c r="E121" i="4"/>
  <c r="F121" i="4"/>
  <c r="C122" i="4"/>
  <c r="D122" i="4"/>
  <c r="E122" i="4"/>
  <c r="F122" i="4"/>
  <c r="C123" i="4"/>
  <c r="D123" i="4"/>
  <c r="E123" i="4"/>
  <c r="F123" i="4"/>
  <c r="C124" i="4"/>
  <c r="D124" i="4"/>
  <c r="E124" i="4"/>
  <c r="F124" i="4"/>
  <c r="C125" i="4"/>
  <c r="D125" i="4"/>
  <c r="E125" i="4"/>
  <c r="F125" i="4"/>
  <c r="C126" i="4"/>
  <c r="D126" i="4"/>
  <c r="E126" i="4"/>
  <c r="F126" i="4"/>
  <c r="C127" i="4"/>
  <c r="D127" i="4"/>
  <c r="E127" i="4"/>
  <c r="F127" i="4"/>
  <c r="C128" i="4"/>
  <c r="D128" i="4"/>
  <c r="E128" i="4"/>
  <c r="F128" i="4"/>
  <c r="C129" i="4"/>
  <c r="D129" i="4"/>
  <c r="E129" i="4"/>
  <c r="F129" i="4"/>
  <c r="C130" i="4"/>
  <c r="D130" i="4"/>
  <c r="E130" i="4"/>
  <c r="F130" i="4"/>
  <c r="L14" i="4"/>
  <c r="J14" i="4"/>
  <c r="F14" i="4"/>
  <c r="E14" i="4"/>
  <c r="D14" i="4"/>
  <c r="C14" i="4"/>
  <c r="B3" i="4"/>
  <c r="O14" i="4"/>
  <c r="N14" i="4"/>
  <c r="M14" i="4"/>
  <c r="K14" i="4"/>
  <c r="K34" i="4" l="1"/>
  <c r="U12" i="4"/>
  <c r="O88" i="3"/>
  <c r="O86" i="3"/>
  <c r="O84" i="3"/>
  <c r="O82" i="3"/>
  <c r="I95" i="2" l="1"/>
  <c r="I96" i="2"/>
  <c r="I94" i="2"/>
  <c r="H97" i="2" l="1"/>
  <c r="G70" i="4" s="1"/>
  <c r="C26" i="3" l="1"/>
  <c r="O14" i="1" l="1"/>
  <c r="N14" i="1"/>
  <c r="M14" i="1"/>
  <c r="K14" i="1"/>
  <c r="G14" i="1"/>
  <c r="E92" i="3"/>
  <c r="E94" i="3" s="1"/>
  <c r="E67" i="3"/>
  <c r="C36" i="3"/>
  <c r="D35" i="3"/>
  <c r="D34" i="3"/>
  <c r="D33" i="3"/>
  <c r="C30" i="3"/>
  <c r="C29" i="3"/>
  <c r="C28" i="3"/>
  <c r="C25" i="3"/>
  <c r="G22" i="3"/>
  <c r="C22" i="3"/>
  <c r="G21" i="3"/>
  <c r="G20" i="3"/>
  <c r="G19" i="3"/>
  <c r="C16" i="3"/>
  <c r="C21" i="3" s="1"/>
  <c r="C15" i="3"/>
  <c r="C20" i="3" s="1"/>
  <c r="C14" i="3"/>
  <c r="C19" i="3" s="1"/>
  <c r="B10" i="3"/>
  <c r="G8" i="3"/>
  <c r="G68" i="3" s="1"/>
  <c r="E8" i="3"/>
  <c r="E68" i="3" s="1"/>
  <c r="B8" i="3"/>
  <c r="B68" i="3" s="1"/>
  <c r="G7" i="3"/>
  <c r="G67" i="3" s="1"/>
  <c r="B7" i="3"/>
  <c r="B67" i="3" s="1"/>
  <c r="O129" i="2"/>
  <c r="I129" i="2"/>
  <c r="P122" i="2"/>
  <c r="J122" i="2"/>
  <c r="K95" i="4" s="1"/>
  <c r="P115" i="2"/>
  <c r="J115" i="2"/>
  <c r="K88" i="4" s="1"/>
  <c r="H96" i="2"/>
  <c r="G69" i="4" s="1"/>
  <c r="H95" i="2"/>
  <c r="G68" i="4" s="1"/>
  <c r="H94" i="2"/>
  <c r="G67" i="4" s="1"/>
  <c r="G83" i="2"/>
  <c r="F56" i="4" s="1"/>
  <c r="F83" i="2"/>
  <c r="E56" i="4" s="1"/>
  <c r="G82" i="2"/>
  <c r="F55" i="4" s="1"/>
  <c r="F82" i="2"/>
  <c r="E55" i="4" s="1"/>
  <c r="G81" i="2"/>
  <c r="F54" i="4" s="1"/>
  <c r="F81" i="2"/>
  <c r="E54" i="4" s="1"/>
  <c r="S78" i="2"/>
  <c r="O51" i="4" s="1"/>
  <c r="S77" i="2"/>
  <c r="O50" i="4" s="1"/>
  <c r="W74" i="2"/>
  <c r="K267" i="1"/>
  <c r="F50" i="4"/>
  <c r="AA29" i="2"/>
  <c r="AF24" i="2"/>
  <c r="AF25" i="2" s="1"/>
  <c r="N43" i="4" l="1"/>
  <c r="N267" i="1"/>
  <c r="AE26" i="2"/>
  <c r="O267" i="1"/>
  <c r="M43" i="4"/>
  <c r="M267" i="1"/>
  <c r="E75" i="2"/>
  <c r="D48" i="4" s="1"/>
  <c r="K43" i="4"/>
  <c r="E82" i="2"/>
  <c r="D55" i="4" s="1"/>
  <c r="O43" i="4"/>
  <c r="I77" i="2"/>
  <c r="D50" i="4"/>
  <c r="G75" i="2"/>
  <c r="F48" i="4" s="1"/>
  <c r="F102" i="2"/>
  <c r="E75" i="4" s="1"/>
  <c r="C74" i="3"/>
  <c r="F75" i="2"/>
  <c r="E48" i="4" s="1"/>
  <c r="AE23" i="2"/>
  <c r="AE24" i="2" s="1"/>
  <c r="AE25" i="2" s="1"/>
  <c r="F14" i="3"/>
  <c r="F15" i="3"/>
  <c r="F16" i="3"/>
  <c r="E80" i="2"/>
  <c r="D53" i="4" s="1"/>
  <c r="E81" i="2"/>
  <c r="D54" i="4" s="1"/>
  <c r="AF26" i="2"/>
  <c r="I82" i="2" l="1"/>
  <c r="J82" i="2"/>
  <c r="S75" i="2" s="1"/>
  <c r="O48" i="4" s="1"/>
  <c r="I75" i="2"/>
  <c r="J75" i="2" s="1"/>
  <c r="K48" i="4" s="1"/>
  <c r="J77" i="2"/>
  <c r="S85" i="2" s="1"/>
  <c r="E50" i="4"/>
  <c r="I80" i="2"/>
  <c r="J80" i="2"/>
  <c r="I81" i="2"/>
  <c r="E83" i="2"/>
  <c r="D56" i="4" s="1"/>
  <c r="J81" i="2"/>
  <c r="K54" i="4" s="1"/>
  <c r="K55" i="4" l="1"/>
  <c r="S88" i="2"/>
  <c r="O61" i="4" s="1"/>
  <c r="K53" i="4"/>
  <c r="K50" i="4"/>
  <c r="E76" i="2"/>
  <c r="I83" i="2"/>
  <c r="J83" i="2"/>
  <c r="S89" i="2" l="1"/>
  <c r="O62" i="4" s="1"/>
  <c r="K56" i="4"/>
  <c r="I76" i="2"/>
  <c r="J76" i="2" s="1"/>
  <c r="K49" i="4" s="1"/>
  <c r="D49" i="4"/>
  <c r="S92" i="2"/>
  <c r="O65" i="4" s="1"/>
  <c r="O58" i="4"/>
  <c r="E78" i="2"/>
  <c r="S76" i="2" l="1"/>
  <c r="J78" i="2"/>
  <c r="K51" i="4" s="1"/>
  <c r="I78" i="2"/>
  <c r="D51" i="4"/>
  <c r="O49" i="4" l="1"/>
  <c r="S84" i="2"/>
  <c r="O57" i="4" s="1"/>
  <c r="S80" i="2"/>
  <c r="O53" i="4" s="1"/>
  <c r="S90" i="2"/>
  <c r="O63" i="4" s="1"/>
  <c r="S83" i="2"/>
  <c r="O56" i="4" s="1"/>
  <c r="U3" i="4"/>
  <c r="U6" i="4"/>
  <c r="U5" i="4"/>
  <c r="U4" i="4"/>
  <c r="S91" i="2" l="1"/>
  <c r="O64" i="4" s="1"/>
  <c r="S86" i="2"/>
  <c r="O59" i="4" s="1"/>
  <c r="S93" i="2" l="1"/>
  <c r="O66" i="4" s="1"/>
</calcChain>
</file>

<file path=xl/comments1.xml><?xml version="1.0" encoding="utf-8"?>
<comments xmlns="http://schemas.openxmlformats.org/spreadsheetml/2006/main">
  <authors>
    <author>rowalia</author>
  </authors>
  <commentList>
    <comment ref="C80" authorId="0" shapeId="0">
      <text>
        <r>
          <rPr>
            <b/>
            <sz val="9"/>
            <color indexed="81"/>
            <rFont val="Tahoma"/>
            <family val="2"/>
          </rPr>
          <t>rowalia:</t>
        </r>
        <r>
          <rPr>
            <sz val="9"/>
            <color indexed="81"/>
            <rFont val="Tahoma"/>
            <family val="2"/>
          </rPr>
          <t xml:space="preserve">
</t>
        </r>
      </text>
    </comment>
  </commentList>
</comments>
</file>

<file path=xl/sharedStrings.xml><?xml version="1.0" encoding="utf-8"?>
<sst xmlns="http://schemas.openxmlformats.org/spreadsheetml/2006/main" count="670" uniqueCount="439">
  <si>
    <t>Paint Bifurcation Available</t>
  </si>
  <si>
    <t>Yes</t>
  </si>
  <si>
    <t>No</t>
  </si>
  <si>
    <t>Invoice No. 1</t>
  </si>
  <si>
    <t>Invoice No. 2</t>
  </si>
  <si>
    <t>Invoice No. 3</t>
  </si>
  <si>
    <t>Invoice 1 Date</t>
  </si>
  <si>
    <t>Invoice 2 Date</t>
  </si>
  <si>
    <t>Invoice 3 Date</t>
  </si>
  <si>
    <t>Is Invoice Raised in favour of Tata AIG</t>
  </si>
  <si>
    <t>Preliminary Details</t>
  </si>
  <si>
    <t>Repair Assessment Sheet</t>
  </si>
  <si>
    <t>Replace</t>
  </si>
  <si>
    <t>Repair</t>
  </si>
  <si>
    <t>Material</t>
  </si>
  <si>
    <t>Metal</t>
  </si>
  <si>
    <t>Glass</t>
  </si>
  <si>
    <t>Plastic/Rubber</t>
  </si>
  <si>
    <t>Consumables</t>
  </si>
  <si>
    <t>Engine Secure</t>
  </si>
  <si>
    <t>Tyre Secure</t>
  </si>
  <si>
    <t>Key Replacement</t>
  </si>
  <si>
    <t>Fiber Glass</t>
  </si>
  <si>
    <t>Side</t>
  </si>
  <si>
    <t>Section</t>
  </si>
  <si>
    <t>NA</t>
  </si>
  <si>
    <t>Left</t>
  </si>
  <si>
    <t>Right</t>
  </si>
  <si>
    <t>Front</t>
  </si>
  <si>
    <t>Center</t>
  </si>
  <si>
    <t>Rear</t>
  </si>
  <si>
    <t>Invoice 1</t>
  </si>
  <si>
    <t>Invoice 2</t>
  </si>
  <si>
    <t>Invoice 3</t>
  </si>
  <si>
    <t>Date of Vehicle Registration</t>
  </si>
  <si>
    <t>Part</t>
  </si>
  <si>
    <t>Paint</t>
  </si>
  <si>
    <t>Labour</t>
  </si>
  <si>
    <t>S. No</t>
  </si>
  <si>
    <t>Invoice No</t>
  </si>
  <si>
    <t>Repair Replace</t>
  </si>
  <si>
    <t>HSN/SAC Code</t>
  </si>
  <si>
    <t>Part Price</t>
  </si>
  <si>
    <t>Tax %</t>
  </si>
  <si>
    <t>R &amp; I Labour</t>
  </si>
  <si>
    <t>Repair Labour</t>
  </si>
  <si>
    <t>Paint Labour</t>
  </si>
  <si>
    <t>Paint Material</t>
  </si>
  <si>
    <t>Remove/Install</t>
  </si>
  <si>
    <t>Invoice amount 1</t>
  </si>
  <si>
    <t>Invoice amount 2</t>
  </si>
  <si>
    <t>Invoice amount 3</t>
  </si>
  <si>
    <t xml:space="preserve">Sac Code </t>
  </si>
  <si>
    <t xml:space="preserve">Sac Tax  </t>
  </si>
  <si>
    <r>
      <rPr>
        <b/>
        <sz val="12"/>
        <color theme="1"/>
        <rFont val="Calibri"/>
        <family val="2"/>
        <scheme val="minor"/>
      </rPr>
      <t xml:space="preserve">Sac Tax </t>
    </r>
    <r>
      <rPr>
        <sz val="12"/>
        <color theme="1"/>
        <rFont val="Calibri"/>
        <family val="2"/>
        <scheme val="minor"/>
      </rPr>
      <t xml:space="preserve"> </t>
    </r>
  </si>
  <si>
    <t>Sac  Code</t>
  </si>
  <si>
    <t xml:space="preserve">                                                                                              MOHD.YAMIN</t>
  </si>
  <si>
    <t>MOHD YAMIN</t>
  </si>
  <si>
    <t>Surveyor &amp; Loss Assessor</t>
  </si>
  <si>
    <t>REPAIR ASSESSMENT / PROCESSING SHEET</t>
  </si>
  <si>
    <t>Date of Survey</t>
  </si>
  <si>
    <t>Date of Allotment of Claim</t>
  </si>
  <si>
    <t>Date of submission of final report</t>
  </si>
  <si>
    <t>Insured's Details</t>
  </si>
  <si>
    <t>Loss Details</t>
  </si>
  <si>
    <t>NAME</t>
  </si>
  <si>
    <t>Claim Number:</t>
  </si>
  <si>
    <t>First name</t>
  </si>
  <si>
    <t>Last name</t>
  </si>
  <si>
    <t xml:space="preserve">Place &amp; time of Accident </t>
  </si>
  <si>
    <t>Place of survey</t>
  </si>
  <si>
    <t>Not exceeding 6 months</t>
  </si>
  <si>
    <t xml:space="preserve">Nill Depreciation on paint labour </t>
  </si>
  <si>
    <t>Date Of Loss :</t>
  </si>
  <si>
    <t>Exceeding 6 months but not exceeding1 year</t>
  </si>
  <si>
    <t>Self Attested</t>
  </si>
  <si>
    <t>If labour consolidated   @25%</t>
  </si>
  <si>
    <t>Policy Number:</t>
  </si>
  <si>
    <t>CBC  :</t>
  </si>
  <si>
    <t>Exceeding 1 year but not exceeding 2 years</t>
  </si>
  <si>
    <t>YES</t>
  </si>
  <si>
    <t>If Paint Bifurcation Available Dep applied 50%</t>
  </si>
  <si>
    <t>Policy Period :</t>
  </si>
  <si>
    <t>TO</t>
  </si>
  <si>
    <t>Close Promity:</t>
  </si>
  <si>
    <t>Exceeding 2 years but not exceeding 3 years</t>
  </si>
  <si>
    <t xml:space="preserve">NO </t>
  </si>
  <si>
    <t>If Paint labour consolidated @25%</t>
  </si>
  <si>
    <t>Present address if other than Policy Address</t>
  </si>
  <si>
    <t>Potential Case for Bodily Injury</t>
  </si>
  <si>
    <t>NO</t>
  </si>
  <si>
    <t>Exceeding 3 years but not exceeding 4 years</t>
  </si>
  <si>
    <t>Not applicable</t>
  </si>
  <si>
    <t>Dep on paint not applicable</t>
  </si>
  <si>
    <t>Exceeding 4 years but not exceeding 5 years</t>
  </si>
  <si>
    <t>If paint labour consolidated @25%</t>
  </si>
  <si>
    <t>Vehicle Details</t>
  </si>
  <si>
    <t>Drivers Details</t>
  </si>
  <si>
    <t>Exceeding 5 years but not exceeding 10 years</t>
  </si>
  <si>
    <t>Vehicle Regn Number:</t>
  </si>
  <si>
    <t>Drivers Name:</t>
  </si>
  <si>
    <t>Age:</t>
  </si>
  <si>
    <t>Exceeding 10 years</t>
  </si>
  <si>
    <t xml:space="preserve"> If Paint Bifurcation Available Dep applied @50%</t>
  </si>
  <si>
    <t>Odometer Reading</t>
  </si>
  <si>
    <t>As Per RC</t>
  </si>
  <si>
    <t>License No:</t>
  </si>
  <si>
    <t xml:space="preserve">Lic. Authority </t>
  </si>
  <si>
    <t>Make  :</t>
  </si>
  <si>
    <t>Chassis Number :</t>
  </si>
  <si>
    <t>Effective upto:</t>
  </si>
  <si>
    <t>Effective for:</t>
  </si>
  <si>
    <t>Dep Reimbursment</t>
  </si>
  <si>
    <t>Model:</t>
  </si>
  <si>
    <t>Engine Number :</t>
  </si>
  <si>
    <t>Yrs. Of Driving</t>
  </si>
  <si>
    <t>Date of Regn:</t>
  </si>
  <si>
    <t>Cubic Capacity :</t>
  </si>
  <si>
    <t xml:space="preserve">DL Verified </t>
  </si>
  <si>
    <t>Consumabels</t>
  </si>
  <si>
    <t>Color of vehicle</t>
  </si>
  <si>
    <t>Consumabels With dep cap</t>
  </si>
  <si>
    <t>As per Actual</t>
  </si>
  <si>
    <t>Check</t>
  </si>
  <si>
    <t>Vehicle Regn no.</t>
  </si>
  <si>
    <t>Pre Inspection</t>
  </si>
  <si>
    <t>Chassis no.</t>
  </si>
  <si>
    <t xml:space="preserve">previous claim </t>
  </si>
  <si>
    <t>INSURED</t>
  </si>
  <si>
    <t>Engine no.</t>
  </si>
  <si>
    <t>Observations:-</t>
  </si>
  <si>
    <t xml:space="preserve">     </t>
  </si>
  <si>
    <t>% Depreciation on metals</t>
  </si>
  <si>
    <t>Reserve:</t>
  </si>
  <si>
    <t>Name of the Garage:</t>
  </si>
  <si>
    <t>Reinspected On:</t>
  </si>
  <si>
    <t>Surveyed By:</t>
  </si>
  <si>
    <t xml:space="preserve">MOHD YAMIN </t>
  </si>
  <si>
    <t>In House Adjuster :</t>
  </si>
  <si>
    <t>Sr.No</t>
  </si>
  <si>
    <t>Repair/Replace</t>
  </si>
  <si>
    <t>Description</t>
  </si>
  <si>
    <t>Parts@list</t>
  </si>
  <si>
    <t>SGST</t>
  </si>
  <si>
    <t>CGST</t>
  </si>
  <si>
    <t>SGST AM</t>
  </si>
  <si>
    <t>CGST AM</t>
  </si>
  <si>
    <t>Depn in %</t>
  </si>
  <si>
    <t>Net Amount</t>
  </si>
  <si>
    <t>Labour Remove&amp; Refit</t>
  </si>
  <si>
    <t>Labour Repair</t>
  </si>
  <si>
    <t>Parts</t>
  </si>
  <si>
    <t>Total</t>
  </si>
  <si>
    <t>*This assessment is subject to terms and conditions in the policy and verification of all documents with the claim. Salvage has been destroyed.</t>
  </si>
  <si>
    <t>Summarized Report</t>
  </si>
  <si>
    <t>Discription</t>
  </si>
  <si>
    <t>Net Amout in INR</t>
  </si>
  <si>
    <t xml:space="preserve">Discount </t>
  </si>
  <si>
    <t>Discounted AM INR</t>
  </si>
  <si>
    <t>Net Payble INR</t>
  </si>
  <si>
    <t>Insured's Share</t>
  </si>
  <si>
    <t>Parts @ List Rs.</t>
  </si>
  <si>
    <t>Depreciated amt. incl. taxes on Paint</t>
  </si>
  <si>
    <t>Depreciatied parts After taxes</t>
  </si>
  <si>
    <t>Depreciated Parts Amount with tax</t>
  </si>
  <si>
    <t>Consumable parts</t>
  </si>
  <si>
    <t>Add Voulantry Excess</t>
  </si>
  <si>
    <t>Total Parts approved</t>
  </si>
  <si>
    <t>Add Compulsory Excess</t>
  </si>
  <si>
    <t>SGST IN %</t>
  </si>
  <si>
    <t>CGST  IN %</t>
  </si>
  <si>
    <t>Labour R&amp;R &amp; repair</t>
  </si>
  <si>
    <t>Total Insured's Share</t>
  </si>
  <si>
    <t>Insurer's Liability</t>
  </si>
  <si>
    <t>paint materail after dep</t>
  </si>
  <si>
    <t>Net Liability</t>
  </si>
  <si>
    <t>Towing Charge</t>
  </si>
  <si>
    <t>Less :Volauntry Excess</t>
  </si>
  <si>
    <t>Less;Compulsary Excess</t>
  </si>
  <si>
    <t>Total Insurer's Share With add on coverage</t>
  </si>
  <si>
    <t>For office use only</t>
  </si>
  <si>
    <t>labour</t>
  </si>
  <si>
    <t>Additional Remarks:</t>
  </si>
  <si>
    <t xml:space="preserve">Payment To </t>
  </si>
  <si>
    <t>Dep. Coverage</t>
  </si>
  <si>
    <t>Consumables Coverage</t>
  </si>
  <si>
    <t>Claim Processed by:</t>
  </si>
  <si>
    <t>ALL METAL PARTS</t>
  </si>
  <si>
    <t>Claim Approved by</t>
  </si>
  <si>
    <t>ALL GLSS PARTS</t>
  </si>
  <si>
    <t>Signature with Date:</t>
  </si>
  <si>
    <t>ALLPLASTIC PARTS</t>
  </si>
  <si>
    <t>S.No</t>
  </si>
  <si>
    <t>Repair/ Replace</t>
  </si>
  <si>
    <t>Parts@list (A)</t>
  </si>
  <si>
    <t>Depn (B) in %</t>
  </si>
  <si>
    <t>Net (A-B)</t>
  </si>
  <si>
    <t>Labour  Remove Refit</t>
  </si>
  <si>
    <t>Labour  Repair</t>
  </si>
  <si>
    <t>MOHD.YAMIN</t>
  </si>
  <si>
    <t>Mobile:+91-9818430881</t>
  </si>
  <si>
    <t>MOTOR SURVEY REPORT [FINAL]</t>
  </si>
  <si>
    <t>Claim No</t>
  </si>
  <si>
    <t>Report Ref No.</t>
  </si>
  <si>
    <t>Date</t>
  </si>
  <si>
    <t>Policy No.</t>
  </si>
  <si>
    <t>Period :</t>
  </si>
  <si>
    <t xml:space="preserve">Insured </t>
  </si>
  <si>
    <t>Address</t>
  </si>
  <si>
    <t>As per RC</t>
  </si>
  <si>
    <t>As per Insurance</t>
  </si>
  <si>
    <t>Registration No</t>
  </si>
  <si>
    <t>Chassis No.</t>
  </si>
  <si>
    <t>Engine No.</t>
  </si>
  <si>
    <t>Vehicle Particulars</t>
  </si>
  <si>
    <t>RC</t>
  </si>
  <si>
    <t>Cubic Capacity</t>
  </si>
  <si>
    <t>Chassis No</t>
  </si>
  <si>
    <t>Make/Model</t>
  </si>
  <si>
    <t>Engine No</t>
  </si>
  <si>
    <t>Date Of Registration</t>
  </si>
  <si>
    <t>Color</t>
  </si>
  <si>
    <t>Driving Particulars</t>
  </si>
  <si>
    <t>DL</t>
  </si>
  <si>
    <t>Name</t>
  </si>
  <si>
    <t>Driving Licence No.</t>
  </si>
  <si>
    <t>Issue Date</t>
  </si>
  <si>
    <t>Expiring On</t>
  </si>
  <si>
    <t>Valid For</t>
  </si>
  <si>
    <t>Issuing Authority</t>
  </si>
  <si>
    <t>Accident Particulars</t>
  </si>
  <si>
    <t>Date of Accident</t>
  </si>
  <si>
    <t>Place of Accident &amp; Time</t>
  </si>
  <si>
    <t>Place of Survey</t>
  </si>
  <si>
    <t>Date of Re-inspection</t>
  </si>
  <si>
    <t>Details of Accident &amp; Comments</t>
  </si>
  <si>
    <t>Police Report</t>
  </si>
  <si>
    <t>No,as per Claimform.</t>
  </si>
  <si>
    <t>Injuries to Driver/Passengers/Third Parties or Damage to properties of Third Party.</t>
  </si>
  <si>
    <t>Remarks :</t>
  </si>
  <si>
    <t>This Report is issued without prejudice subject to the terms &amp; conditions of the Insurance Policy.</t>
  </si>
  <si>
    <t>Registration No.</t>
  </si>
  <si>
    <t>SURVEY FEE BILL</t>
  </si>
  <si>
    <t>S.No.</t>
  </si>
  <si>
    <t>Particulars</t>
  </si>
  <si>
    <t>Amount</t>
  </si>
  <si>
    <t>Survey Fee Final</t>
  </si>
  <si>
    <t>Conveyance Final</t>
  </si>
  <si>
    <t xml:space="preserve">Photo Charges Final </t>
  </si>
  <si>
    <t>A/C No. 50200045633320</t>
  </si>
  <si>
    <t xml:space="preserve">HDFC BANK , KRISHNA NAGAR </t>
  </si>
  <si>
    <t>IFSC : HDFC0000709</t>
  </si>
  <si>
    <t>[ MOHD. YAMIN ]</t>
  </si>
  <si>
    <t xml:space="preserve">         SURVEYOR</t>
  </si>
  <si>
    <t>ALL CONS PARTS</t>
  </si>
  <si>
    <t xml:space="preserve">Tax </t>
  </si>
  <si>
    <t xml:space="preserve">Metal </t>
  </si>
  <si>
    <t xml:space="preserve">Plastic </t>
  </si>
  <si>
    <t xml:space="preserve">Consumable </t>
  </si>
  <si>
    <t>Fee</t>
  </si>
  <si>
    <t xml:space="preserve">Conveyance </t>
  </si>
  <si>
    <t xml:space="preserve">Total </t>
  </si>
  <si>
    <t>0-15</t>
  </si>
  <si>
    <t>15-50</t>
  </si>
  <si>
    <t>50-1 lakh</t>
  </si>
  <si>
    <t xml:space="preserve">1 - 3 lakh </t>
  </si>
  <si>
    <t xml:space="preserve">above 3 lakh </t>
  </si>
  <si>
    <t xml:space="preserve">3200 +0.70% over 3 lakh </t>
  </si>
  <si>
    <t>HSN Code</t>
  </si>
  <si>
    <r>
      <rPr>
        <b/>
        <sz val="12"/>
        <rFont val="Arial"/>
        <family val="2"/>
      </rPr>
      <t>KONCEPT AUTOMOBILES PVT. LTD.</t>
    </r>
  </si>
  <si>
    <r>
      <rPr>
        <b/>
        <sz val="11"/>
        <rFont val="Arial"/>
        <family val="2"/>
      </rPr>
      <t>B1/G5 MCIA MATHURA ROAD NEW DELHI,  -110044</t>
    </r>
  </si>
  <si>
    <r>
      <rPr>
        <b/>
        <sz val="9"/>
        <rFont val="Arial"/>
        <family val="2"/>
      </rPr>
      <t xml:space="preserve">Dealer GSTIN  : 07AACCK8444R1ZT                                                           </t>
    </r>
    <r>
      <rPr>
        <b/>
        <vertAlign val="subscript"/>
        <sz val="10"/>
        <rFont val="Arial"/>
        <family val="2"/>
      </rPr>
      <t xml:space="preserve">Tax Invoice
</t>
    </r>
    <r>
      <rPr>
        <sz val="8"/>
        <rFont val="Arial"/>
        <family val="2"/>
      </rPr>
      <t>(Invoice issued under Rule 46 of CGST/SGST Rules, 2017.)</t>
    </r>
  </si>
  <si>
    <r>
      <rPr>
        <b/>
        <sz val="9"/>
        <rFont val="Arial"/>
        <family val="2"/>
      </rPr>
      <t>Dealer State Code    :  07</t>
    </r>
  </si>
  <si>
    <r>
      <rPr>
        <b/>
        <sz val="8"/>
        <rFont val="Arial"/>
        <family val="2"/>
      </rPr>
      <t>BILL TO</t>
    </r>
  </si>
  <si>
    <r>
      <rPr>
        <b/>
        <sz val="8"/>
        <rFont val="Arial"/>
        <family val="2"/>
      </rPr>
      <t>SHIP TO</t>
    </r>
  </si>
  <si>
    <r>
      <rPr>
        <b/>
        <sz val="8"/>
        <rFont val="Arial"/>
        <family val="2"/>
      </rPr>
      <t>VEHICLE INFO</t>
    </r>
  </si>
  <si>
    <r>
      <rPr>
        <b/>
        <sz val="8"/>
        <rFont val="Arial"/>
        <family val="2"/>
      </rPr>
      <t>INVOICE INFO</t>
    </r>
  </si>
  <si>
    <r>
      <rPr>
        <b/>
        <sz val="8"/>
        <rFont val="Arial"/>
        <family val="2"/>
      </rPr>
      <t xml:space="preserve">Cust. GSTIN :   </t>
    </r>
    <r>
      <rPr>
        <sz val="8"/>
        <rFont val="Arial"/>
        <family val="2"/>
      </rPr>
      <t xml:space="preserve">07AABCT3518Q1ZY
</t>
    </r>
    <r>
      <rPr>
        <b/>
        <sz val="8"/>
        <rFont val="Arial"/>
        <family val="2"/>
      </rPr>
      <t xml:space="preserve">State Cd.       :   </t>
    </r>
    <r>
      <rPr>
        <sz val="8"/>
        <rFont val="Arial"/>
        <family val="2"/>
      </rPr>
      <t xml:space="preserve">07
</t>
    </r>
    <r>
      <rPr>
        <b/>
        <sz val="8"/>
        <rFont val="Arial"/>
        <family val="2"/>
      </rPr>
      <t xml:space="preserve">Cust. Code   :   </t>
    </r>
    <r>
      <rPr>
        <sz val="8"/>
        <rFont val="Arial"/>
        <family val="2"/>
      </rPr>
      <t xml:space="preserve">S10
</t>
    </r>
    <r>
      <rPr>
        <b/>
        <sz val="8"/>
        <rFont val="Arial"/>
        <family val="2"/>
      </rPr>
      <t xml:space="preserve">Name            :   </t>
    </r>
    <r>
      <rPr>
        <sz val="8"/>
        <rFont val="Arial"/>
        <family val="2"/>
      </rPr>
      <t xml:space="preserve">M/S. TATA AIG General
</t>
    </r>
    <r>
      <rPr>
        <sz val="8"/>
        <rFont val="Arial"/>
        <family val="2"/>
      </rPr>
      <t xml:space="preserve">Insurance Company Ltd.
</t>
    </r>
    <r>
      <rPr>
        <b/>
        <sz val="8"/>
        <rFont val="Arial"/>
        <family val="2"/>
      </rPr>
      <t xml:space="preserve">Address        :   </t>
    </r>
    <r>
      <rPr>
        <sz val="8"/>
        <rFont val="Arial"/>
        <family val="2"/>
      </rPr>
      <t xml:space="preserve">Plot No 22 2nd Floor
</t>
    </r>
    <r>
      <rPr>
        <sz val="8"/>
        <rFont val="Arial"/>
        <family val="2"/>
      </rPr>
      <t xml:space="preserve">Community
</t>
    </r>
    <r>
      <rPr>
        <sz val="8"/>
        <rFont val="Arial"/>
        <family val="2"/>
      </rPr>
      <t xml:space="preserve">Centre New Friends Colony, New Delhi
</t>
    </r>
    <r>
      <rPr>
        <sz val="8"/>
        <rFont val="Arial"/>
        <family val="2"/>
      </rPr>
      <t xml:space="preserve">NEW DELHI ,New Delhi - 110025
</t>
    </r>
    <r>
      <rPr>
        <sz val="8"/>
        <rFont val="Arial"/>
        <family val="2"/>
      </rPr>
      <t xml:space="preserve">Delhi
</t>
    </r>
    <r>
      <rPr>
        <b/>
        <sz val="8"/>
        <rFont val="Arial"/>
        <family val="2"/>
      </rPr>
      <t xml:space="preserve">State             :   </t>
    </r>
    <r>
      <rPr>
        <sz val="8"/>
        <rFont val="Arial"/>
        <family val="2"/>
      </rPr>
      <t xml:space="preserve">Delhi
</t>
    </r>
    <r>
      <rPr>
        <b/>
        <sz val="8"/>
        <rFont val="Arial"/>
        <family val="2"/>
      </rPr>
      <t xml:space="preserve">Phone           </t>
    </r>
    <r>
      <rPr>
        <b/>
        <vertAlign val="subscript"/>
        <sz val="8"/>
        <rFont val="Arial"/>
        <family val="2"/>
      </rPr>
      <t xml:space="preserve">:
</t>
    </r>
    <r>
      <rPr>
        <b/>
        <sz val="8"/>
        <rFont val="Arial"/>
        <family val="2"/>
      </rPr>
      <t>Pan No.         :</t>
    </r>
  </si>
  <si>
    <r>
      <rPr>
        <b/>
        <sz val="8"/>
        <rFont val="Arial"/>
        <family val="2"/>
      </rPr>
      <t xml:space="preserve">Cust. GSTIN :   </t>
    </r>
    <r>
      <rPr>
        <sz val="8"/>
        <rFont val="Arial"/>
        <family val="2"/>
      </rPr>
      <t xml:space="preserve">07AABCT3518Q1ZY
</t>
    </r>
    <r>
      <rPr>
        <b/>
        <sz val="8"/>
        <rFont val="Arial"/>
        <family val="2"/>
      </rPr>
      <t xml:space="preserve">State Cd.       :   </t>
    </r>
    <r>
      <rPr>
        <sz val="8"/>
        <rFont val="Arial"/>
        <family val="2"/>
      </rPr>
      <t xml:space="preserve">07
</t>
    </r>
    <r>
      <rPr>
        <b/>
        <sz val="8"/>
        <rFont val="Arial"/>
        <family val="2"/>
      </rPr>
      <t xml:space="preserve">Cust. Code   :   </t>
    </r>
    <r>
      <rPr>
        <sz val="8"/>
        <rFont val="Arial"/>
        <family val="2"/>
      </rPr>
      <t xml:space="preserve">S10
</t>
    </r>
    <r>
      <rPr>
        <b/>
        <sz val="8"/>
        <rFont val="Arial"/>
        <family val="2"/>
      </rPr>
      <t xml:space="preserve">Cust.Name   :   </t>
    </r>
    <r>
      <rPr>
        <sz val="8"/>
        <rFont val="Arial"/>
        <family val="2"/>
      </rPr>
      <t xml:space="preserve">M/S. TATA AIG General
</t>
    </r>
    <r>
      <rPr>
        <sz val="8"/>
        <rFont val="Arial"/>
        <family val="2"/>
      </rPr>
      <t xml:space="preserve">Insurance Company Ltd.
</t>
    </r>
    <r>
      <rPr>
        <b/>
        <sz val="8"/>
        <rFont val="Arial"/>
        <family val="2"/>
      </rPr>
      <t xml:space="preserve">Address        :   </t>
    </r>
    <r>
      <rPr>
        <sz val="8"/>
        <rFont val="Arial"/>
        <family val="2"/>
      </rPr>
      <t xml:space="preserve">Plot No 22 2nd Floor
</t>
    </r>
    <r>
      <rPr>
        <sz val="8"/>
        <rFont val="Arial"/>
        <family val="2"/>
      </rPr>
      <t xml:space="preserve">Community
</t>
    </r>
    <r>
      <rPr>
        <sz val="8"/>
        <rFont val="Arial"/>
        <family val="2"/>
      </rPr>
      <t xml:space="preserve">Centre New Friends Colony, New Delhi
</t>
    </r>
    <r>
      <rPr>
        <sz val="8"/>
        <rFont val="Arial"/>
        <family val="2"/>
      </rPr>
      <t xml:space="preserve">NEW DELHI ,New Delhi - 110025
</t>
    </r>
    <r>
      <rPr>
        <sz val="8"/>
        <rFont val="Arial"/>
        <family val="2"/>
      </rPr>
      <t xml:space="preserve">Delhi
</t>
    </r>
    <r>
      <rPr>
        <b/>
        <sz val="8"/>
        <rFont val="Arial"/>
        <family val="2"/>
      </rPr>
      <t xml:space="preserve">State             :   </t>
    </r>
    <r>
      <rPr>
        <sz val="8"/>
        <rFont val="Arial"/>
        <family val="2"/>
      </rPr>
      <t xml:space="preserve">Delhi
</t>
    </r>
    <r>
      <rPr>
        <b/>
        <sz val="8"/>
        <rFont val="Arial"/>
        <family val="2"/>
      </rPr>
      <t xml:space="preserve">Phone           </t>
    </r>
    <r>
      <rPr>
        <b/>
        <vertAlign val="subscript"/>
        <sz val="8"/>
        <rFont val="Arial"/>
        <family val="2"/>
      </rPr>
      <t xml:space="preserve">:
</t>
    </r>
    <r>
      <rPr>
        <b/>
        <sz val="8"/>
        <rFont val="Arial"/>
        <family val="2"/>
      </rPr>
      <t>Pan No.         :</t>
    </r>
  </si>
  <si>
    <r>
      <rPr>
        <b/>
        <sz val="8"/>
        <rFont val="Arial"/>
        <family val="2"/>
      </rPr>
      <t xml:space="preserve">Reg No        :   </t>
    </r>
    <r>
      <rPr>
        <sz val="8"/>
        <rFont val="Arial"/>
        <family val="2"/>
      </rPr>
      <t xml:space="preserve">UP16CH7070
</t>
    </r>
    <r>
      <rPr>
        <b/>
        <sz val="8"/>
        <rFont val="Arial"/>
        <family val="2"/>
      </rPr>
      <t xml:space="preserve">Model          :   </t>
    </r>
    <r>
      <rPr>
        <sz val="8"/>
        <rFont val="Arial"/>
        <family val="2"/>
      </rPr>
      <t xml:space="preserve">MAHINDRA XUV500 FWD W9 WTH0 NP
</t>
    </r>
    <r>
      <rPr>
        <b/>
        <sz val="8"/>
        <rFont val="Arial"/>
        <family val="2"/>
      </rPr>
      <t xml:space="preserve">Chass No    :   </t>
    </r>
    <r>
      <rPr>
        <sz val="8"/>
        <rFont val="Arial"/>
        <family val="2"/>
      </rPr>
      <t xml:space="preserve">K6G11187
</t>
    </r>
    <r>
      <rPr>
        <b/>
        <sz val="8"/>
        <rFont val="Arial"/>
        <family val="2"/>
      </rPr>
      <t xml:space="preserve">Engine No. :   </t>
    </r>
    <r>
      <rPr>
        <sz val="8"/>
        <rFont val="Arial"/>
        <family val="2"/>
      </rPr>
      <t xml:space="preserve">XXXXX
</t>
    </r>
    <r>
      <rPr>
        <b/>
        <sz val="8"/>
        <rFont val="Arial"/>
        <family val="2"/>
      </rPr>
      <t xml:space="preserve">Sold Date    :   </t>
    </r>
    <r>
      <rPr>
        <sz val="8"/>
        <rFont val="Arial"/>
        <family val="2"/>
      </rPr>
      <t xml:space="preserve">14-SEP-19 00:00:00
</t>
    </r>
    <r>
      <rPr>
        <b/>
        <sz val="8"/>
        <rFont val="Arial"/>
        <family val="2"/>
      </rPr>
      <t xml:space="preserve">Pay Mode   :   </t>
    </r>
    <r>
      <rPr>
        <sz val="8"/>
        <rFont val="Arial"/>
        <family val="2"/>
      </rPr>
      <t xml:space="preserve">Credit </t>
    </r>
    <r>
      <rPr>
        <b/>
        <sz val="8"/>
        <rFont val="Arial"/>
        <family val="2"/>
      </rPr>
      <t xml:space="preserve">Key Account     </t>
    </r>
    <r>
      <rPr>
        <b/>
        <vertAlign val="superscript"/>
        <sz val="8"/>
        <rFont val="Arial"/>
        <family val="2"/>
      </rPr>
      <t xml:space="preserve">: </t>
    </r>
    <r>
      <rPr>
        <b/>
        <sz val="8"/>
        <rFont val="Arial"/>
        <family val="2"/>
      </rPr>
      <t xml:space="preserve">Leasing Client    </t>
    </r>
    <r>
      <rPr>
        <b/>
        <vertAlign val="superscript"/>
        <sz val="8"/>
        <rFont val="Arial"/>
        <family val="2"/>
      </rPr>
      <t xml:space="preserve">:
</t>
    </r>
    <r>
      <rPr>
        <b/>
        <vertAlign val="superscript"/>
        <sz val="8"/>
        <rFont val="Arial"/>
        <family val="2"/>
      </rPr>
      <t xml:space="preserve">K_Part%:  0            </t>
    </r>
    <r>
      <rPr>
        <b/>
        <sz val="8"/>
        <rFont val="Arial"/>
        <family val="2"/>
      </rPr>
      <t xml:space="preserve">K_Labour%:0
</t>
    </r>
    <r>
      <rPr>
        <b/>
        <sz val="8"/>
        <rFont val="Arial"/>
        <family val="2"/>
      </rPr>
      <t xml:space="preserve">Mileage        :   </t>
    </r>
    <r>
      <rPr>
        <vertAlign val="subscript"/>
        <sz val="8"/>
        <rFont val="Arial"/>
        <family val="2"/>
      </rPr>
      <t>30503</t>
    </r>
  </si>
  <si>
    <r>
      <rPr>
        <b/>
        <sz val="8"/>
        <rFont val="Arial"/>
        <family val="2"/>
      </rPr>
      <t xml:space="preserve">GST Invc No.   :   </t>
    </r>
    <r>
      <rPr>
        <sz val="8"/>
        <rFont val="Arial"/>
        <family val="2"/>
      </rPr>
      <t xml:space="preserve">INS23S001237 </t>
    </r>
    <r>
      <rPr>
        <b/>
        <sz val="8"/>
        <rFont val="Arial"/>
        <family val="2"/>
      </rPr>
      <t xml:space="preserve">GST Invc Dt      :   </t>
    </r>
    <r>
      <rPr>
        <sz val="8"/>
        <rFont val="Arial"/>
        <family val="2"/>
      </rPr>
      <t xml:space="preserve">18-FEB-23 18:25:56 </t>
    </r>
    <r>
      <rPr>
        <b/>
        <sz val="8"/>
        <rFont val="Arial"/>
        <family val="2"/>
      </rPr>
      <t xml:space="preserve">RO No.              :   </t>
    </r>
    <r>
      <rPr>
        <sz val="8"/>
        <rFont val="Arial"/>
        <family val="2"/>
      </rPr>
      <t xml:space="preserve">RO23S001581
</t>
    </r>
    <r>
      <rPr>
        <b/>
        <sz val="8"/>
        <rFont val="Arial"/>
        <family val="2"/>
      </rPr>
      <t xml:space="preserve">RO Date            :   </t>
    </r>
    <r>
      <rPr>
        <sz val="8"/>
        <rFont val="Arial"/>
        <family val="2"/>
      </rPr>
      <t xml:space="preserve">03-FEB-23 11:16:00
</t>
    </r>
    <r>
      <rPr>
        <b/>
        <sz val="8"/>
        <rFont val="Arial"/>
        <family val="2"/>
      </rPr>
      <t xml:space="preserve">SA Name          :   </t>
    </r>
    <r>
      <rPr>
        <sz val="8"/>
        <rFont val="Arial"/>
        <family val="2"/>
      </rPr>
      <t xml:space="preserve">RAHUL KUMAR
</t>
    </r>
    <r>
      <rPr>
        <b/>
        <sz val="8"/>
        <rFont val="Arial"/>
        <family val="2"/>
      </rPr>
      <t xml:space="preserve">Service Type    :   </t>
    </r>
    <r>
      <rPr>
        <sz val="8"/>
        <rFont val="Arial"/>
        <family val="2"/>
      </rPr>
      <t xml:space="preserve">ACCIDENTAL
</t>
    </r>
    <r>
      <rPr>
        <b/>
        <vertAlign val="superscript"/>
        <sz val="8"/>
        <rFont val="Arial"/>
        <family val="2"/>
      </rPr>
      <t xml:space="preserve">Sale Type         </t>
    </r>
    <r>
      <rPr>
        <b/>
        <sz val="8"/>
        <rFont val="Arial"/>
        <family val="2"/>
      </rPr>
      <t xml:space="preserve">:   </t>
    </r>
    <r>
      <rPr>
        <sz val="8"/>
        <rFont val="Arial"/>
        <family val="2"/>
      </rPr>
      <t xml:space="preserve">Within State
</t>
    </r>
    <r>
      <rPr>
        <b/>
        <vertAlign val="superscript"/>
        <sz val="8"/>
        <rFont val="Arial"/>
        <family val="2"/>
      </rPr>
      <t xml:space="preserve">Voucher ID       </t>
    </r>
    <r>
      <rPr>
        <b/>
        <sz val="8"/>
        <rFont val="Arial"/>
        <family val="2"/>
      </rPr>
      <t xml:space="preserve">:
</t>
    </r>
    <r>
      <rPr>
        <b/>
        <sz val="8"/>
        <rFont val="Arial"/>
        <family val="2"/>
      </rPr>
      <t xml:space="preserve">Dealer Pan       :   </t>
    </r>
    <r>
      <rPr>
        <sz val="8"/>
        <rFont val="Arial"/>
        <family val="2"/>
      </rPr>
      <t xml:space="preserve">AACCK8444R
</t>
    </r>
    <r>
      <rPr>
        <b/>
        <sz val="8"/>
        <rFont val="Arial"/>
        <family val="2"/>
      </rPr>
      <t xml:space="preserve">Process Name   :    </t>
    </r>
    <r>
      <rPr>
        <sz val="8"/>
        <rFont val="Arial"/>
        <family val="2"/>
      </rPr>
      <t xml:space="preserve">RO Bill
</t>
    </r>
    <r>
      <rPr>
        <b/>
        <sz val="8"/>
        <rFont val="Arial"/>
        <family val="2"/>
      </rPr>
      <t xml:space="preserve">Place of Supply :   </t>
    </r>
    <r>
      <rPr>
        <sz val="8"/>
        <rFont val="Arial"/>
        <family val="2"/>
      </rPr>
      <t>Delhi</t>
    </r>
  </si>
  <si>
    <r>
      <rPr>
        <b/>
        <sz val="8"/>
        <rFont val="Arial"/>
        <family val="2"/>
      </rPr>
      <t xml:space="preserve">IRN                :   </t>
    </r>
    <r>
      <rPr>
        <sz val="8"/>
        <rFont val="Arial"/>
        <family val="2"/>
      </rPr>
      <t>0ec81356ed37f3008eaad42d4806ff9dde0697e8974be8046d278b04c642da3d</t>
    </r>
  </si>
  <si>
    <r>
      <rPr>
        <b/>
        <sz val="8"/>
        <rFont val="Arial"/>
        <family val="2"/>
      </rPr>
      <t xml:space="preserve">Sr.N
</t>
    </r>
    <r>
      <rPr>
        <b/>
        <sz val="8"/>
        <rFont val="Arial"/>
        <family val="2"/>
      </rPr>
      <t>o.</t>
    </r>
  </si>
  <si>
    <r>
      <rPr>
        <b/>
        <sz val="8"/>
        <rFont val="Arial"/>
        <family val="2"/>
      </rPr>
      <t>Part No/Lab code</t>
    </r>
  </si>
  <si>
    <r>
      <rPr>
        <b/>
        <sz val="8"/>
        <rFont val="Arial"/>
        <family val="2"/>
      </rPr>
      <t>Part/Lab Description</t>
    </r>
  </si>
  <si>
    <r>
      <rPr>
        <b/>
        <sz val="8"/>
        <rFont val="Arial"/>
        <family val="2"/>
      </rPr>
      <t>HSN/SAC</t>
    </r>
  </si>
  <si>
    <r>
      <rPr>
        <b/>
        <sz val="8"/>
        <rFont val="Arial"/>
        <family val="2"/>
      </rPr>
      <t>Qty.</t>
    </r>
  </si>
  <si>
    <r>
      <rPr>
        <b/>
        <sz val="8"/>
        <rFont val="Arial"/>
        <family val="2"/>
      </rPr>
      <t>Unit</t>
    </r>
  </si>
  <si>
    <r>
      <rPr>
        <b/>
        <sz val="8"/>
        <rFont val="Arial"/>
        <family val="2"/>
      </rPr>
      <t>Rate(per item)</t>
    </r>
  </si>
  <si>
    <r>
      <rPr>
        <b/>
        <sz val="8"/>
        <rFont val="Arial"/>
        <family val="2"/>
      </rPr>
      <t>Total</t>
    </r>
  </si>
  <si>
    <r>
      <rPr>
        <b/>
        <sz val="8"/>
        <rFont val="Arial"/>
        <family val="2"/>
      </rPr>
      <t>Disc.</t>
    </r>
  </si>
  <si>
    <r>
      <rPr>
        <b/>
        <sz val="8"/>
        <rFont val="Arial"/>
        <family val="2"/>
      </rPr>
      <t>Taxable value</t>
    </r>
  </si>
  <si>
    <r>
      <rPr>
        <b/>
        <sz val="8"/>
        <rFont val="Arial"/>
        <family val="2"/>
      </rPr>
      <t>CGST</t>
    </r>
  </si>
  <si>
    <r>
      <rPr>
        <b/>
        <sz val="8"/>
        <rFont val="Arial"/>
        <family val="2"/>
      </rPr>
      <t>SGST</t>
    </r>
  </si>
  <si>
    <r>
      <rPr>
        <b/>
        <sz val="8"/>
        <rFont val="Arial"/>
        <family val="2"/>
      </rPr>
      <t>Rate%</t>
    </r>
  </si>
  <si>
    <r>
      <rPr>
        <b/>
        <sz val="8"/>
        <rFont val="Arial"/>
        <family val="2"/>
      </rPr>
      <t>Amnt.</t>
    </r>
  </si>
  <si>
    <r>
      <rPr>
        <b/>
        <sz val="9"/>
        <rFont val="Arial"/>
        <family val="2"/>
      </rPr>
      <t>Part Details     :</t>
    </r>
  </si>
  <si>
    <r>
      <rPr>
        <sz val="8"/>
        <rFont val="Arial"/>
        <family val="2"/>
      </rPr>
      <t>R134</t>
    </r>
  </si>
  <si>
    <r>
      <rPr>
        <sz val="8"/>
        <rFont val="Arial"/>
        <family val="2"/>
      </rPr>
      <t>Local Spare part Oil &amp;</t>
    </r>
  </si>
  <si>
    <r>
      <rPr>
        <sz val="8"/>
        <rFont val="Arial"/>
        <family val="2"/>
      </rPr>
      <t>G</t>
    </r>
  </si>
  <si>
    <r>
      <rPr>
        <sz val="8"/>
        <rFont val="Arial"/>
        <family val="2"/>
      </rPr>
      <t>0102DAW00110N</t>
    </r>
  </si>
  <si>
    <r>
      <rPr>
        <sz val="8"/>
        <rFont val="Arial"/>
        <family val="2"/>
      </rPr>
      <t>ASSY SPLASH SHIELD</t>
    </r>
  </si>
  <si>
    <r>
      <rPr>
        <sz val="8"/>
        <rFont val="Arial"/>
        <family val="2"/>
      </rPr>
      <t>EA</t>
    </r>
  </si>
  <si>
    <r>
      <rPr>
        <sz val="8"/>
        <rFont val="Arial"/>
        <family val="2"/>
      </rPr>
      <t>0304AAM00150N</t>
    </r>
  </si>
  <si>
    <r>
      <rPr>
        <sz val="8"/>
        <rFont val="Arial"/>
        <family val="2"/>
      </rPr>
      <t>ASSY COND RAD FAN</t>
    </r>
  </si>
  <si>
    <r>
      <rPr>
        <sz val="8"/>
        <rFont val="Arial"/>
        <family val="2"/>
      </rPr>
      <t>0304AAM01910N</t>
    </r>
  </si>
  <si>
    <r>
      <rPr>
        <sz val="8"/>
        <rFont val="Arial"/>
        <family val="2"/>
      </rPr>
      <t>SEALS RADIATOR TOP</t>
    </r>
  </si>
  <si>
    <r>
      <rPr>
        <sz val="8"/>
        <rFont val="Arial"/>
        <family val="2"/>
      </rPr>
      <t>2301AAW01440F</t>
    </r>
  </si>
  <si>
    <r>
      <rPr>
        <sz val="8"/>
        <rFont val="Arial"/>
        <family val="2"/>
      </rPr>
      <t>COVER ASSY IP TOP</t>
    </r>
  </si>
  <si>
    <r>
      <rPr>
        <sz val="8"/>
        <rFont val="Arial"/>
        <family val="2"/>
      </rPr>
      <t>OIL134</t>
    </r>
  </si>
  <si>
    <r>
      <rPr>
        <sz val="8"/>
        <rFont val="Arial"/>
        <family val="2"/>
      </rPr>
      <t>Local Spare Part</t>
    </r>
  </si>
  <si>
    <r>
      <rPr>
        <sz val="8"/>
        <rFont val="Arial"/>
        <family val="2"/>
      </rPr>
      <t>ML</t>
    </r>
  </si>
  <si>
    <r>
      <rPr>
        <sz val="8"/>
        <rFont val="Arial"/>
        <family val="2"/>
      </rPr>
      <t>0107DAG00110N</t>
    </r>
  </si>
  <si>
    <r>
      <rPr>
        <sz val="8"/>
        <rFont val="Arial"/>
        <family val="2"/>
      </rPr>
      <t>2302CAW0001KT</t>
    </r>
  </si>
  <si>
    <r>
      <rPr>
        <sz val="8"/>
        <rFont val="Arial"/>
        <family val="2"/>
      </rPr>
      <t>TRIM ASSY FNDR</t>
    </r>
  </si>
  <si>
    <r>
      <rPr>
        <sz val="8"/>
        <rFont val="Arial"/>
        <family val="2"/>
      </rPr>
      <t>0108AAW00410N</t>
    </r>
  </si>
  <si>
    <r>
      <rPr>
        <sz val="8"/>
        <rFont val="Arial"/>
        <family val="2"/>
      </rPr>
      <t>GRILL ASSY FRONT</t>
    </r>
  </si>
  <si>
    <r>
      <rPr>
        <sz val="8"/>
        <rFont val="Arial"/>
        <family val="2"/>
      </rPr>
      <t>0108BAW00890N</t>
    </r>
  </si>
  <si>
    <r>
      <rPr>
        <sz val="8"/>
        <rFont val="Arial"/>
        <family val="2"/>
      </rPr>
      <t>CLADDING ASSY FRT</t>
    </r>
  </si>
  <si>
    <r>
      <rPr>
        <sz val="8"/>
        <rFont val="Arial"/>
        <family val="2"/>
      </rPr>
      <t>0108AAW00390N</t>
    </r>
  </si>
  <si>
    <r>
      <rPr>
        <sz val="8"/>
        <rFont val="Arial"/>
        <family val="2"/>
      </rPr>
      <t>BEZEL ASSY FOG</t>
    </r>
  </si>
  <si>
    <r>
      <rPr>
        <sz val="8"/>
        <rFont val="Arial"/>
        <family val="2"/>
      </rPr>
      <t>1701AAA07741N</t>
    </r>
  </si>
  <si>
    <r>
      <rPr>
        <sz val="8"/>
        <rFont val="Arial"/>
        <family val="2"/>
      </rPr>
      <t>HEADLAMP ASSY LH</t>
    </r>
  </si>
  <si>
    <r>
      <rPr>
        <sz val="8"/>
        <rFont val="Arial"/>
        <family val="2"/>
      </rPr>
      <t>0108BAW00900N</t>
    </r>
  </si>
  <si>
    <r>
      <rPr>
        <sz val="8"/>
        <rFont val="Arial"/>
        <family val="2"/>
      </rPr>
      <t>0120CW0011D</t>
    </r>
  </si>
  <si>
    <r>
      <rPr>
        <sz val="8"/>
        <rFont val="Arial"/>
        <family val="2"/>
      </rPr>
      <t>DRIVER AIR BAG</t>
    </r>
  </si>
  <si>
    <r>
      <rPr>
        <sz val="8"/>
        <rFont val="Arial"/>
        <family val="2"/>
      </rPr>
      <t>0120AAW00641L</t>
    </r>
  </si>
  <si>
    <r>
      <rPr>
        <sz val="8"/>
        <rFont val="Arial"/>
        <family val="2"/>
      </rPr>
      <t>SEAT BELT ASSY FRT</t>
    </r>
  </si>
  <si>
    <r>
      <rPr>
        <sz val="8"/>
        <rFont val="Arial"/>
        <family val="2"/>
      </rPr>
      <t>CLUL10</t>
    </r>
  </si>
  <si>
    <r>
      <rPr>
        <sz val="8"/>
        <rFont val="Arial"/>
        <family val="2"/>
      </rPr>
      <t>MAXIMILE ULTRACOOL</t>
    </r>
  </si>
  <si>
    <r>
      <rPr>
        <sz val="8"/>
        <rFont val="Arial"/>
        <family val="2"/>
      </rPr>
      <t>0102DAW00100N</t>
    </r>
  </si>
  <si>
    <r>
      <rPr>
        <sz val="8"/>
        <rFont val="Arial"/>
        <family val="2"/>
      </rPr>
      <t>0108ZAW00310N</t>
    </r>
  </si>
  <si>
    <r>
      <rPr>
        <sz val="8"/>
        <rFont val="Arial"/>
        <family val="2"/>
      </rPr>
      <t>ASSY FRONT WHEEL</t>
    </r>
  </si>
  <si>
    <r>
      <rPr>
        <sz val="8"/>
        <rFont val="Arial"/>
        <family val="2"/>
      </rPr>
      <t>1701DAA00711N</t>
    </r>
  </si>
  <si>
    <r>
      <rPr>
        <sz val="8"/>
        <rFont val="Arial"/>
        <family val="2"/>
      </rPr>
      <t>FRONT FOG LAMP</t>
    </r>
  </si>
  <si>
    <r>
      <rPr>
        <sz val="8"/>
        <rFont val="Arial"/>
        <family val="2"/>
      </rPr>
      <t>0108EAW00130N</t>
    </r>
  </si>
  <si>
    <r>
      <rPr>
        <sz val="8"/>
        <rFont val="Arial"/>
        <family val="2"/>
      </rPr>
      <t>ASSY SILL EXTENSION</t>
    </r>
  </si>
  <si>
    <r>
      <rPr>
        <sz val="8"/>
        <rFont val="Arial"/>
        <family val="2"/>
      </rPr>
      <t>0304AAM00850N</t>
    </r>
  </si>
  <si>
    <r>
      <rPr>
        <sz val="8"/>
        <rFont val="Arial"/>
        <family val="2"/>
      </rPr>
      <t>SEALS RADIATOR</t>
    </r>
  </si>
  <si>
    <r>
      <rPr>
        <sz val="8"/>
        <rFont val="Arial"/>
        <family val="2"/>
      </rPr>
      <t>0111AAW00100N</t>
    </r>
  </si>
  <si>
    <r>
      <rPr>
        <sz val="8"/>
        <rFont val="Arial"/>
        <family val="2"/>
      </rPr>
      <t>ASSY WIND SCREEN</t>
    </r>
  </si>
  <si>
    <r>
      <rPr>
        <sz val="8"/>
        <rFont val="Arial"/>
        <family val="2"/>
      </rPr>
      <t>1805BAA00401N</t>
    </r>
  </si>
  <si>
    <r>
      <rPr>
        <sz val="8"/>
        <rFont val="Arial"/>
        <family val="2"/>
      </rPr>
      <t>RLS SENSOR</t>
    </r>
  </si>
  <si>
    <r>
      <rPr>
        <sz val="8"/>
        <rFont val="Arial"/>
        <family val="2"/>
      </rPr>
      <t>0107AAW00021N</t>
    </r>
  </si>
  <si>
    <r>
      <rPr>
        <sz val="8"/>
        <rFont val="Arial"/>
        <family val="2"/>
      </rPr>
      <t>FILP SEAL WIND</t>
    </r>
  </si>
  <si>
    <r>
      <rPr>
        <sz val="8"/>
        <rFont val="Arial"/>
        <family val="2"/>
      </rPr>
      <t>1701AAA07731N</t>
    </r>
  </si>
  <si>
    <r>
      <rPr>
        <sz val="8"/>
        <rFont val="Arial"/>
        <family val="2"/>
      </rPr>
      <t>HEADLAMP ASSY RH</t>
    </r>
  </si>
  <si>
    <r>
      <rPr>
        <sz val="8"/>
        <rFont val="Arial"/>
        <family val="2"/>
      </rPr>
      <t>0120CAW00150N</t>
    </r>
  </si>
  <si>
    <r>
      <rPr>
        <sz val="8"/>
        <rFont val="Arial"/>
        <family val="2"/>
      </rPr>
      <t>PASSENGER AIRBAG-</t>
    </r>
  </si>
  <si>
    <r>
      <rPr>
        <sz val="8"/>
        <rFont val="Arial"/>
        <family val="2"/>
      </rPr>
      <t>0108AAW00400N</t>
    </r>
  </si>
  <si>
    <r>
      <rPr>
        <sz val="8"/>
        <rFont val="Arial"/>
        <family val="2"/>
      </rPr>
      <t>0304AAM01950N</t>
    </r>
  </si>
  <si>
    <r>
      <rPr>
        <sz val="8"/>
        <rFont val="Arial"/>
        <family val="2"/>
      </rPr>
      <t>SEALS RADIATOR LH</t>
    </r>
  </si>
  <si>
    <r>
      <rPr>
        <sz val="8"/>
        <rFont val="Arial"/>
        <family val="2"/>
      </rPr>
      <t>1801CAA25431N</t>
    </r>
  </si>
  <si>
    <r>
      <rPr>
        <sz val="8"/>
        <rFont val="Arial"/>
        <family val="2"/>
      </rPr>
      <t>WIRING HARNESS</t>
    </r>
  </si>
  <si>
    <r>
      <rPr>
        <sz val="8"/>
        <rFont val="Arial"/>
        <family val="2"/>
      </rPr>
      <t>1801BAA16271N</t>
    </r>
  </si>
  <si>
    <r>
      <rPr>
        <sz val="8"/>
        <rFont val="Arial"/>
        <family val="2"/>
      </rPr>
      <t>2302AAW00210N</t>
    </r>
  </si>
  <si>
    <r>
      <rPr>
        <sz val="8"/>
        <rFont val="Arial"/>
        <family val="2"/>
      </rPr>
      <t>MASK BMPR ASSY FRT</t>
    </r>
  </si>
  <si>
    <r>
      <rPr>
        <sz val="8"/>
        <rFont val="Arial"/>
        <family val="2"/>
      </rPr>
      <t>0108BAW00470N</t>
    </r>
  </si>
  <si>
    <r>
      <rPr>
        <sz val="8"/>
        <rFont val="Arial"/>
        <family val="2"/>
      </rPr>
      <t>STONE GUARD ASSY</t>
    </r>
  </si>
  <si>
    <r>
      <rPr>
        <sz val="8"/>
        <rFont val="Arial"/>
        <family val="2"/>
      </rPr>
      <t>1701DAA00701N</t>
    </r>
  </si>
  <si>
    <r>
      <rPr>
        <sz val="8"/>
        <rFont val="Arial"/>
        <family val="2"/>
      </rPr>
      <t>0102EAW00690N</t>
    </r>
  </si>
  <si>
    <r>
      <rPr>
        <sz val="8"/>
        <rFont val="Arial"/>
        <family val="2"/>
      </rPr>
      <t>CED XUV W207 PANEL</t>
    </r>
  </si>
  <si>
    <r>
      <rPr>
        <sz val="8"/>
        <rFont val="Arial"/>
        <family val="2"/>
      </rPr>
      <t>1805AAA01451N</t>
    </r>
  </si>
  <si>
    <r>
      <rPr>
        <sz val="8"/>
        <rFont val="Arial"/>
        <family val="2"/>
      </rPr>
      <t>AIRBAG ECU 6 SQUIB</t>
    </r>
  </si>
  <si>
    <r>
      <rPr>
        <sz val="8"/>
        <rFont val="Arial"/>
        <family val="2"/>
      </rPr>
      <t>0108ZAW00320N</t>
    </r>
  </si>
  <si>
    <r>
      <rPr>
        <sz val="8"/>
        <rFont val="Arial"/>
        <family val="2"/>
      </rPr>
      <t>0108EAW00120N</t>
    </r>
  </si>
  <si>
    <r>
      <rPr>
        <sz val="8"/>
        <rFont val="Arial"/>
        <family val="2"/>
      </rPr>
      <t>2302CAW0002KT</t>
    </r>
  </si>
  <si>
    <r>
      <rPr>
        <sz val="8"/>
        <rFont val="Arial"/>
        <family val="2"/>
      </rPr>
      <t>0119AW0130N</t>
    </r>
  </si>
  <si>
    <r>
      <rPr>
        <sz val="8"/>
        <rFont val="Arial"/>
        <family val="2"/>
      </rPr>
      <t>FRONT CROSS</t>
    </r>
  </si>
  <si>
    <r>
      <rPr>
        <sz val="8"/>
        <rFont val="Arial"/>
        <family val="2"/>
      </rPr>
      <t>0102AW0400N</t>
    </r>
  </si>
  <si>
    <r>
      <rPr>
        <sz val="8"/>
        <rFont val="Arial"/>
        <family val="2"/>
      </rPr>
      <t>Assembly Front End</t>
    </r>
  </si>
  <si>
    <r>
      <rPr>
        <sz val="8"/>
        <rFont val="Arial"/>
        <family val="2"/>
      </rPr>
      <t>0119AAW00660N</t>
    </r>
  </si>
  <si>
    <r>
      <rPr>
        <sz val="8"/>
        <rFont val="Arial"/>
        <family val="2"/>
      </rPr>
      <t>STIFFNER ASSY</t>
    </r>
  </si>
  <si>
    <r>
      <rPr>
        <sz val="8"/>
        <rFont val="Arial"/>
        <family val="2"/>
      </rPr>
      <t>0304AAM01940N</t>
    </r>
  </si>
  <si>
    <r>
      <rPr>
        <sz val="8"/>
        <rFont val="Arial"/>
        <family val="2"/>
      </rPr>
      <t>SEALS RADIATOR RH</t>
    </r>
  </si>
  <si>
    <r>
      <rPr>
        <sz val="8"/>
        <rFont val="Arial"/>
        <family val="2"/>
      </rPr>
      <t>0120AAW00651L</t>
    </r>
  </si>
  <si>
    <r>
      <rPr>
        <b/>
        <sz val="9"/>
        <rFont val="Arial"/>
        <family val="2"/>
      </rPr>
      <t>Labour Details</t>
    </r>
  </si>
  <si>
    <r>
      <rPr>
        <sz val="8"/>
        <rFont val="Arial"/>
        <family val="2"/>
      </rPr>
      <t>LOC-Z222</t>
    </r>
  </si>
  <si>
    <r>
      <rPr>
        <sz val="8"/>
        <rFont val="Arial"/>
        <family val="2"/>
      </rPr>
      <t>KN OPERATIONS - ACCIDENT REPAIRS</t>
    </r>
  </si>
  <si>
    <r>
      <rPr>
        <sz val="8"/>
        <rFont val="Arial"/>
        <family val="2"/>
      </rPr>
      <t>-</t>
    </r>
  </si>
  <si>
    <r>
      <rPr>
        <b/>
        <sz val="10"/>
        <rFont val="Arial"/>
        <family val="2"/>
      </rPr>
      <t>Sub Total</t>
    </r>
  </si>
  <si>
    <r>
      <rPr>
        <sz val="8"/>
        <rFont val="Arial"/>
        <family val="2"/>
      </rPr>
      <t>2,34,550.33</t>
    </r>
  </si>
  <si>
    <r>
      <rPr>
        <b/>
        <sz val="8"/>
        <rFont val="Arial"/>
        <family val="2"/>
      </rPr>
      <t xml:space="preserve">Part Total Items :  </t>
    </r>
    <r>
      <rPr>
        <b/>
        <vertAlign val="subscript"/>
        <sz val="8"/>
        <rFont val="Arial"/>
        <family val="2"/>
      </rPr>
      <t>44</t>
    </r>
  </si>
  <si>
    <r>
      <rPr>
        <sz val="8"/>
        <rFont val="Arial"/>
        <family val="2"/>
      </rPr>
      <t>Total</t>
    </r>
  </si>
  <si>
    <r>
      <rPr>
        <sz val="8"/>
        <rFont val="Arial"/>
        <family val="2"/>
      </rPr>
      <t>2,86,230.13</t>
    </r>
  </si>
  <si>
    <r>
      <rPr>
        <b/>
        <sz val="8"/>
        <rFont val="Arial"/>
        <family val="2"/>
      </rPr>
      <t>Part Net Qty :  59</t>
    </r>
  </si>
  <si>
    <r>
      <rPr>
        <sz val="8"/>
        <rFont val="Arial"/>
        <family val="2"/>
      </rPr>
      <t>Round of Amount</t>
    </r>
  </si>
  <si>
    <r>
      <rPr>
        <b/>
        <sz val="8"/>
        <rFont val="Arial"/>
        <family val="2"/>
      </rPr>
      <t xml:space="preserve">Rupees Two Lakh Eighty Six Thousand Two Hundred And Thirty Only                                                         </t>
    </r>
    <r>
      <rPr>
        <b/>
        <vertAlign val="subscript"/>
        <sz val="11"/>
        <rFont val="Arial"/>
        <family val="2"/>
      </rPr>
      <t>Grand Total</t>
    </r>
  </si>
  <si>
    <r>
      <rPr>
        <b/>
        <sz val="11"/>
        <rFont val="Arial"/>
        <family val="2"/>
      </rPr>
      <t>2,86,230.00</t>
    </r>
  </si>
  <si>
    <r>
      <rPr>
        <b/>
        <sz val="8"/>
        <rFont val="Arial"/>
        <family val="2"/>
      </rPr>
      <t>Declaration         :</t>
    </r>
  </si>
  <si>
    <r>
      <rPr>
        <b/>
        <sz val="8"/>
        <rFont val="Arial"/>
        <family val="2"/>
      </rPr>
      <t xml:space="preserve">Customer Name                  :   ANKUSH SHARMA S/O TARLOK NATH SHARMA
</t>
    </r>
    <r>
      <rPr>
        <b/>
        <sz val="8"/>
        <rFont val="Arial"/>
        <family val="2"/>
      </rPr>
      <t>Customer Signature             :                                                                                                                                                      Authorized Signature            :</t>
    </r>
  </si>
  <si>
    <r>
      <rPr>
        <sz val="8"/>
        <rFont val="Arial"/>
        <family val="2"/>
      </rPr>
      <t>Whether tax is Payable on reverse charges                       :    NO</t>
    </r>
  </si>
  <si>
    <r>
      <rPr>
        <b/>
        <sz val="9"/>
        <rFont val="Arial"/>
        <family val="2"/>
      </rPr>
      <t xml:space="preserve">Electronic Reference Number         </t>
    </r>
    <r>
      <rPr>
        <b/>
        <vertAlign val="superscript"/>
        <sz val="8"/>
        <rFont val="Arial"/>
        <family val="2"/>
      </rPr>
      <t xml:space="preserve">:   INS23S001237                                                                                                                                           </t>
    </r>
    <r>
      <rPr>
        <b/>
        <sz val="9"/>
        <rFont val="Arial"/>
        <family val="2"/>
      </rPr>
      <t xml:space="preserve">Date    </t>
    </r>
    <r>
      <rPr>
        <b/>
        <vertAlign val="superscript"/>
        <sz val="8"/>
        <rFont val="Arial"/>
        <family val="2"/>
      </rPr>
      <t>:   18-FEB-23 18:25:56</t>
    </r>
  </si>
  <si>
    <r>
      <rPr>
        <b/>
        <sz val="9"/>
        <rFont val="Arial"/>
        <family val="2"/>
      </rPr>
      <t xml:space="preserve">Dealer GSTIN  : 07AACCK8444R1ZT                                                           </t>
    </r>
    <r>
      <rPr>
        <b/>
        <vertAlign val="subscript"/>
        <sz val="10"/>
        <rFont val="Arial"/>
        <family val="2"/>
      </rPr>
      <t xml:space="preserve">Tax Invoice                                                           </t>
    </r>
    <r>
      <rPr>
        <b/>
        <sz val="9"/>
        <rFont val="Arial"/>
        <family val="2"/>
      </rPr>
      <t xml:space="preserve">Dealer State Code    :  07
</t>
    </r>
    <r>
      <rPr>
        <sz val="8"/>
        <rFont val="Arial"/>
        <family val="2"/>
      </rPr>
      <t>(Invoice issued under Rule 46 of CGST/SGST Rules, 2017.)</t>
    </r>
  </si>
  <si>
    <r>
      <rPr>
        <b/>
        <sz val="9"/>
        <rFont val="Arial"/>
        <family val="2"/>
      </rPr>
      <t>GST Summary</t>
    </r>
  </si>
  <si>
    <r>
      <rPr>
        <b/>
        <sz val="9"/>
        <rFont val="Arial"/>
        <family val="2"/>
      </rPr>
      <t>Sharing %</t>
    </r>
  </si>
  <si>
    <r>
      <rPr>
        <b/>
        <sz val="9"/>
        <rFont val="Arial"/>
        <family val="2"/>
      </rPr>
      <t>Labour</t>
    </r>
  </si>
  <si>
    <r>
      <rPr>
        <b/>
        <sz val="9"/>
        <rFont val="Arial"/>
        <family val="2"/>
      </rPr>
      <t>Goods</t>
    </r>
  </si>
  <si>
    <r>
      <rPr>
        <sz val="8"/>
        <rFont val="Arial"/>
        <family val="2"/>
      </rPr>
      <t>Central GST 14%</t>
    </r>
  </si>
  <si>
    <r>
      <rPr>
        <sz val="8"/>
        <rFont val="Arial"/>
        <family val="2"/>
      </rPr>
      <t>Central GST 9%</t>
    </r>
  </si>
  <si>
    <r>
      <rPr>
        <sz val="8"/>
        <rFont val="Arial"/>
        <family val="2"/>
      </rPr>
      <t>State GST 14%</t>
    </r>
  </si>
  <si>
    <r>
      <rPr>
        <sz val="8"/>
        <rFont val="Arial"/>
        <family val="2"/>
      </rPr>
      <t>State GST 9%</t>
    </r>
  </si>
  <si>
    <r>
      <rPr>
        <b/>
        <sz val="9"/>
        <rFont val="Arial"/>
        <family val="2"/>
      </rPr>
      <t>Total</t>
    </r>
  </si>
  <si>
    <r>
      <rPr>
        <sz val="8"/>
        <rFont val="Arial"/>
        <family val="2"/>
      </rPr>
      <t xml:space="preserve">Want to give a suggestion or share a feedback about dealership experience? You can reach out to Mahindra &amp; Mahindra Ltd Email: </t>
    </r>
    <r>
      <rPr>
        <u/>
        <sz val="8"/>
        <rFont val="Arial"/>
        <family val="2"/>
      </rPr>
      <t>customercare@mahindra.com</t>
    </r>
    <r>
      <rPr>
        <sz val="8"/>
        <rFont val="Arial"/>
        <family val="2"/>
      </rPr>
      <t xml:space="preserve">,
</t>
    </r>
    <r>
      <rPr>
        <sz val="8"/>
        <rFont val="Arial"/>
        <family val="2"/>
      </rPr>
      <t>24x7 Toll free: 18002096006, Twitter Scan:</t>
    </r>
  </si>
  <si>
    <r>
      <rPr>
        <b/>
        <sz val="10"/>
        <rFont val="Arial"/>
        <family val="2"/>
      </rPr>
      <t>SATISFACTION NOTE</t>
    </r>
  </si>
  <si>
    <r>
      <rPr>
        <b/>
        <sz val="8"/>
        <rFont val="Arial"/>
        <family val="2"/>
      </rPr>
      <t xml:space="preserve">Date         :   </t>
    </r>
    <r>
      <rPr>
        <sz val="8"/>
        <rFont val="Arial"/>
        <family val="2"/>
      </rPr>
      <t xml:space="preserve">18-FEB-2023                                                                                                                                                  </t>
    </r>
    <r>
      <rPr>
        <b/>
        <sz val="8"/>
        <rFont val="Arial"/>
        <family val="2"/>
      </rPr>
      <t xml:space="preserve">RO Number            :    </t>
    </r>
    <r>
      <rPr>
        <sz val="8"/>
        <rFont val="Arial"/>
        <family val="2"/>
      </rPr>
      <t xml:space="preserve">RO23S001581
</t>
    </r>
    <r>
      <rPr>
        <b/>
        <sz val="8"/>
        <rFont val="Arial"/>
        <family val="2"/>
      </rPr>
      <t xml:space="preserve">Model      :   </t>
    </r>
    <r>
      <rPr>
        <sz val="8"/>
        <rFont val="Arial"/>
        <family val="2"/>
      </rPr>
      <t xml:space="preserve">MAHINDRA XUV500 FWD W9 WTH0 NP
</t>
    </r>
    <r>
      <rPr>
        <b/>
        <sz val="8"/>
        <rFont val="Arial"/>
        <family val="2"/>
      </rPr>
      <t xml:space="preserve">Vehicle Registration Number                                                Vehicle Serial Number                                                            Engine Number
</t>
    </r>
    <r>
      <rPr>
        <sz val="8"/>
        <rFont val="Arial"/>
        <family val="2"/>
      </rPr>
      <t xml:space="preserve">UP16CH7070                                                                        K6G11187                                                                           XXXXX
</t>
    </r>
    <r>
      <rPr>
        <b/>
        <sz val="8"/>
        <rFont val="Arial"/>
        <family val="2"/>
      </rPr>
      <t xml:space="preserve">I have received the vehicle back in good condition and i am fully satisfied with the jobs done by  M/s KONCEPT AUTOMOBILES PVT LTD - MCIA MATHURA ROAD Name             </t>
    </r>
    <r>
      <rPr>
        <b/>
        <vertAlign val="superscript"/>
        <sz val="8"/>
        <rFont val="Arial"/>
        <family val="2"/>
      </rPr>
      <t xml:space="preserve">:   </t>
    </r>
    <r>
      <rPr>
        <sz val="8"/>
        <rFont val="Arial"/>
        <family val="2"/>
      </rPr>
      <t xml:space="preserve">ANKUSH SHARMA S/O TARLOK NATH SHARMA                                                               </t>
    </r>
    <r>
      <rPr>
        <b/>
        <vertAlign val="superscript"/>
        <sz val="8"/>
        <rFont val="Arial"/>
        <family val="2"/>
      </rPr>
      <t xml:space="preserve">Comments by customer (if any)
</t>
    </r>
    <r>
      <rPr>
        <b/>
        <sz val="8"/>
        <rFont val="Arial"/>
        <family val="2"/>
      </rPr>
      <t xml:space="preserve">Address        :   </t>
    </r>
    <r>
      <rPr>
        <sz val="8"/>
        <rFont val="Arial"/>
        <family val="2"/>
      </rPr>
      <t xml:space="preserve">G-104 SKYTECH MATROTT  APARTMENTS NEAR J M ORCHID  APARTMENTS SECTOR-76 NOIDA Uttar Pradesh PIN:201301
</t>
    </r>
    <r>
      <rPr>
        <b/>
        <sz val="8"/>
        <rFont val="Arial"/>
        <family val="2"/>
      </rPr>
      <t xml:space="preserve">Phone            :   </t>
    </r>
    <r>
      <rPr>
        <sz val="8"/>
        <rFont val="Arial"/>
        <family val="2"/>
      </rPr>
      <t>8800927888 8800927888</t>
    </r>
  </si>
  <si>
    <r>
      <rPr>
        <b/>
        <sz val="8"/>
        <rFont val="Arial"/>
        <family val="2"/>
      </rPr>
      <t xml:space="preserve">Customer's Signature :
</t>
    </r>
    <r>
      <rPr>
        <b/>
        <sz val="8"/>
        <rFont val="Arial"/>
        <family val="2"/>
      </rPr>
      <t>Date :</t>
    </r>
  </si>
  <si>
    <r>
      <rPr>
        <sz val="9"/>
        <rFont val="Arial"/>
        <family val="2"/>
      </rPr>
      <t>Pending Job (Cust Verb) in this RO</t>
    </r>
  </si>
  <si>
    <r>
      <rPr>
        <b/>
        <sz val="8"/>
        <rFont val="Arial"/>
        <family val="2"/>
      </rPr>
      <t>Sl No</t>
    </r>
  </si>
  <si>
    <r>
      <rPr>
        <b/>
        <sz val="8"/>
        <rFont val="Arial"/>
        <family val="2"/>
      </rPr>
      <t>Cust Verbatim</t>
    </r>
  </si>
  <si>
    <r>
      <rPr>
        <b/>
        <sz val="8"/>
        <rFont val="Arial"/>
        <family val="2"/>
      </rPr>
      <t>Source</t>
    </r>
  </si>
  <si>
    <r>
      <rPr>
        <b/>
        <sz val="8"/>
        <rFont val="Arial"/>
        <family val="2"/>
      </rPr>
      <t>Closing Status</t>
    </r>
  </si>
  <si>
    <r>
      <rPr>
        <sz val="9"/>
        <rFont val="Arial"/>
        <family val="2"/>
      </rPr>
      <t>WASHING &amp; CLEANING</t>
    </r>
  </si>
  <si>
    <r>
      <rPr>
        <sz val="9"/>
        <rFont val="Arial"/>
        <family val="2"/>
      </rPr>
      <t>System</t>
    </r>
  </si>
  <si>
    <r>
      <rPr>
        <sz val="9"/>
        <rFont val="Arial"/>
        <family val="2"/>
      </rPr>
      <t>Customer Refused</t>
    </r>
  </si>
  <si>
    <r>
      <rPr>
        <b/>
        <sz val="8"/>
        <rFont val="Arial"/>
        <family val="2"/>
      </rPr>
      <t>Work to be done (Recommended by Service Advisor)</t>
    </r>
  </si>
  <si>
    <r>
      <rPr>
        <b/>
        <sz val="8"/>
        <rFont val="Arial"/>
        <family val="2"/>
      </rPr>
      <t>Washing / cleaning not done on the basis of customer advice</t>
    </r>
  </si>
  <si>
    <r>
      <rPr>
        <b/>
        <sz val="10"/>
        <rFont val="Arial"/>
        <family val="2"/>
      </rPr>
      <t>GATE PASS</t>
    </r>
  </si>
  <si>
    <r>
      <rPr>
        <b/>
        <vertAlign val="superscript"/>
        <sz val="8"/>
        <rFont val="Arial"/>
        <family val="2"/>
      </rPr>
      <t xml:space="preserve">Gate Pass No.          </t>
    </r>
    <r>
      <rPr>
        <b/>
        <sz val="8"/>
        <rFont val="Arial"/>
        <family val="2"/>
      </rPr>
      <t xml:space="preserve">:   </t>
    </r>
    <r>
      <rPr>
        <sz val="8"/>
        <rFont val="Arial"/>
        <family val="2"/>
      </rPr>
      <t xml:space="preserve">GTP23S001574               </t>
    </r>
    <r>
      <rPr>
        <b/>
        <sz val="8"/>
        <rFont val="Arial"/>
        <family val="2"/>
      </rPr>
      <t xml:space="preserve">GP Date      :    </t>
    </r>
    <r>
      <rPr>
        <sz val="8"/>
        <rFont val="Arial"/>
        <family val="2"/>
      </rPr>
      <t xml:space="preserve">18-FEB-2023
</t>
    </r>
    <r>
      <rPr>
        <b/>
        <vertAlign val="superscript"/>
        <sz val="8"/>
        <rFont val="Arial"/>
        <family val="2"/>
      </rPr>
      <t xml:space="preserve">Reg No.                    :    </t>
    </r>
    <r>
      <rPr>
        <sz val="8"/>
        <rFont val="Arial"/>
        <family val="2"/>
      </rPr>
      <t xml:space="preserve">UP16CH7070
</t>
    </r>
    <r>
      <rPr>
        <b/>
        <vertAlign val="superscript"/>
        <sz val="8"/>
        <rFont val="Arial"/>
        <family val="2"/>
      </rPr>
      <t xml:space="preserve">Model                        </t>
    </r>
    <r>
      <rPr>
        <b/>
        <vertAlign val="subscript"/>
        <sz val="8"/>
        <rFont val="Arial"/>
        <family val="2"/>
      </rPr>
      <t xml:space="preserve">:   </t>
    </r>
    <r>
      <rPr>
        <sz val="8"/>
        <rFont val="Arial"/>
        <family val="2"/>
      </rPr>
      <t>MAHINDRA XUV500 FWD W9 WTH0 NP</t>
    </r>
  </si>
  <si>
    <r>
      <rPr>
        <b/>
        <sz val="8"/>
        <rFont val="Arial"/>
        <family val="2"/>
      </rPr>
      <t xml:space="preserve">RO Bill No.                                                     </t>
    </r>
    <r>
      <rPr>
        <b/>
        <vertAlign val="superscript"/>
        <sz val="8"/>
        <rFont val="Arial"/>
        <family val="2"/>
      </rPr>
      <t xml:space="preserve">Bill Date
</t>
    </r>
    <r>
      <rPr>
        <sz val="8"/>
        <rFont val="Arial"/>
        <family val="2"/>
      </rPr>
      <t xml:space="preserve">INS23S001237                                                </t>
    </r>
    <r>
      <rPr>
        <vertAlign val="superscript"/>
        <sz val="8"/>
        <rFont val="Arial"/>
        <family val="2"/>
      </rPr>
      <t xml:space="preserve">18-FEB-2023
</t>
    </r>
    <r>
      <rPr>
        <b/>
        <sz val="8"/>
        <rFont val="Arial"/>
        <family val="2"/>
      </rPr>
      <t xml:space="preserve">RO No.
</t>
    </r>
    <r>
      <rPr>
        <b/>
        <sz val="8"/>
        <rFont val="Arial"/>
        <family val="2"/>
      </rPr>
      <t xml:space="preserve">RO Date
</t>
    </r>
    <r>
      <rPr>
        <sz val="8"/>
        <rFont val="Arial"/>
        <family val="2"/>
      </rPr>
      <t xml:space="preserve">RO23S001581
</t>
    </r>
    <r>
      <rPr>
        <sz val="8"/>
        <rFont val="Arial"/>
        <family val="2"/>
      </rPr>
      <t>03-FEB-2023</t>
    </r>
  </si>
  <si>
    <r>
      <rPr>
        <b/>
        <sz val="8"/>
        <rFont val="Arial"/>
        <family val="2"/>
      </rPr>
      <t>Customer Name &amp; Signature</t>
    </r>
  </si>
  <si>
    <r>
      <rPr>
        <b/>
        <sz val="8"/>
        <rFont val="Arial"/>
        <family val="2"/>
      </rPr>
      <t>Authorized Signature</t>
    </r>
  </si>
  <si>
    <t>WIND SHIELD PASTING</t>
  </si>
  <si>
    <t xml:space="preserve">Verified </t>
  </si>
  <si>
    <t>Tata-</t>
  </si>
  <si>
    <t xml:space="preserve">Original RC and DL </t>
  </si>
  <si>
    <t xml:space="preserve">YES </t>
  </si>
  <si>
    <t xml:space="preserve">UR and RI </t>
  </si>
  <si>
    <t>Damage Parts Photo</t>
  </si>
  <si>
    <t xml:space="preserve">Excess Clause </t>
  </si>
  <si>
    <t xml:space="preserve">Without Paint Change </t>
  </si>
  <si>
    <t>N/A</t>
  </si>
  <si>
    <t>IRDA Iicense No.72970 valid upto 23/08/2026</t>
  </si>
  <si>
    <t>Lic No.72970,Valid upto 23/08/2026</t>
  </si>
  <si>
    <t>208-B , Rishabh corporate tower ,</t>
  </si>
  <si>
    <t>Karkardooma community centre,Delhi</t>
  </si>
  <si>
    <t xml:space="preserve">Cause of loss:- </t>
  </si>
  <si>
    <t xml:space="preserve">As per Claimform, </t>
  </si>
  <si>
    <t>Insurer</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</si>
</sst>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4" formatCode="_ &quot;₹&quot;\ * #,##0.00_ ;_ &quot;₹&quot;\ * \-#,##0.00_ ;_ &quot;₹&quot;\ * &quot;-&quot;??_ ;_ @_ "/>
    <numFmt numFmtId="43" formatCode="_ * #,##0.00_ ;_ * \-#,##0.00_ ;_ * &quot;-&quot;??_ ;_ @_ "/>
    <numFmt numFmtId="164" formatCode="mm/dd/yy"/>
    <numFmt numFmtId="165" formatCode="[$-409]d\-mmm\-yy;@"/>
    <numFmt numFmtId="166" formatCode="[$-409]mmm\-yy;@"/>
    <numFmt numFmtId="167" formatCode="0;[Red]0"/>
    <numFmt numFmtId="168" formatCode="0.0%"/>
    <numFmt numFmtId="169" formatCode="#,##0_ ;\-#,##0\ "/>
    <numFmt numFmtId="170" formatCode="[$-14009]dd/mm/yyyy;@"/>
    <numFmt numFmtId="171" formatCode="\2\8"/>
  </numFmts>
  <fonts count="68" x14ac:knownFonts="1">
    <font>
      <sz val="11"/>
      <color theme="1"/>
      <name val="Calibri"/>
      <family val="2"/>
      <scheme val="minor"/>
    </font>
    <font>
      <i/>
      <sz val="11"/>
      <color theme="1"/>
      <name val="Calibri"/>
      <family val="2"/>
      <scheme val="minor"/>
    </font>
    <font>
      <b/>
      <sz val="12"/>
      <color theme="1"/>
      <name val="Calibri"/>
      <family val="2"/>
      <scheme val="minor"/>
    </font>
    <font>
      <b/>
      <sz val="20"/>
      <color theme="1"/>
      <name val="Calibri"/>
      <family val="2"/>
      <scheme val="minor"/>
    </font>
    <font>
      <sz val="11"/>
      <color theme="1"/>
      <name val="Calibri"/>
      <family val="2"/>
      <scheme val="minor"/>
    </font>
    <font>
      <b/>
      <sz val="12"/>
      <color indexed="8"/>
      <name val="Calibri"/>
      <family val="2"/>
    </font>
    <font>
      <sz val="12"/>
      <color theme="1"/>
      <name val="Calibri"/>
      <family val="2"/>
      <scheme val="minor"/>
    </font>
    <font>
      <sz val="12"/>
      <color indexed="8"/>
      <name val="Calibri"/>
      <family val="2"/>
    </font>
    <font>
      <sz val="11"/>
      <color indexed="8"/>
      <name val="Calibri"/>
      <family val="2"/>
    </font>
    <font>
      <b/>
      <sz val="14"/>
      <color theme="1"/>
      <name val="Calibri"/>
      <family val="2"/>
      <scheme val="minor"/>
    </font>
    <font>
      <b/>
      <sz val="11"/>
      <color theme="1"/>
      <name val="Calibri"/>
      <family val="2"/>
      <scheme val="minor"/>
    </font>
    <font>
      <sz val="10"/>
      <name val="Arial"/>
      <family val="2"/>
    </font>
    <font>
      <sz val="14"/>
      <name val="Arial"/>
      <family val="2"/>
    </font>
    <font>
      <b/>
      <sz val="10"/>
      <name val="Arial"/>
      <family val="2"/>
    </font>
    <font>
      <sz val="14"/>
      <color indexed="9"/>
      <name val="Arial"/>
      <family val="2"/>
    </font>
    <font>
      <b/>
      <sz val="36"/>
      <name val="Arial"/>
      <family val="2"/>
    </font>
    <font>
      <b/>
      <sz val="40"/>
      <name val="Arial"/>
      <family val="2"/>
    </font>
    <font>
      <b/>
      <u/>
      <sz val="18"/>
      <name val="Arial"/>
      <family val="2"/>
    </font>
    <font>
      <b/>
      <u/>
      <sz val="16"/>
      <name val="Arial"/>
      <family val="2"/>
    </font>
    <font>
      <b/>
      <sz val="14"/>
      <name val="Arial"/>
      <family val="2"/>
    </font>
    <font>
      <b/>
      <sz val="16"/>
      <name val="Arial"/>
      <family val="2"/>
    </font>
    <font>
      <b/>
      <sz val="14"/>
      <color indexed="9"/>
      <name val="Arial"/>
      <family val="2"/>
    </font>
    <font>
      <b/>
      <u/>
      <sz val="14"/>
      <name val="Arial"/>
      <family val="2"/>
    </font>
    <font>
      <b/>
      <sz val="16"/>
      <color indexed="10"/>
      <name val="Arial"/>
      <family val="2"/>
    </font>
    <font>
      <sz val="12"/>
      <name val="Arial"/>
      <family val="2"/>
    </font>
    <font>
      <sz val="10"/>
      <name val="Arial"/>
      <family val="2"/>
    </font>
    <font>
      <b/>
      <sz val="18"/>
      <name val="Times New Roman"/>
      <family val="1"/>
    </font>
    <font>
      <b/>
      <sz val="14"/>
      <name val="Times New Roman"/>
      <family val="1"/>
    </font>
    <font>
      <sz val="14"/>
      <color indexed="8"/>
      <name val="Arial"/>
      <family val="2"/>
    </font>
    <font>
      <b/>
      <i/>
      <sz val="14"/>
      <name val="Arial"/>
      <family val="2"/>
    </font>
    <font>
      <b/>
      <sz val="18"/>
      <color indexed="8"/>
      <name val="Arial"/>
      <family val="2"/>
    </font>
    <font>
      <b/>
      <sz val="14"/>
      <color indexed="8"/>
      <name val="Arial"/>
      <family val="2"/>
    </font>
    <font>
      <b/>
      <sz val="16"/>
      <color indexed="9"/>
      <name val="Arial"/>
      <family val="2"/>
    </font>
    <font>
      <u/>
      <sz val="10"/>
      <color indexed="12"/>
      <name val="Arial"/>
      <family val="2"/>
    </font>
    <font>
      <sz val="16"/>
      <name val="Arial"/>
      <family val="2"/>
    </font>
    <font>
      <b/>
      <sz val="16"/>
      <color indexed="8"/>
      <name val="Arial"/>
      <family val="2"/>
    </font>
    <font>
      <b/>
      <sz val="12"/>
      <color indexed="9"/>
      <name val="Arial"/>
      <family val="2"/>
    </font>
    <font>
      <b/>
      <sz val="20"/>
      <name val="Arial"/>
      <family val="2"/>
    </font>
    <font>
      <b/>
      <sz val="9"/>
      <color indexed="81"/>
      <name val="Tahoma"/>
      <family val="2"/>
    </font>
    <font>
      <sz val="9"/>
      <color indexed="81"/>
      <name val="Tahoma"/>
      <family val="2"/>
    </font>
    <font>
      <b/>
      <u/>
      <sz val="12"/>
      <name val="Arial"/>
      <family val="2"/>
    </font>
    <font>
      <b/>
      <i/>
      <sz val="10"/>
      <name val="Arial"/>
      <family val="2"/>
    </font>
    <font>
      <b/>
      <sz val="9"/>
      <name val="Arial"/>
      <family val="2"/>
    </font>
    <font>
      <i/>
      <sz val="10"/>
      <name val="Arial"/>
      <family val="2"/>
    </font>
    <font>
      <b/>
      <u/>
      <sz val="10"/>
      <name val="Verdana"/>
      <family val="2"/>
    </font>
    <font>
      <b/>
      <sz val="10"/>
      <name val="Verdana"/>
      <family val="2"/>
    </font>
    <font>
      <sz val="10"/>
      <name val="Verdana"/>
      <family val="2"/>
    </font>
    <font>
      <b/>
      <u/>
      <sz val="12"/>
      <name val="Verdana"/>
      <family val="2"/>
    </font>
    <font>
      <sz val="12"/>
      <name val="Verdana"/>
      <family val="2"/>
    </font>
    <font>
      <b/>
      <sz val="11"/>
      <name val="Verdana"/>
      <family val="2"/>
    </font>
    <font>
      <sz val="10"/>
      <name val="Arial"/>
      <family val="2"/>
      <charset val="1"/>
    </font>
    <font>
      <b/>
      <sz val="12"/>
      <name val="Arial"/>
      <family val="2"/>
    </font>
    <font>
      <b/>
      <sz val="11"/>
      <name val="Arial"/>
      <family val="2"/>
    </font>
    <font>
      <b/>
      <vertAlign val="subscript"/>
      <sz val="10"/>
      <name val="Arial"/>
      <family val="2"/>
    </font>
    <font>
      <sz val="8"/>
      <name val="Arial"/>
      <family val="2"/>
    </font>
    <font>
      <b/>
      <sz val="8"/>
      <name val="Arial"/>
      <family val="2"/>
    </font>
    <font>
      <b/>
      <vertAlign val="subscript"/>
      <sz val="8"/>
      <name val="Arial"/>
      <family val="2"/>
    </font>
    <font>
      <b/>
      <vertAlign val="superscript"/>
      <sz val="8"/>
      <name val="Arial"/>
      <family val="2"/>
    </font>
    <font>
      <vertAlign val="subscript"/>
      <sz val="8"/>
      <name val="Arial"/>
      <family val="2"/>
    </font>
    <font>
      <sz val="8"/>
      <color rgb="FF000000"/>
      <name val="Arial"/>
      <family val="2"/>
    </font>
    <font>
      <b/>
      <vertAlign val="subscript"/>
      <sz val="11"/>
      <name val="Arial"/>
      <family val="2"/>
    </font>
    <font>
      <u/>
      <sz val="8"/>
      <name val="Arial"/>
      <family val="2"/>
    </font>
    <font>
      <sz val="9"/>
      <name val="Arial"/>
      <family val="2"/>
    </font>
    <font>
      <sz val="9"/>
      <color rgb="FF000000"/>
      <name val="Arial"/>
      <family val="2"/>
    </font>
    <font>
      <vertAlign val="superscript"/>
      <sz val="8"/>
      <name val="Arial"/>
      <family val="2"/>
    </font>
    <font>
      <sz val="16"/>
      <color rgb="FFFFFF00"/>
      <name val="Arial"/>
      <family val="2"/>
    </font>
    <font>
      <sz val="14"/>
      <color rgb="FFFFFF00"/>
      <name val="Arial"/>
      <family val="2"/>
    </font>
    <font>
      <sz val="18"/>
      <color theme="2" tint="-0.89999084444715716"/>
      <name val="Arial"/>
      <family val="2"/>
    </font>
  </fonts>
  <fills count="23">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indexed="41"/>
        <bgColor indexed="64"/>
      </patternFill>
    </fill>
    <fill>
      <patternFill patternType="solid">
        <fgColor indexed="9"/>
        <bgColor indexed="64"/>
      </patternFill>
    </fill>
    <fill>
      <patternFill patternType="solid">
        <fgColor theme="0"/>
        <bgColor indexed="64"/>
      </patternFill>
    </fill>
    <fill>
      <patternFill patternType="solid">
        <fgColor indexed="8"/>
        <bgColor indexed="64"/>
      </patternFill>
    </fill>
    <fill>
      <patternFill patternType="solid">
        <fgColor indexed="42"/>
        <bgColor indexed="64"/>
      </patternFill>
    </fill>
    <fill>
      <patternFill patternType="solid">
        <fgColor theme="1"/>
        <bgColor indexed="64"/>
      </patternFill>
    </fill>
    <fill>
      <patternFill patternType="solid">
        <fgColor indexed="47"/>
        <bgColor indexed="64"/>
      </patternFill>
    </fill>
    <fill>
      <patternFill patternType="solid">
        <fgColor indexed="43"/>
        <bgColor indexed="64"/>
      </patternFill>
    </fill>
    <fill>
      <patternFill patternType="solid">
        <fgColor indexed="13"/>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12"/>
        <bgColor indexed="64"/>
      </patternFill>
    </fill>
    <fill>
      <patternFill patternType="solid">
        <fgColor rgb="FFCCCCCC"/>
      </patternFill>
    </fill>
    <fill>
      <patternFill patternType="solid">
        <fgColor rgb="FFD6D6D6"/>
      </patternFill>
    </fill>
    <fill>
      <patternFill patternType="solid">
        <fgColor rgb="FFFFFFFF"/>
      </patternFill>
    </fill>
    <fill>
      <patternFill patternType="solid">
        <fgColor rgb="FFC1C1C1"/>
      </patternFill>
    </fill>
    <fill>
      <patternFill patternType="solid">
        <fgColor rgb="FFADADAD"/>
      </patternFill>
    </fill>
    <fill>
      <patternFill patternType="solid">
        <fgColor theme="4"/>
        <bgColor indexed="64"/>
      </patternFill>
    </fill>
  </fills>
  <borders count="8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double">
        <color indexed="64"/>
      </bottom>
      <diagonal/>
    </border>
    <border>
      <left style="medium">
        <color indexed="64"/>
      </left>
      <right style="medium">
        <color indexed="64"/>
      </right>
      <top style="medium">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3D3D3D"/>
      </bottom>
      <diagonal/>
    </border>
    <border>
      <left/>
      <right/>
      <top style="thin">
        <color rgb="FF000000"/>
      </top>
      <bottom style="thin">
        <color rgb="FF3D3D3D"/>
      </bottom>
      <diagonal/>
    </border>
    <border>
      <left/>
      <right style="thin">
        <color rgb="FF000000"/>
      </right>
      <top style="thin">
        <color rgb="FF000000"/>
      </top>
      <bottom style="thin">
        <color rgb="FF3D3D3D"/>
      </bottom>
      <diagonal/>
    </border>
    <border>
      <left style="thin">
        <color rgb="FF3D3D3D"/>
      </left>
      <right/>
      <top style="thin">
        <color rgb="FF3D3D3D"/>
      </top>
      <bottom style="thin">
        <color rgb="FF3D3D3D"/>
      </bottom>
      <diagonal/>
    </border>
    <border>
      <left/>
      <right/>
      <top style="thin">
        <color rgb="FF3D3D3D"/>
      </top>
      <bottom style="thin">
        <color rgb="FF3D3D3D"/>
      </bottom>
      <diagonal/>
    </border>
    <border>
      <left/>
      <right style="thin">
        <color rgb="FF848484"/>
      </right>
      <top style="thin">
        <color rgb="FF3D3D3D"/>
      </top>
      <bottom style="thin">
        <color rgb="FF3D3D3D"/>
      </bottom>
      <diagonal/>
    </border>
    <border>
      <left style="thin">
        <color rgb="FF848484"/>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848484"/>
      </left>
      <right/>
      <top style="thin">
        <color rgb="FF3D3D3D"/>
      </top>
      <bottom style="thin">
        <color rgb="FF000000"/>
      </bottom>
      <diagonal/>
    </border>
    <border>
      <left/>
      <right/>
      <top style="thin">
        <color rgb="FF3D3D3D"/>
      </top>
      <bottom style="thin">
        <color rgb="FF000000"/>
      </bottom>
      <diagonal/>
    </border>
    <border>
      <left/>
      <right style="thin">
        <color rgb="FF848484"/>
      </right>
      <top style="thin">
        <color rgb="FF3D3D3D"/>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uble">
        <color indexed="64"/>
      </top>
      <bottom style="medium">
        <color indexed="64"/>
      </bottom>
      <diagonal/>
    </border>
    <border>
      <left/>
      <right style="medium">
        <color indexed="64"/>
      </right>
      <top/>
      <bottom style="thin">
        <color indexed="64"/>
      </bottom>
      <diagonal/>
    </border>
  </borders>
  <cellStyleXfs count="8">
    <xf numFmtId="0" fontId="0" fillId="0" borderId="0"/>
    <xf numFmtId="43" fontId="4" fillId="0" borderId="0" applyFont="0" applyFill="0" applyBorder="0" applyAlignment="0" applyProtection="0"/>
    <xf numFmtId="0" fontId="11" fillId="0" borderId="0"/>
    <xf numFmtId="44" fontId="11" fillId="0" borderId="0" applyFont="0" applyFill="0" applyBorder="0" applyAlignment="0" applyProtection="0"/>
    <xf numFmtId="0" fontId="33" fillId="0" borderId="0" applyNumberFormat="0" applyFill="0" applyBorder="0" applyAlignment="0" applyProtection="0">
      <alignment vertical="top"/>
      <protection locked="0"/>
    </xf>
    <xf numFmtId="168" fontId="11" fillId="0" borderId="0" applyFont="0" applyFill="0" applyBorder="0" applyAlignment="0" applyProtection="0"/>
    <xf numFmtId="168" fontId="11" fillId="0" borderId="0" applyFont="0" applyFill="0" applyBorder="0" applyAlignment="0" applyProtection="0"/>
    <xf numFmtId="0" fontId="50" fillId="0" borderId="0"/>
  </cellStyleXfs>
  <cellXfs count="881">
    <xf numFmtId="0" fontId="0" fillId="0" borderId="0" xfId="0"/>
    <xf numFmtId="0" fontId="1" fillId="2" borderId="5" xfId="0" applyFont="1" applyFill="1" applyBorder="1" applyAlignment="1">
      <alignment horizontal="center" vertical="center"/>
    </xf>
    <xf numFmtId="0" fontId="0" fillId="0" borderId="0" xfId="0" applyBorder="1"/>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9" xfId="0" applyBorder="1"/>
    <xf numFmtId="0" fontId="0" fillId="0" borderId="1" xfId="0" applyBorder="1" applyAlignment="1">
      <alignment horizontal="center" vertical="center"/>
    </xf>
    <xf numFmtId="0" fontId="0" fillId="0" borderId="1" xfId="0" applyFont="1" applyBorder="1" applyAlignment="1">
      <alignment vertical="center"/>
    </xf>
    <xf numFmtId="14" fontId="1" fillId="2" borderId="1" xfId="0" applyNumberFormat="1" applyFont="1" applyFill="1" applyBorder="1" applyAlignment="1">
      <alignment horizontal="center"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0" fillId="0" borderId="11" xfId="0" applyFill="1" applyBorder="1" applyAlignment="1">
      <alignment horizontal="center" vertical="center"/>
    </xf>
    <xf numFmtId="0" fontId="0" fillId="0" borderId="1" xfId="0" applyBorder="1" applyAlignment="1">
      <alignment wrapText="1"/>
    </xf>
    <xf numFmtId="0" fontId="0" fillId="0" borderId="6" xfId="0" applyBorder="1" applyAlignment="1">
      <alignment wrapText="1"/>
    </xf>
    <xf numFmtId="0" fontId="0" fillId="0" borderId="1" xfId="0" applyBorder="1" applyAlignment="1">
      <alignment vertical="center"/>
    </xf>
    <xf numFmtId="0" fontId="0" fillId="0" borderId="1" xfId="0" applyBorder="1" applyAlignment="1">
      <alignment horizontal="center" vertical="center"/>
    </xf>
    <xf numFmtId="0" fontId="2" fillId="4" borderId="6" xfId="0" applyFont="1" applyFill="1" applyBorder="1" applyAlignment="1">
      <alignment horizontal="center" vertical="center"/>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6" fillId="0" borderId="0" xfId="0" applyFont="1" applyFill="1" applyBorder="1" applyAlignment="1">
      <alignment horizontal="center" vertical="center"/>
    </xf>
    <xf numFmtId="164" fontId="7" fillId="0" borderId="0" xfId="0" applyNumberFormat="1" applyFont="1" applyFill="1" applyBorder="1" applyAlignment="1">
      <alignment horizontal="center" vertical="center"/>
    </xf>
    <xf numFmtId="164" fontId="8" fillId="0" borderId="0" xfId="0" applyNumberFormat="1" applyFont="1" applyFill="1" applyBorder="1" applyAlignment="1">
      <alignment horizontal="center" vertical="center"/>
    </xf>
    <xf numFmtId="0" fontId="0" fillId="0" borderId="0" xfId="0" applyFont="1" applyBorder="1" applyAlignment="1">
      <alignment vertical="center"/>
    </xf>
    <xf numFmtId="0" fontId="0" fillId="0" borderId="0" xfId="0" applyFont="1" applyBorder="1" applyAlignment="1">
      <alignment horizontal="left" vertical="center"/>
    </xf>
    <xf numFmtId="9" fontId="6" fillId="0" borderId="0" xfId="0" applyNumberFormat="1" applyFont="1" applyFill="1" applyBorder="1" applyAlignment="1" applyProtection="1">
      <alignment horizontal="center" vertical="center"/>
      <protection locked="0"/>
    </xf>
    <xf numFmtId="0" fontId="6" fillId="0" borderId="16" xfId="0" applyFont="1" applyFill="1" applyBorder="1" applyAlignment="1">
      <alignment horizontal="center" vertical="center"/>
    </xf>
    <xf numFmtId="164" fontId="5" fillId="0" borderId="12" xfId="0" applyNumberFormat="1" applyFont="1" applyFill="1" applyBorder="1" applyAlignment="1">
      <alignment horizontal="center" vertical="center"/>
    </xf>
    <xf numFmtId="0" fontId="2" fillId="0" borderId="16" xfId="0" applyFont="1" applyFill="1" applyBorder="1" applyAlignment="1">
      <alignment horizontal="center" vertical="center"/>
    </xf>
    <xf numFmtId="0" fontId="2" fillId="0" borderId="13" xfId="0" applyFont="1" applyFill="1" applyBorder="1" applyAlignment="1">
      <alignment horizontal="center" vertical="center"/>
    </xf>
    <xf numFmtId="0" fontId="2" fillId="4" borderId="4" xfId="0" applyFont="1" applyFill="1" applyBorder="1" applyAlignment="1">
      <alignment horizontal="center" vertical="center" wrapText="1"/>
    </xf>
    <xf numFmtId="0" fontId="0" fillId="0" borderId="0" xfId="0" applyFont="1" applyBorder="1" applyAlignment="1">
      <alignment horizontal="center" vertical="center"/>
    </xf>
    <xf numFmtId="0" fontId="6" fillId="0" borderId="0"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center"/>
    </xf>
    <xf numFmtId="0" fontId="10" fillId="0" borderId="0" xfId="0" applyFont="1" applyAlignment="1"/>
    <xf numFmtId="0" fontId="0" fillId="0" borderId="0" xfId="0" applyAlignment="1"/>
    <xf numFmtId="0" fontId="0" fillId="0" borderId="0" xfId="0" applyFill="1" applyBorder="1" applyAlignment="1"/>
    <xf numFmtId="0" fontId="3" fillId="0" borderId="0" xfId="0" applyFont="1" applyFill="1" applyBorder="1" applyAlignment="1">
      <alignment vertical="center"/>
    </xf>
    <xf numFmtId="0" fontId="0" fillId="0" borderId="0" xfId="0" applyFill="1" applyBorder="1"/>
    <xf numFmtId="2" fontId="1" fillId="2" borderId="1" xfId="0" applyNumberFormat="1" applyFont="1" applyFill="1" applyBorder="1" applyAlignment="1">
      <alignment horizontal="center" vertical="center"/>
    </xf>
    <xf numFmtId="0" fontId="6" fillId="2" borderId="14" xfId="0" applyNumberFormat="1" applyFont="1" applyFill="1" applyBorder="1" applyAlignment="1" applyProtection="1">
      <alignment horizontal="center" vertical="center"/>
      <protection locked="0"/>
    </xf>
    <xf numFmtId="0" fontId="8" fillId="2" borderId="17" xfId="0" applyNumberFormat="1" applyFont="1" applyFill="1" applyBorder="1" applyAlignment="1">
      <alignment horizontal="center" vertical="center"/>
    </xf>
    <xf numFmtId="0" fontId="8" fillId="2" borderId="15" xfId="0" applyNumberFormat="1" applyFont="1" applyFill="1" applyBorder="1" applyAlignment="1">
      <alignment horizontal="center" vertical="center"/>
    </xf>
    <xf numFmtId="0" fontId="7" fillId="2" borderId="17" xfId="0" applyNumberFormat="1" applyFont="1" applyFill="1" applyBorder="1" applyAlignment="1">
      <alignment horizontal="center" vertical="center"/>
    </xf>
    <xf numFmtId="14" fontId="1" fillId="2" borderId="1" xfId="0" quotePrefix="1" applyNumberFormat="1" applyFont="1" applyFill="1" applyBorder="1" applyAlignment="1">
      <alignment horizontal="center" vertical="center"/>
    </xf>
    <xf numFmtId="0" fontId="1" fillId="2" borderId="1" xfId="0" quotePrefix="1" applyFont="1" applyFill="1" applyBorder="1" applyAlignment="1">
      <alignment horizontal="center" vertical="center"/>
    </xf>
    <xf numFmtId="14" fontId="1" fillId="2" borderId="1" xfId="1" quotePrefix="1" applyNumberFormat="1" applyFont="1" applyFill="1" applyBorder="1" applyAlignment="1">
      <alignment horizontal="center" vertical="center"/>
    </xf>
    <xf numFmtId="2" fontId="1" fillId="2" borderId="1" xfId="1" applyNumberFormat="1" applyFont="1" applyFill="1" applyBorder="1" applyAlignment="1">
      <alignment horizontal="center" vertical="center"/>
    </xf>
    <xf numFmtId="0" fontId="0" fillId="0" borderId="1" xfId="0" applyFont="1" applyBorder="1" applyAlignment="1">
      <alignment horizontal="center" vertical="center"/>
    </xf>
    <xf numFmtId="0" fontId="0" fillId="0" borderId="0" xfId="0" applyFont="1"/>
    <xf numFmtId="0" fontId="0" fillId="0" borderId="6" xfId="0" applyBorder="1" applyAlignment="1">
      <alignment horizontal="center" vertical="center"/>
    </xf>
    <xf numFmtId="0" fontId="12" fillId="0" borderId="0" xfId="2" applyFont="1" applyProtection="1">
      <protection locked="0"/>
    </xf>
    <xf numFmtId="0" fontId="12" fillId="0" borderId="18" xfId="2" applyFont="1" applyBorder="1" applyProtection="1">
      <protection locked="0"/>
    </xf>
    <xf numFmtId="0" fontId="13" fillId="0" borderId="19" xfId="2" applyFont="1" applyFill="1" applyBorder="1" applyAlignment="1">
      <alignment vertical="justify" wrapText="1"/>
    </xf>
    <xf numFmtId="0" fontId="13" fillId="0" borderId="20" xfId="2" applyFont="1" applyFill="1" applyBorder="1" applyAlignment="1">
      <alignment vertical="justify" wrapText="1"/>
    </xf>
    <xf numFmtId="0" fontId="13" fillId="0" borderId="21" xfId="2" applyFont="1" applyFill="1" applyBorder="1" applyAlignment="1">
      <alignment vertical="justify" wrapText="1"/>
    </xf>
    <xf numFmtId="0" fontId="14" fillId="0" borderId="0" xfId="2" applyFont="1" applyProtection="1">
      <protection locked="0"/>
    </xf>
    <xf numFmtId="0" fontId="15" fillId="0" borderId="0" xfId="2" applyFont="1" applyBorder="1" applyAlignment="1" applyProtection="1">
      <alignment vertical="center"/>
      <protection locked="0"/>
    </xf>
    <xf numFmtId="0" fontId="12" fillId="0" borderId="22" xfId="2" applyFont="1" applyBorder="1" applyProtection="1">
      <protection locked="0"/>
    </xf>
    <xf numFmtId="0" fontId="18" fillId="0" borderId="0" xfId="2" applyFont="1" applyBorder="1" applyAlignment="1" applyProtection="1">
      <alignment horizontal="center"/>
      <protection locked="0"/>
    </xf>
    <xf numFmtId="0" fontId="18" fillId="0" borderId="23" xfId="2" applyFont="1" applyBorder="1" applyAlignment="1" applyProtection="1">
      <alignment horizontal="center"/>
      <protection locked="0"/>
    </xf>
    <xf numFmtId="0" fontId="12" fillId="0" borderId="0" xfId="2" applyFont="1" applyBorder="1" applyProtection="1">
      <protection locked="0"/>
    </xf>
    <xf numFmtId="0" fontId="12" fillId="0" borderId="23" xfId="2" applyFont="1" applyBorder="1" applyProtection="1">
      <protection locked="0"/>
    </xf>
    <xf numFmtId="0" fontId="19" fillId="0" borderId="0" xfId="2" applyFont="1" applyProtection="1">
      <protection locked="0"/>
    </xf>
    <xf numFmtId="14" fontId="19" fillId="5" borderId="24" xfId="2" applyNumberFormat="1" applyFont="1" applyFill="1" applyBorder="1" applyAlignment="1" applyProtection="1">
      <protection locked="0"/>
    </xf>
    <xf numFmtId="0" fontId="19" fillId="6" borderId="0" xfId="2" applyFont="1" applyFill="1" applyBorder="1" applyAlignment="1" applyProtection="1">
      <protection locked="0"/>
    </xf>
    <xf numFmtId="14" fontId="12" fillId="5" borderId="24" xfId="2" applyNumberFormat="1" applyFont="1" applyFill="1" applyBorder="1" applyProtection="1">
      <protection locked="0"/>
    </xf>
    <xf numFmtId="14" fontId="12" fillId="7" borderId="0" xfId="2" applyNumberFormat="1" applyFont="1" applyFill="1" applyBorder="1" applyProtection="1">
      <protection locked="0"/>
    </xf>
    <xf numFmtId="14" fontId="20" fillId="5" borderId="24" xfId="2" applyNumberFormat="1" applyFont="1" applyFill="1" applyBorder="1" applyAlignment="1" applyProtection="1">
      <protection locked="0"/>
    </xf>
    <xf numFmtId="0" fontId="12" fillId="0" borderId="0" xfId="2" applyFont="1" applyAlignment="1" applyProtection="1">
      <alignment horizontal="center"/>
      <protection locked="0"/>
    </xf>
    <xf numFmtId="0" fontId="12" fillId="0" borderId="0" xfId="2" applyFont="1" applyAlignment="1" applyProtection="1">
      <alignment horizontal="left"/>
      <protection locked="0"/>
    </xf>
    <xf numFmtId="0" fontId="22" fillId="0" borderId="0" xfId="2" applyFont="1" applyBorder="1" applyAlignment="1" applyProtection="1">
      <alignment horizontal="center"/>
      <protection locked="0"/>
    </xf>
    <xf numFmtId="0" fontId="22" fillId="0" borderId="28" xfId="2" applyFont="1" applyBorder="1" applyAlignment="1" applyProtection="1">
      <alignment horizontal="center"/>
      <protection locked="0"/>
    </xf>
    <xf numFmtId="0" fontId="12" fillId="0" borderId="0" xfId="2" applyFont="1" applyAlignment="1" applyProtection="1">
      <alignment vertical="top" wrapText="1"/>
      <protection locked="0"/>
    </xf>
    <xf numFmtId="0" fontId="12" fillId="0" borderId="22" xfId="2" applyFont="1" applyBorder="1" applyAlignment="1" applyProtection="1">
      <alignment vertical="top" wrapText="1"/>
      <protection locked="0"/>
    </xf>
    <xf numFmtId="0" fontId="19" fillId="0" borderId="29" xfId="2" applyFont="1" applyBorder="1" applyAlignment="1" applyProtection="1">
      <alignment horizontal="center" vertical="top" wrapText="1"/>
      <protection locked="0"/>
    </xf>
    <xf numFmtId="0" fontId="22" fillId="0" borderId="0" xfId="2" applyFont="1" applyBorder="1" applyAlignment="1" applyProtection="1">
      <alignment horizontal="center" vertical="top" wrapText="1"/>
      <protection locked="0"/>
    </xf>
    <xf numFmtId="0" fontId="22" fillId="0" borderId="23" xfId="2" applyFont="1" applyBorder="1" applyAlignment="1" applyProtection="1">
      <alignment horizontal="center" vertical="top" wrapText="1"/>
      <protection locked="0"/>
    </xf>
    <xf numFmtId="0" fontId="22" fillId="0" borderId="28" xfId="2" applyFont="1" applyBorder="1" applyAlignment="1" applyProtection="1">
      <alignment horizontal="center" vertical="top" wrapText="1"/>
      <protection locked="0"/>
    </xf>
    <xf numFmtId="0" fontId="14" fillId="0" borderId="0" xfId="2" applyFont="1" applyAlignment="1" applyProtection="1">
      <alignment vertical="top" wrapText="1"/>
      <protection locked="0"/>
    </xf>
    <xf numFmtId="0" fontId="12" fillId="0" borderId="0" xfId="2" applyFont="1" applyBorder="1" applyAlignment="1" applyProtection="1">
      <alignment vertical="top" wrapText="1"/>
      <protection locked="0"/>
    </xf>
    <xf numFmtId="0" fontId="12" fillId="0" borderId="0" xfId="2" applyFont="1" applyAlignment="1" applyProtection="1">
      <alignment horizontal="left" vertical="top" wrapText="1"/>
      <protection locked="0"/>
    </xf>
    <xf numFmtId="0" fontId="22" fillId="0" borderId="22" xfId="2" applyFont="1" applyBorder="1" applyAlignment="1" applyProtection="1">
      <alignment horizontal="center" vertical="top" wrapText="1"/>
      <protection locked="0"/>
    </xf>
    <xf numFmtId="15" fontId="22" fillId="6" borderId="28" xfId="2" applyNumberFormat="1" applyFont="1" applyFill="1" applyBorder="1" applyAlignment="1" applyProtection="1">
      <alignment vertical="top" wrapText="1"/>
      <protection locked="0"/>
    </xf>
    <xf numFmtId="0" fontId="12" fillId="0" borderId="0" xfId="2" applyFont="1" applyBorder="1" applyAlignment="1" applyProtection="1">
      <alignment horizontal="center" vertical="top"/>
      <protection locked="0"/>
    </xf>
    <xf numFmtId="0" fontId="12" fillId="0" borderId="29" xfId="2" applyFont="1" applyBorder="1" applyProtection="1">
      <protection locked="0"/>
    </xf>
    <xf numFmtId="0" fontId="22" fillId="0" borderId="23" xfId="2" applyFont="1" applyBorder="1" applyAlignment="1" applyProtection="1">
      <alignment horizontal="center"/>
      <protection locked="0"/>
    </xf>
    <xf numFmtId="15" fontId="12" fillId="0" borderId="0" xfId="2" applyNumberFormat="1" applyFont="1" applyBorder="1" applyProtection="1">
      <protection locked="0"/>
    </xf>
    <xf numFmtId="0" fontId="12" fillId="0" borderId="0" xfId="2" applyFont="1"/>
    <xf numFmtId="0" fontId="19" fillId="0" borderId="29" xfId="2" applyFont="1" applyBorder="1" applyAlignment="1" applyProtection="1">
      <alignment horizontal="left"/>
      <protection locked="0"/>
    </xf>
    <xf numFmtId="14" fontId="19" fillId="0" borderId="0" xfId="2" applyNumberFormat="1" applyFont="1" applyBorder="1" applyAlignment="1" applyProtection="1">
      <alignment horizontal="center"/>
      <protection locked="0"/>
    </xf>
    <xf numFmtId="0" fontId="19" fillId="0" borderId="0" xfId="2" applyFont="1" applyFill="1" applyBorder="1" applyAlignment="1" applyProtection="1">
      <alignment horizontal="center"/>
      <protection locked="0"/>
    </xf>
    <xf numFmtId="0" fontId="19" fillId="0" borderId="23" xfId="2" applyFont="1" applyFill="1" applyBorder="1" applyAlignment="1" applyProtection="1">
      <alignment horizontal="center"/>
      <protection locked="0"/>
    </xf>
    <xf numFmtId="0" fontId="19" fillId="7" borderId="0" xfId="2" applyFont="1" applyFill="1" applyBorder="1" applyAlignment="1" applyProtection="1">
      <alignment horizontal="center"/>
      <protection locked="0"/>
    </xf>
    <xf numFmtId="0" fontId="19" fillId="7" borderId="23" xfId="2" applyFont="1" applyFill="1" applyBorder="1" applyAlignment="1" applyProtection="1">
      <alignment horizontal="center"/>
      <protection locked="0"/>
    </xf>
    <xf numFmtId="0" fontId="19" fillId="9" borderId="31" xfId="2" applyFont="1" applyFill="1" applyBorder="1" applyAlignment="1" applyProtection="1">
      <alignment horizontal="center" vertical="center" wrapText="1"/>
      <protection locked="0"/>
    </xf>
    <xf numFmtId="0" fontId="24" fillId="0" borderId="0" xfId="2" applyFont="1" applyAlignment="1" applyProtection="1">
      <alignment horizontal="left"/>
      <protection locked="0"/>
    </xf>
    <xf numFmtId="0" fontId="19" fillId="0" borderId="32" xfId="2" applyFont="1" applyBorder="1" applyAlignment="1" applyProtection="1">
      <alignment horizontal="center" wrapText="1"/>
      <protection locked="0"/>
    </xf>
    <xf numFmtId="0" fontId="19" fillId="0" borderId="33" xfId="2" applyFont="1" applyBorder="1" applyAlignment="1" applyProtection="1">
      <alignment horizontal="center" wrapText="1"/>
      <protection locked="0"/>
    </xf>
    <xf numFmtId="0" fontId="19" fillId="0" borderId="34" xfId="2" applyFont="1" applyBorder="1" applyAlignment="1" applyProtection="1">
      <alignment horizontal="center" wrapText="1"/>
      <protection locked="0"/>
    </xf>
    <xf numFmtId="0" fontId="19" fillId="0" borderId="0" xfId="2" applyFont="1" applyBorder="1" applyAlignment="1" applyProtection="1">
      <alignment horizontal="center" wrapText="1"/>
      <protection locked="0"/>
    </xf>
    <xf numFmtId="0" fontId="19" fillId="0" borderId="32" xfId="2" applyFont="1" applyBorder="1" applyAlignment="1" applyProtection="1">
      <alignment horizontal="left" wrapText="1"/>
      <protection locked="0"/>
    </xf>
    <xf numFmtId="0" fontId="19" fillId="0" borderId="24" xfId="2" applyFont="1" applyBorder="1" applyAlignment="1" applyProtection="1">
      <alignment horizontal="left" wrapText="1"/>
      <protection locked="0"/>
    </xf>
    <xf numFmtId="0" fontId="19" fillId="0" borderId="24" xfId="2" applyFont="1" applyFill="1" applyBorder="1" applyAlignment="1" applyProtection="1">
      <alignment horizontal="center" vertical="center" wrapText="1"/>
      <protection locked="0"/>
    </xf>
    <xf numFmtId="0" fontId="25" fillId="0" borderId="0" xfId="2" applyFont="1"/>
    <xf numFmtId="0" fontId="19" fillId="10" borderId="0" xfId="2" applyFont="1" applyFill="1" applyBorder="1" applyAlignment="1" applyProtection="1">
      <alignment horizontal="center" wrapText="1"/>
      <protection locked="0"/>
    </xf>
    <xf numFmtId="15" fontId="12" fillId="0" borderId="0" xfId="2" applyNumberFormat="1" applyFont="1" applyProtection="1">
      <protection locked="0"/>
    </xf>
    <xf numFmtId="15" fontId="19" fillId="5" borderId="24" xfId="2" applyNumberFormat="1" applyFont="1" applyFill="1" applyBorder="1" applyAlignment="1" applyProtection="1">
      <alignment horizontal="left" wrapText="1"/>
      <protection locked="0"/>
    </xf>
    <xf numFmtId="0" fontId="27" fillId="9" borderId="24" xfId="2" applyFont="1" applyFill="1" applyBorder="1"/>
    <xf numFmtId="0" fontId="19" fillId="6" borderId="27" xfId="2" applyFont="1" applyFill="1" applyBorder="1" applyProtection="1">
      <protection locked="0"/>
    </xf>
    <xf numFmtId="0" fontId="19" fillId="6" borderId="0" xfId="2" applyFont="1" applyFill="1" applyBorder="1" applyAlignment="1">
      <alignment horizontal="center" vertical="center"/>
    </xf>
    <xf numFmtId="0" fontId="19" fillId="0" borderId="25" xfId="2" applyFont="1" applyBorder="1" applyProtection="1">
      <protection locked="0"/>
    </xf>
    <xf numFmtId="0" fontId="12" fillId="0" borderId="0" xfId="2" applyFont="1" applyAlignment="1" applyProtection="1">
      <protection locked="0"/>
    </xf>
    <xf numFmtId="0" fontId="12" fillId="0" borderId="0" xfId="2" applyFont="1" applyBorder="1" applyAlignment="1" applyProtection="1">
      <protection locked="0"/>
    </xf>
    <xf numFmtId="1" fontId="19" fillId="5" borderId="24" xfId="2" applyNumberFormat="1" applyFont="1" applyFill="1" applyBorder="1" applyAlignment="1" applyProtection="1">
      <alignment horizontal="left" wrapText="1"/>
      <protection locked="0"/>
    </xf>
    <xf numFmtId="15" fontId="19" fillId="6" borderId="26" xfId="2" applyNumberFormat="1" applyFont="1" applyFill="1" applyBorder="1" applyAlignment="1" applyProtection="1">
      <alignment wrapText="1"/>
      <protection locked="0"/>
    </xf>
    <xf numFmtId="0" fontId="28" fillId="6" borderId="26" xfId="2" applyFont="1" applyFill="1" applyBorder="1" applyAlignment="1" applyProtection="1">
      <protection locked="0"/>
    </xf>
    <xf numFmtId="0" fontId="21" fillId="8" borderId="18" xfId="2" applyFont="1" applyFill="1" applyBorder="1" applyProtection="1">
      <protection locked="0"/>
    </xf>
    <xf numFmtId="0" fontId="19" fillId="0" borderId="21" xfId="2" applyFont="1" applyBorder="1" applyProtection="1">
      <protection locked="0"/>
    </xf>
    <xf numFmtId="0" fontId="12" fillId="6" borderId="0" xfId="2" applyFont="1" applyFill="1" applyBorder="1" applyAlignment="1" applyProtection="1">
      <protection locked="0"/>
    </xf>
    <xf numFmtId="0" fontId="29" fillId="6" borderId="24" xfId="2" applyFont="1" applyFill="1" applyBorder="1"/>
    <xf numFmtId="0" fontId="22" fillId="5" borderId="24" xfId="2" applyFont="1" applyFill="1" applyBorder="1" applyAlignment="1" applyProtection="1">
      <alignment horizontal="center"/>
      <protection locked="0"/>
    </xf>
    <xf numFmtId="43" fontId="12" fillId="0" borderId="0" xfId="2" applyNumberFormat="1" applyFont="1" applyProtection="1">
      <protection locked="0"/>
    </xf>
    <xf numFmtId="1" fontId="12" fillId="6" borderId="0" xfId="2" applyNumberFormat="1" applyFont="1" applyFill="1" applyBorder="1" applyAlignment="1" applyProtection="1">
      <alignment horizontal="right"/>
      <protection locked="0"/>
    </xf>
    <xf numFmtId="0" fontId="19" fillId="0" borderId="10" xfId="2" applyFont="1" applyBorder="1" applyProtection="1">
      <protection locked="0"/>
    </xf>
    <xf numFmtId="14" fontId="22" fillId="5" borderId="24" xfId="2" applyNumberFormat="1" applyFont="1" applyFill="1" applyBorder="1" applyAlignment="1" applyProtection="1">
      <alignment horizontal="center"/>
      <protection locked="0"/>
    </xf>
    <xf numFmtId="0" fontId="12" fillId="6" borderId="0" xfId="2" applyFont="1" applyFill="1" applyBorder="1" applyAlignment="1" applyProtection="1">
      <alignment horizontal="left"/>
      <protection locked="0"/>
    </xf>
    <xf numFmtId="0" fontId="12" fillId="6" borderId="0" xfId="2" applyFont="1" applyFill="1" applyBorder="1" applyAlignment="1" applyProtection="1">
      <alignment horizontal="center"/>
      <protection locked="0"/>
    </xf>
    <xf numFmtId="166" fontId="19" fillId="5" borderId="24" xfId="2" applyNumberFormat="1" applyFont="1" applyFill="1" applyBorder="1" applyAlignment="1" applyProtection="1">
      <alignment horizontal="left" wrapText="1"/>
      <protection locked="0"/>
    </xf>
    <xf numFmtId="0" fontId="12" fillId="6" borderId="0" xfId="2" applyFont="1" applyFill="1" applyBorder="1" applyProtection="1">
      <protection locked="0"/>
    </xf>
    <xf numFmtId="0" fontId="19" fillId="0" borderId="0" xfId="2" applyFont="1" applyBorder="1" applyProtection="1">
      <protection locked="0"/>
    </xf>
    <xf numFmtId="167" fontId="12" fillId="6" borderId="0" xfId="2" applyNumberFormat="1" applyFont="1" applyFill="1" applyBorder="1" applyProtection="1">
      <protection locked="0"/>
    </xf>
    <xf numFmtId="0" fontId="20" fillId="9" borderId="24" xfId="2" applyFont="1" applyFill="1" applyBorder="1" applyAlignment="1" applyProtection="1">
      <alignment vertical="justify" wrapText="1"/>
      <protection locked="0"/>
    </xf>
    <xf numFmtId="0" fontId="20" fillId="0" borderId="0" xfId="2" applyFont="1" applyBorder="1" applyAlignment="1" applyProtection="1">
      <alignment vertical="justify" wrapText="1"/>
      <protection locked="0"/>
    </xf>
    <xf numFmtId="0" fontId="20" fillId="0" borderId="23" xfId="2" applyFont="1" applyBorder="1" applyAlignment="1" applyProtection="1">
      <alignment vertical="justify" wrapText="1"/>
      <protection locked="0"/>
    </xf>
    <xf numFmtId="15" fontId="31" fillId="6" borderId="26" xfId="2" applyNumberFormat="1" applyFont="1" applyFill="1" applyBorder="1" applyAlignment="1" applyProtection="1">
      <alignment wrapText="1"/>
      <protection locked="0"/>
    </xf>
    <xf numFmtId="44" fontId="19" fillId="0" borderId="20" xfId="3" applyFont="1" applyBorder="1" applyAlignment="1" applyProtection="1">
      <protection locked="0"/>
    </xf>
    <xf numFmtId="44" fontId="19" fillId="0" borderId="0" xfId="3" applyFont="1" applyBorder="1" applyAlignment="1" applyProtection="1">
      <protection locked="0"/>
    </xf>
    <xf numFmtId="0" fontId="20" fillId="6" borderId="20" xfId="2" applyFont="1" applyFill="1" applyBorder="1" applyAlignment="1" applyProtection="1">
      <alignment vertical="justify" wrapText="1"/>
      <protection locked="0"/>
    </xf>
    <xf numFmtId="0" fontId="20" fillId="6" borderId="20" xfId="2" applyFont="1" applyFill="1" applyBorder="1" applyAlignment="1" applyProtection="1">
      <alignment horizontal="center" vertical="justify" wrapText="1"/>
      <protection locked="0"/>
    </xf>
    <xf numFmtId="0" fontId="20" fillId="6" borderId="26" xfId="2" applyFont="1" applyFill="1" applyBorder="1" applyAlignment="1" applyProtection="1">
      <alignment horizontal="center" vertical="justify" wrapText="1"/>
      <protection locked="0"/>
    </xf>
    <xf numFmtId="0" fontId="20" fillId="0" borderId="24" xfId="2" applyFont="1" applyBorder="1" applyAlignment="1" applyProtection="1">
      <alignment vertical="justify" wrapText="1"/>
      <protection locked="0"/>
    </xf>
    <xf numFmtId="0" fontId="32" fillId="8" borderId="33" xfId="2" applyFont="1" applyFill="1" applyBorder="1" applyAlignment="1">
      <alignment horizontal="center" vertical="center"/>
    </xf>
    <xf numFmtId="0" fontId="20" fillId="0" borderId="32" xfId="2" applyFont="1" applyBorder="1" applyAlignment="1" applyProtection="1">
      <alignment vertical="justify" wrapText="1"/>
      <protection locked="0"/>
    </xf>
    <xf numFmtId="0" fontId="32" fillId="8" borderId="26" xfId="2" applyFont="1" applyFill="1" applyBorder="1" applyAlignment="1" applyProtection="1">
      <alignment vertical="justify" wrapText="1"/>
      <protection locked="0"/>
    </xf>
    <xf numFmtId="15" fontId="19" fillId="5" borderId="27" xfId="2" applyNumberFormat="1" applyFont="1" applyFill="1" applyBorder="1" applyAlignment="1" applyProtection="1">
      <alignment horizontal="center" wrapText="1"/>
      <protection locked="0"/>
    </xf>
    <xf numFmtId="0" fontId="20" fillId="0" borderId="20" xfId="2" applyFont="1" applyBorder="1" applyAlignment="1" applyProtection="1">
      <alignment vertical="justify" wrapText="1"/>
      <protection locked="0"/>
    </xf>
    <xf numFmtId="0" fontId="20" fillId="0" borderId="21" xfId="2" applyFont="1" applyBorder="1" applyAlignment="1" applyProtection="1">
      <alignment vertical="justify" wrapText="1"/>
      <protection locked="0"/>
    </xf>
    <xf numFmtId="1" fontId="19" fillId="5" borderId="27" xfId="2" applyNumberFormat="1" applyFont="1" applyFill="1" applyBorder="1" applyAlignment="1" applyProtection="1">
      <alignment horizontal="center" wrapText="1"/>
      <protection locked="0"/>
    </xf>
    <xf numFmtId="1" fontId="19" fillId="5" borderId="18" xfId="2" applyNumberFormat="1" applyFont="1" applyFill="1" applyBorder="1" applyAlignment="1" applyProtection="1">
      <alignment horizontal="center" wrapText="1"/>
      <protection locked="0"/>
    </xf>
    <xf numFmtId="44" fontId="19" fillId="0" borderId="32" xfId="3" applyFont="1" applyBorder="1" applyAlignment="1" applyProtection="1">
      <protection locked="0"/>
    </xf>
    <xf numFmtId="0" fontId="20" fillId="0" borderId="0" xfId="2" applyFont="1" applyBorder="1" applyAlignment="1" applyProtection="1">
      <alignment horizontal="left" vertical="justify" wrapText="1"/>
      <protection locked="0"/>
    </xf>
    <xf numFmtId="0" fontId="19" fillId="0" borderId="0" xfId="2" applyFont="1" applyBorder="1" applyAlignment="1" applyProtection="1">
      <protection locked="0"/>
    </xf>
    <xf numFmtId="167" fontId="12" fillId="0" borderId="0" xfId="2" applyNumberFormat="1" applyFont="1" applyBorder="1" applyProtection="1">
      <protection locked="0"/>
    </xf>
    <xf numFmtId="15" fontId="19" fillId="0" borderId="0" xfId="2" applyNumberFormat="1" applyFont="1" applyBorder="1" applyAlignment="1" applyProtection="1">
      <alignment horizontal="center"/>
      <protection locked="0"/>
    </xf>
    <xf numFmtId="14" fontId="19" fillId="5" borderId="24" xfId="2" applyNumberFormat="1" applyFont="1" applyFill="1" applyBorder="1" applyProtection="1">
      <protection locked="0"/>
    </xf>
    <xf numFmtId="0" fontId="22" fillId="0" borderId="10" xfId="2" applyFont="1" applyBorder="1" applyAlignment="1" applyProtection="1">
      <alignment horizontal="center"/>
      <protection locked="0"/>
    </xf>
    <xf numFmtId="0" fontId="22" fillId="0" borderId="41" xfId="2" applyFont="1" applyBorder="1" applyAlignment="1" applyProtection="1">
      <alignment horizontal="center"/>
      <protection locked="0"/>
    </xf>
    <xf numFmtId="0" fontId="22" fillId="0" borderId="42" xfId="2" applyFont="1" applyBorder="1" applyAlignment="1" applyProtection="1">
      <alignment horizontal="center"/>
      <protection locked="0"/>
    </xf>
    <xf numFmtId="0" fontId="22" fillId="0" borderId="43" xfId="2" applyFont="1" applyBorder="1" applyAlignment="1" applyProtection="1">
      <alignment horizontal="center"/>
      <protection locked="0"/>
    </xf>
    <xf numFmtId="0" fontId="22" fillId="0" borderId="44" xfId="2" applyFont="1" applyBorder="1" applyAlignment="1" applyProtection="1">
      <alignment horizontal="center"/>
      <protection locked="0"/>
    </xf>
    <xf numFmtId="0" fontId="12" fillId="0" borderId="22" xfId="2" applyFont="1" applyBorder="1" applyAlignment="1" applyProtection="1">
      <alignment horizontal="center"/>
      <protection locked="0"/>
    </xf>
    <xf numFmtId="0" fontId="12" fillId="0" borderId="0" xfId="2" applyFont="1" applyBorder="1" applyAlignment="1" applyProtection="1">
      <alignment horizontal="center" wrapText="1"/>
      <protection locked="0"/>
    </xf>
    <xf numFmtId="0" fontId="31" fillId="12" borderId="12" xfId="2" applyFont="1" applyFill="1" applyBorder="1" applyAlignment="1" applyProtection="1">
      <alignment horizontal="center" vertical="center" wrapText="1"/>
      <protection locked="0"/>
    </xf>
    <xf numFmtId="0" fontId="31" fillId="12" borderId="16" xfId="2" applyFont="1" applyFill="1" applyBorder="1" applyAlignment="1" applyProtection="1">
      <alignment horizontal="center" vertical="center" wrapText="1"/>
      <protection locked="0"/>
    </xf>
    <xf numFmtId="0" fontId="31" fillId="12" borderId="16" xfId="4" applyFont="1" applyFill="1" applyBorder="1" applyAlignment="1" applyProtection="1">
      <alignment horizontal="center" vertical="center" wrapText="1"/>
      <protection locked="0"/>
    </xf>
    <xf numFmtId="0" fontId="19" fillId="0" borderId="48" xfId="2" applyFont="1" applyBorder="1" applyAlignment="1" applyProtection="1">
      <alignment horizontal="center" vertical="center" wrapText="1"/>
      <protection locked="0"/>
    </xf>
    <xf numFmtId="0" fontId="19" fillId="0" borderId="30" xfId="2" applyFont="1" applyBorder="1" applyAlignment="1" applyProtection="1">
      <alignment horizontal="center" wrapText="1"/>
      <protection locked="0"/>
    </xf>
    <xf numFmtId="0" fontId="20" fillId="0" borderId="48" xfId="2" applyFont="1" applyBorder="1" applyAlignment="1" applyProtection="1">
      <alignment horizontal="center" vertical="center"/>
      <protection locked="0"/>
    </xf>
    <xf numFmtId="0" fontId="20" fillId="5" borderId="24" xfId="2" applyFont="1" applyFill="1" applyBorder="1" applyAlignment="1" applyProtection="1">
      <alignment horizontal="left"/>
      <protection locked="0"/>
    </xf>
    <xf numFmtId="0" fontId="20" fillId="5" borderId="30" xfId="2" applyFont="1" applyFill="1" applyBorder="1" applyAlignment="1" applyProtection="1">
      <alignment horizontal="center"/>
      <protection locked="0"/>
    </xf>
    <xf numFmtId="43" fontId="20" fillId="0" borderId="26" xfId="5" applyNumberFormat="1" applyFont="1" applyBorder="1" applyProtection="1">
      <protection locked="0"/>
    </xf>
    <xf numFmtId="168" fontId="20" fillId="0" borderId="26" xfId="5" applyNumberFormat="1" applyFont="1" applyBorder="1" applyProtection="1">
      <protection locked="0"/>
    </xf>
    <xf numFmtId="169" fontId="20" fillId="0" borderId="26" xfId="5" applyNumberFormat="1" applyFont="1" applyBorder="1" applyProtection="1">
      <protection locked="0"/>
    </xf>
    <xf numFmtId="1" fontId="20" fillId="0" borderId="26" xfId="5" applyNumberFormat="1" applyFont="1" applyBorder="1" applyProtection="1">
      <protection locked="0"/>
    </xf>
    <xf numFmtId="0" fontId="20" fillId="0" borderId="24" xfId="2" applyFont="1" applyFill="1" applyBorder="1" applyProtection="1"/>
    <xf numFmtId="43" fontId="20" fillId="0" borderId="24" xfId="5" applyNumberFormat="1" applyFont="1" applyBorder="1" applyProtection="1">
      <protection locked="0"/>
    </xf>
    <xf numFmtId="0" fontId="20" fillId="0" borderId="0" xfId="2" applyFont="1" applyProtection="1">
      <protection locked="0"/>
    </xf>
    <xf numFmtId="0" fontId="19" fillId="0" borderId="0" xfId="2" applyFont="1"/>
    <xf numFmtId="0" fontId="20" fillId="0" borderId="37" xfId="2" applyFont="1" applyBorder="1" applyAlignment="1" applyProtection="1">
      <protection locked="0"/>
    </xf>
    <xf numFmtId="0" fontId="20" fillId="0" borderId="38" xfId="2" applyFont="1" applyBorder="1" applyAlignment="1" applyProtection="1">
      <protection locked="0"/>
    </xf>
    <xf numFmtId="0" fontId="20" fillId="0" borderId="49" xfId="2" applyFont="1" applyBorder="1" applyAlignment="1" applyProtection="1">
      <protection locked="0"/>
    </xf>
    <xf numFmtId="43" fontId="32" fillId="8" borderId="50" xfId="5" applyNumberFormat="1" applyFont="1" applyFill="1" applyBorder="1" applyProtection="1"/>
    <xf numFmtId="43" fontId="32" fillId="8" borderId="51" xfId="5" applyNumberFormat="1" applyFont="1" applyFill="1" applyBorder="1" applyProtection="1"/>
    <xf numFmtId="43" fontId="32" fillId="8" borderId="52" xfId="5" applyNumberFormat="1" applyFont="1" applyFill="1" applyBorder="1" applyProtection="1"/>
    <xf numFmtId="0" fontId="14" fillId="0" borderId="0" xfId="2" applyFont="1" applyAlignment="1" applyProtection="1">
      <protection locked="0"/>
    </xf>
    <xf numFmtId="0" fontId="12" fillId="0" borderId="25" xfId="2" applyFont="1" applyBorder="1" applyProtection="1">
      <protection locked="0"/>
    </xf>
    <xf numFmtId="0" fontId="19" fillId="13" borderId="24" xfId="2" applyFont="1" applyFill="1" applyBorder="1" applyAlignment="1" applyProtection="1">
      <protection locked="0"/>
    </xf>
    <xf numFmtId="0" fontId="19" fillId="13" borderId="24" xfId="2" applyFont="1" applyFill="1" applyBorder="1" applyAlignment="1" applyProtection="1">
      <alignment horizontal="center"/>
      <protection locked="0"/>
    </xf>
    <xf numFmtId="0" fontId="19" fillId="7" borderId="0" xfId="2" applyFont="1" applyFill="1" applyBorder="1" applyAlignment="1" applyProtection="1">
      <protection locked="0"/>
    </xf>
    <xf numFmtId="49" fontId="12" fillId="0" borderId="0" xfId="2" applyNumberFormat="1" applyFont="1" applyBorder="1" applyProtection="1">
      <protection locked="0"/>
    </xf>
    <xf numFmtId="43" fontId="19" fillId="11" borderId="24" xfId="2" applyNumberFormat="1" applyFont="1" applyFill="1" applyBorder="1" applyAlignment="1" applyProtection="1">
      <protection locked="0"/>
    </xf>
    <xf numFmtId="2" fontId="19" fillId="14" borderId="24" xfId="2" applyNumberFormat="1" applyFont="1" applyFill="1" applyBorder="1" applyAlignment="1" applyProtection="1">
      <protection locked="0"/>
    </xf>
    <xf numFmtId="43" fontId="19" fillId="14" borderId="24" xfId="2" applyNumberFormat="1" applyFont="1" applyFill="1" applyBorder="1" applyAlignment="1" applyProtection="1">
      <protection locked="0"/>
    </xf>
    <xf numFmtId="10" fontId="19" fillId="0" borderId="24" xfId="2" applyNumberFormat="1" applyFont="1" applyBorder="1" applyAlignment="1" applyProtection="1">
      <protection locked="0"/>
    </xf>
    <xf numFmtId="0" fontId="19" fillId="11" borderId="24" xfId="2" applyFont="1" applyFill="1" applyBorder="1" applyAlignment="1" applyProtection="1">
      <protection locked="0"/>
    </xf>
    <xf numFmtId="43" fontId="19" fillId="7" borderId="0" xfId="2" applyNumberFormat="1" applyFont="1" applyFill="1" applyBorder="1" applyAlignment="1" applyProtection="1">
      <protection locked="0"/>
    </xf>
    <xf numFmtId="43" fontId="20" fillId="11" borderId="24" xfId="2" applyNumberFormat="1" applyFont="1" applyFill="1" applyBorder="1" applyAlignment="1" applyProtection="1"/>
    <xf numFmtId="2" fontId="19" fillId="7" borderId="24" xfId="2" applyNumberFormat="1" applyFont="1" applyFill="1" applyBorder="1" applyAlignment="1" applyProtection="1">
      <protection hidden="1"/>
    </xf>
    <xf numFmtId="0" fontId="19" fillId="7" borderId="24" xfId="2" applyFont="1" applyFill="1" applyBorder="1" applyAlignment="1" applyProtection="1"/>
    <xf numFmtId="43" fontId="20" fillId="11" borderId="24" xfId="2" applyNumberFormat="1" applyFont="1" applyFill="1" applyBorder="1" applyAlignment="1"/>
    <xf numFmtId="4" fontId="19" fillId="14" borderId="24" xfId="2" applyNumberFormat="1" applyFont="1" applyFill="1" applyBorder="1" applyAlignment="1" applyProtection="1">
      <protection locked="0"/>
    </xf>
    <xf numFmtId="43" fontId="19" fillId="11" borderId="24" xfId="2" applyNumberFormat="1" applyFont="1" applyFill="1" applyBorder="1" applyAlignment="1" applyProtection="1">
      <protection locked="0"/>
    </xf>
    <xf numFmtId="43" fontId="20" fillId="11" borderId="24" xfId="2" applyNumberFormat="1" applyFont="1" applyFill="1" applyBorder="1" applyAlignment="1" applyProtection="1">
      <protection locked="0"/>
    </xf>
    <xf numFmtId="2" fontId="19" fillId="7" borderId="24" xfId="2" applyNumberFormat="1" applyFont="1" applyFill="1" applyBorder="1" applyAlignment="1" applyProtection="1"/>
    <xf numFmtId="0" fontId="14" fillId="0" borderId="0" xfId="2" applyFont="1" applyBorder="1" applyProtection="1">
      <protection locked="0"/>
    </xf>
    <xf numFmtId="0" fontId="21" fillId="7" borderId="24" xfId="2" applyFont="1" applyFill="1" applyBorder="1" applyAlignment="1" applyProtection="1">
      <alignment horizontal="left"/>
      <protection locked="0"/>
    </xf>
    <xf numFmtId="43" fontId="19" fillId="7" borderId="24" xfId="2" applyNumberFormat="1" applyFont="1" applyFill="1" applyBorder="1" applyAlignment="1" applyProtection="1">
      <protection locked="0"/>
    </xf>
    <xf numFmtId="2" fontId="19" fillId="15" borderId="24" xfId="2" applyNumberFormat="1" applyFont="1" applyFill="1" applyBorder="1" applyAlignment="1" applyProtection="1">
      <alignment horizontal="center"/>
      <protection locked="0"/>
    </xf>
    <xf numFmtId="0" fontId="19" fillId="15" borderId="24" xfId="2" applyFont="1" applyFill="1" applyBorder="1" applyAlignment="1" applyProtection="1">
      <alignment horizontal="center"/>
      <protection locked="0"/>
    </xf>
    <xf numFmtId="10" fontId="19" fillId="7" borderId="24" xfId="2" applyNumberFormat="1" applyFont="1" applyFill="1" applyBorder="1" applyAlignment="1" applyProtection="1">
      <protection locked="0"/>
    </xf>
    <xf numFmtId="0" fontId="19" fillId="7" borderId="24" xfId="2" applyFont="1" applyFill="1" applyBorder="1" applyAlignment="1" applyProtection="1">
      <protection locked="0"/>
    </xf>
    <xf numFmtId="0" fontId="12" fillId="0" borderId="24" xfId="2" applyFont="1" applyBorder="1" applyAlignment="1" applyProtection="1">
      <alignment horizontal="center"/>
      <protection locked="0"/>
    </xf>
    <xf numFmtId="0" fontId="12" fillId="0" borderId="22" xfId="2" applyFont="1" applyBorder="1" applyAlignment="1" applyProtection="1">
      <alignment vertical="top"/>
      <protection locked="0"/>
    </xf>
    <xf numFmtId="0" fontId="19" fillId="14" borderId="24" xfId="2" applyNumberFormat="1" applyFont="1" applyFill="1" applyBorder="1" applyAlignment="1" applyProtection="1">
      <protection locked="0"/>
    </xf>
    <xf numFmtId="0" fontId="19" fillId="14" borderId="24" xfId="2" applyFont="1" applyFill="1" applyBorder="1" applyAlignment="1" applyProtection="1">
      <protection locked="0"/>
    </xf>
    <xf numFmtId="43" fontId="21" fillId="16" borderId="24" xfId="2" applyNumberFormat="1" applyFont="1" applyFill="1" applyBorder="1" applyAlignment="1" applyProtection="1">
      <protection locked="0"/>
    </xf>
    <xf numFmtId="43" fontId="21" fillId="7" borderId="0" xfId="2" applyNumberFormat="1" applyFont="1" applyFill="1" applyBorder="1" applyAlignment="1" applyProtection="1">
      <protection locked="0"/>
    </xf>
    <xf numFmtId="43" fontId="35" fillId="6" borderId="24" xfId="2" applyNumberFormat="1" applyFont="1" applyFill="1" applyBorder="1" applyAlignment="1" applyProtection="1">
      <protection locked="0"/>
    </xf>
    <xf numFmtId="0" fontId="14" fillId="0" borderId="0" xfId="2" applyFont="1" applyBorder="1" applyAlignment="1" applyProtection="1">
      <alignment vertical="top"/>
      <protection locked="0"/>
    </xf>
    <xf numFmtId="0" fontId="12" fillId="0" borderId="0" xfId="2" applyFont="1" applyAlignment="1" applyProtection="1">
      <alignment vertical="top"/>
      <protection locked="0"/>
    </xf>
    <xf numFmtId="0" fontId="12" fillId="0" borderId="22" xfId="2" applyFont="1" applyBorder="1" applyAlignment="1" applyProtection="1">
      <protection locked="0"/>
    </xf>
    <xf numFmtId="0" fontId="12" fillId="0" borderId="23" xfId="2" applyFont="1" applyBorder="1" applyAlignment="1" applyProtection="1">
      <protection locked="0"/>
    </xf>
    <xf numFmtId="0" fontId="19" fillId="12" borderId="24" xfId="2" applyFont="1" applyFill="1" applyBorder="1" applyAlignment="1" applyProtection="1">
      <protection locked="0"/>
    </xf>
    <xf numFmtId="43" fontId="19" fillId="0" borderId="24" xfId="2" applyNumberFormat="1" applyFont="1" applyBorder="1" applyAlignment="1" applyProtection="1">
      <protection locked="0"/>
    </xf>
    <xf numFmtId="0" fontId="19" fillId="0" borderId="20" xfId="2" applyFont="1" applyBorder="1" applyAlignment="1" applyProtection="1">
      <protection locked="0"/>
    </xf>
    <xf numFmtId="0" fontId="21" fillId="16" borderId="24" xfId="2" applyFont="1" applyFill="1" applyBorder="1" applyAlignment="1" applyProtection="1">
      <protection locked="0"/>
    </xf>
    <xf numFmtId="43" fontId="31" fillId="6" borderId="24" xfId="2" applyNumberFormat="1" applyFont="1" applyFill="1" applyBorder="1" applyAlignment="1" applyProtection="1">
      <protection locked="0"/>
    </xf>
    <xf numFmtId="9" fontId="12" fillId="0" borderId="0" xfId="2" applyNumberFormat="1" applyFont="1" applyBorder="1" applyProtection="1">
      <protection locked="0"/>
    </xf>
    <xf numFmtId="0" fontId="19" fillId="12" borderId="24" xfId="2" applyFont="1" applyFill="1" applyBorder="1" applyAlignment="1" applyProtection="1">
      <alignment horizontal="center"/>
      <protection locked="0"/>
    </xf>
    <xf numFmtId="43" fontId="19" fillId="12" borderId="24" xfId="2" applyNumberFormat="1" applyFont="1" applyFill="1" applyBorder="1" applyAlignment="1" applyProtection="1">
      <protection locked="0"/>
    </xf>
    <xf numFmtId="43" fontId="19" fillId="12" borderId="24" xfId="2" applyNumberFormat="1" applyFont="1" applyFill="1" applyBorder="1" applyProtection="1">
      <protection locked="0"/>
    </xf>
    <xf numFmtId="0" fontId="20" fillId="0" borderId="0" xfId="2" applyFont="1" applyBorder="1" applyProtection="1">
      <protection locked="0"/>
    </xf>
    <xf numFmtId="0" fontId="34" fillId="0" borderId="0" xfId="2" applyFont="1" applyBorder="1" applyProtection="1">
      <protection locked="0"/>
    </xf>
    <xf numFmtId="0" fontId="37" fillId="0" borderId="0" xfId="2" applyFont="1" applyBorder="1" applyAlignment="1" applyProtection="1">
      <alignment vertical="center"/>
      <protection locked="0"/>
    </xf>
    <xf numFmtId="0" fontId="22" fillId="7" borderId="0" xfId="2" applyFont="1" applyFill="1" applyBorder="1" applyAlignment="1" applyProtection="1">
      <alignment horizontal="center"/>
      <protection locked="0"/>
    </xf>
    <xf numFmtId="43" fontId="19" fillId="12" borderId="24" xfId="2" applyNumberFormat="1" applyFont="1" applyFill="1" applyBorder="1" applyProtection="1">
      <protection locked="0"/>
    </xf>
    <xf numFmtId="0" fontId="19" fillId="12" borderId="24" xfId="2" applyFont="1" applyFill="1" applyBorder="1" applyProtection="1">
      <protection locked="0"/>
    </xf>
    <xf numFmtId="0" fontId="20" fillId="12" borderId="24" xfId="2" applyFont="1" applyFill="1" applyBorder="1" applyProtection="1">
      <protection locked="0"/>
    </xf>
    <xf numFmtId="0" fontId="20" fillId="0" borderId="0" xfId="2" applyFont="1" applyBorder="1" applyAlignment="1" applyProtection="1">
      <alignment horizontal="left"/>
      <protection locked="0"/>
    </xf>
    <xf numFmtId="0" fontId="20" fillId="0" borderId="0" xfId="2" applyFont="1" applyFill="1" applyBorder="1" applyAlignment="1" applyProtection="1">
      <protection locked="0"/>
    </xf>
    <xf numFmtId="0" fontId="20" fillId="0" borderId="32" xfId="2" applyFont="1" applyBorder="1" applyProtection="1">
      <protection locked="0"/>
    </xf>
    <xf numFmtId="15" fontId="20" fillId="0" borderId="0" xfId="2" applyNumberFormat="1" applyFont="1" applyBorder="1" applyProtection="1">
      <protection locked="0"/>
    </xf>
    <xf numFmtId="14" fontId="20" fillId="0" borderId="0" xfId="2" applyNumberFormat="1" applyFont="1" applyBorder="1" applyProtection="1">
      <protection locked="0"/>
    </xf>
    <xf numFmtId="0" fontId="12" fillId="0" borderId="34" xfId="2" applyFont="1" applyBorder="1" applyProtection="1">
      <protection locked="0"/>
    </xf>
    <xf numFmtId="0" fontId="12" fillId="0" borderId="32" xfId="2" applyFont="1" applyBorder="1" applyProtection="1">
      <protection locked="0"/>
    </xf>
    <xf numFmtId="0" fontId="12" fillId="0" borderId="35" xfId="2" applyFont="1" applyBorder="1" applyProtection="1">
      <protection locked="0"/>
    </xf>
    <xf numFmtId="0" fontId="13" fillId="0" borderId="48" xfId="2" applyFont="1" applyBorder="1" applyAlignment="1" applyProtection="1">
      <alignment horizontal="center" vertical="center" wrapText="1"/>
      <protection locked="0"/>
    </xf>
    <xf numFmtId="0" fontId="13" fillId="0" borderId="24" xfId="2" applyFont="1" applyBorder="1" applyAlignment="1" applyProtection="1">
      <alignment horizontal="center" vertical="center" wrapText="1"/>
      <protection locked="0"/>
    </xf>
    <xf numFmtId="0" fontId="13" fillId="0" borderId="24" xfId="2" applyFont="1" applyBorder="1" applyAlignment="1" applyProtection="1">
      <alignment horizontal="center" wrapText="1"/>
      <protection locked="0"/>
    </xf>
    <xf numFmtId="0" fontId="13" fillId="0" borderId="26" xfId="2" applyFont="1" applyBorder="1" applyAlignment="1" applyProtection="1">
      <alignment horizontal="center" wrapText="1"/>
      <protection locked="0"/>
    </xf>
    <xf numFmtId="0" fontId="13" fillId="0" borderId="24" xfId="2" applyFont="1" applyBorder="1" applyAlignment="1" applyProtection="1">
      <alignment horizontal="left" wrapText="1"/>
      <protection locked="0"/>
    </xf>
    <xf numFmtId="0" fontId="11" fillId="0" borderId="0" xfId="2" applyProtection="1">
      <protection locked="0"/>
    </xf>
    <xf numFmtId="0" fontId="19" fillId="6" borderId="0" xfId="2" applyFont="1" applyFill="1" applyBorder="1" applyAlignment="1"/>
    <xf numFmtId="0" fontId="11" fillId="0" borderId="0" xfId="2" applyBorder="1"/>
    <xf numFmtId="0" fontId="25" fillId="6" borderId="0" xfId="2" applyFont="1" applyFill="1" applyBorder="1" applyAlignment="1"/>
    <xf numFmtId="0" fontId="25" fillId="6" borderId="0" xfId="2" applyFont="1" applyFill="1" applyBorder="1" applyAlignment="1">
      <alignment horizontal="center"/>
    </xf>
    <xf numFmtId="0" fontId="11" fillId="0" borderId="0" xfId="2"/>
    <xf numFmtId="0" fontId="13" fillId="6" borderId="0" xfId="2" applyFont="1" applyFill="1" applyBorder="1" applyAlignment="1"/>
    <xf numFmtId="0" fontId="25" fillId="6" borderId="32" xfId="2" applyFont="1" applyFill="1" applyBorder="1" applyAlignment="1"/>
    <xf numFmtId="0" fontId="11" fillId="6" borderId="32" xfId="2" applyFill="1" applyBorder="1" applyAlignment="1"/>
    <xf numFmtId="0" fontId="11" fillId="0" borderId="32" xfId="2" applyBorder="1"/>
    <xf numFmtId="0" fontId="19" fillId="6" borderId="32" xfId="2" applyFont="1" applyFill="1" applyBorder="1" applyAlignment="1">
      <alignment horizontal="center"/>
    </xf>
    <xf numFmtId="0" fontId="11" fillId="6" borderId="0" xfId="2" applyFill="1" applyBorder="1" applyAlignment="1"/>
    <xf numFmtId="0" fontId="19" fillId="6" borderId="0" xfId="2" applyFont="1" applyFill="1" applyBorder="1" applyAlignment="1">
      <alignment horizontal="center"/>
    </xf>
    <xf numFmtId="0" fontId="13" fillId="6" borderId="33" xfId="2" applyFont="1" applyFill="1" applyBorder="1"/>
    <xf numFmtId="0" fontId="13" fillId="6" borderId="27" xfId="2" applyFont="1" applyFill="1" applyBorder="1" applyAlignment="1"/>
    <xf numFmtId="0" fontId="25" fillId="6" borderId="24" xfId="2" applyFont="1" applyFill="1" applyBorder="1" applyAlignment="1"/>
    <xf numFmtId="0" fontId="13" fillId="6" borderId="24" xfId="2" applyFont="1" applyFill="1" applyBorder="1" applyAlignment="1">
      <alignment horizontal="right"/>
    </xf>
    <xf numFmtId="14" fontId="11" fillId="6" borderId="26" xfId="2" applyNumberFormat="1" applyFill="1" applyBorder="1" applyAlignment="1">
      <alignment horizontal="left"/>
    </xf>
    <xf numFmtId="0" fontId="13" fillId="6" borderId="24" xfId="2" applyFont="1" applyFill="1" applyBorder="1"/>
    <xf numFmtId="0" fontId="13" fillId="6" borderId="24" xfId="2" applyNumberFormat="1" applyFont="1" applyFill="1" applyBorder="1" applyAlignment="1">
      <alignment horizontal="right"/>
    </xf>
    <xf numFmtId="14" fontId="11" fillId="0" borderId="0" xfId="2" quotePrefix="1" applyNumberFormat="1"/>
    <xf numFmtId="0" fontId="11" fillId="6" borderId="24" xfId="2" applyNumberFormat="1" applyFill="1" applyBorder="1" applyAlignment="1">
      <alignment horizontal="center"/>
    </xf>
    <xf numFmtId="14" fontId="11" fillId="0" borderId="0" xfId="2" quotePrefix="1" applyNumberFormat="1" applyAlignment="1">
      <alignment horizontal="center"/>
    </xf>
    <xf numFmtId="0" fontId="13" fillId="6" borderId="30" xfId="2" applyFont="1" applyFill="1" applyBorder="1" applyAlignment="1"/>
    <xf numFmtId="15" fontId="11" fillId="6" borderId="30" xfId="2" applyNumberFormat="1" applyFill="1" applyBorder="1" applyAlignment="1"/>
    <xf numFmtId="0" fontId="11" fillId="6" borderId="32" xfId="2" applyFill="1" applyBorder="1" applyAlignment="1">
      <alignment horizontal="center"/>
    </xf>
    <xf numFmtId="0" fontId="13" fillId="6" borderId="24" xfId="2" applyFont="1" applyFill="1" applyBorder="1" applyAlignment="1">
      <alignment horizontal="center"/>
    </xf>
    <xf numFmtId="0" fontId="25" fillId="6" borderId="27" xfId="2" applyFont="1" applyFill="1" applyBorder="1" applyAlignment="1"/>
    <xf numFmtId="0" fontId="11" fillId="0" borderId="26" xfId="2" applyBorder="1" applyAlignment="1">
      <alignment horizontal="center"/>
    </xf>
    <xf numFmtId="1" fontId="11" fillId="0" borderId="24" xfId="2" quotePrefix="1" applyNumberFormat="1" applyBorder="1" applyAlignment="1">
      <alignment horizontal="center"/>
    </xf>
    <xf numFmtId="15" fontId="11" fillId="0" borderId="24" xfId="2" quotePrefix="1" applyNumberFormat="1" applyBorder="1" applyAlignment="1">
      <alignment horizontal="center"/>
    </xf>
    <xf numFmtId="14" fontId="11" fillId="0" borderId="24" xfId="2" quotePrefix="1" applyNumberFormat="1" applyBorder="1" applyAlignment="1">
      <alignment horizontal="center"/>
    </xf>
    <xf numFmtId="15" fontId="11" fillId="0" borderId="26" xfId="2" applyNumberFormat="1" applyBorder="1" applyAlignment="1">
      <alignment horizontal="center"/>
    </xf>
    <xf numFmtId="0" fontId="11" fillId="0" borderId="30" xfId="2" applyBorder="1"/>
    <xf numFmtId="0" fontId="42" fillId="6" borderId="30" xfId="2" applyFont="1" applyFill="1" applyBorder="1" applyAlignment="1"/>
    <xf numFmtId="0" fontId="42" fillId="6" borderId="26" xfId="2" applyFont="1" applyFill="1" applyBorder="1" applyAlignment="1"/>
    <xf numFmtId="0" fontId="13" fillId="6" borderId="0" xfId="2" applyFont="1" applyFill="1" applyBorder="1" applyAlignment="1">
      <alignment horizontal="center"/>
    </xf>
    <xf numFmtId="0" fontId="25" fillId="0" borderId="27" xfId="2" applyFont="1" applyBorder="1" applyAlignment="1"/>
    <xf numFmtId="0" fontId="25" fillId="0" borderId="26" xfId="2" applyFont="1" applyBorder="1" applyAlignment="1"/>
    <xf numFmtId="0" fontId="13" fillId="6" borderId="26" xfId="2" applyFont="1" applyFill="1" applyBorder="1" applyAlignment="1"/>
    <xf numFmtId="0" fontId="11" fillId="6" borderId="24" xfId="2" applyFill="1" applyBorder="1" applyAlignment="1">
      <alignment vertical="top" wrapText="1"/>
    </xf>
    <xf numFmtId="14" fontId="11" fillId="6" borderId="31" xfId="2" applyNumberFormat="1" applyFill="1" applyBorder="1" applyAlignment="1">
      <alignment horizontal="left" vertical="top" wrapText="1"/>
    </xf>
    <xf numFmtId="0" fontId="11" fillId="6" borderId="24" xfId="2" applyFill="1" applyBorder="1" applyAlignment="1">
      <alignment horizontal="justify" vertical="top" wrapText="1"/>
    </xf>
    <xf numFmtId="0" fontId="11" fillId="6" borderId="26" xfId="2" applyFill="1" applyBorder="1" applyAlignment="1">
      <alignment horizontal="justify" vertical="top" wrapText="1"/>
    </xf>
    <xf numFmtId="0" fontId="11" fillId="0" borderId="24" xfId="2" applyBorder="1" applyAlignment="1">
      <alignment horizontal="center"/>
    </xf>
    <xf numFmtId="0" fontId="11" fillId="6" borderId="0" xfId="2" applyFill="1" applyBorder="1" applyAlignment="1">
      <alignment horizontal="left" vertical="top" wrapText="1"/>
    </xf>
    <xf numFmtId="0" fontId="11" fillId="6" borderId="0" xfId="2" applyFill="1" applyBorder="1" applyAlignment="1">
      <alignment horizontal="center"/>
    </xf>
    <xf numFmtId="0" fontId="11" fillId="0" borderId="23" xfId="2" applyBorder="1" applyAlignment="1">
      <alignment horizontal="center"/>
    </xf>
    <xf numFmtId="0" fontId="11" fillId="6" borderId="32" xfId="2" applyFill="1" applyBorder="1" applyAlignment="1">
      <alignment horizontal="left" vertical="top" wrapText="1"/>
    </xf>
    <xf numFmtId="0" fontId="11" fillId="0" borderId="32" xfId="2" applyBorder="1" applyAlignment="1">
      <alignment horizontal="center"/>
    </xf>
    <xf numFmtId="0" fontId="13" fillId="6" borderId="32" xfId="2" applyFont="1" applyFill="1" applyBorder="1" applyAlignment="1">
      <alignment wrapText="1"/>
    </xf>
    <xf numFmtId="0" fontId="25" fillId="6" borderId="24" xfId="2" applyFont="1" applyFill="1" applyBorder="1" applyAlignment="1">
      <alignment horizontal="center" wrapText="1"/>
    </xf>
    <xf numFmtId="0" fontId="25" fillId="6" borderId="32" xfId="2" applyFont="1" applyFill="1" applyBorder="1" applyAlignment="1">
      <alignment wrapText="1"/>
    </xf>
    <xf numFmtId="0" fontId="11" fillId="0" borderId="0" xfId="2" applyBorder="1" applyAlignment="1">
      <alignment horizontal="left"/>
    </xf>
    <xf numFmtId="0" fontId="13" fillId="0" borderId="0" xfId="2" applyFont="1"/>
    <xf numFmtId="0" fontId="25" fillId="0" borderId="0" xfId="2" applyFont="1" applyBorder="1"/>
    <xf numFmtId="14" fontId="11" fillId="6" borderId="27" xfId="2" applyNumberFormat="1" applyFill="1" applyBorder="1" applyAlignment="1"/>
    <xf numFmtId="14" fontId="11" fillId="6" borderId="24" xfId="2" applyNumberFormat="1" applyFill="1" applyBorder="1" applyAlignment="1">
      <alignment horizontal="left"/>
    </xf>
    <xf numFmtId="0" fontId="44" fillId="0" borderId="0" xfId="2" applyFont="1"/>
    <xf numFmtId="0" fontId="45" fillId="0" borderId="0" xfId="2" applyFont="1" applyAlignment="1">
      <alignment horizontal="left"/>
    </xf>
    <xf numFmtId="0" fontId="46" fillId="0" borderId="0" xfId="2" applyFont="1" applyAlignment="1">
      <alignment horizontal="left"/>
    </xf>
    <xf numFmtId="0" fontId="45" fillId="0" borderId="24" xfId="2" applyFont="1" applyBorder="1"/>
    <xf numFmtId="0" fontId="44" fillId="0" borderId="24" xfId="2" applyFont="1" applyBorder="1"/>
    <xf numFmtId="0" fontId="44" fillId="0" borderId="0" xfId="2" applyFont="1" applyBorder="1"/>
    <xf numFmtId="0" fontId="45" fillId="0" borderId="0" xfId="2" applyFont="1" applyBorder="1" applyAlignment="1">
      <alignment horizontal="left"/>
    </xf>
    <xf numFmtId="0" fontId="46" fillId="0" borderId="0" xfId="2" applyFont="1" applyBorder="1" applyAlignment="1">
      <alignment horizontal="left"/>
    </xf>
    <xf numFmtId="0" fontId="46" fillId="0" borderId="0" xfId="2" applyFont="1"/>
    <xf numFmtId="0" fontId="45" fillId="0" borderId="0" xfId="2" applyFont="1"/>
    <xf numFmtId="0" fontId="47" fillId="0" borderId="0" xfId="2" applyFont="1"/>
    <xf numFmtId="0" fontId="48" fillId="0" borderId="0" xfId="2" applyFont="1"/>
    <xf numFmtId="0" fontId="45" fillId="0" borderId="0" xfId="2" applyFont="1" applyBorder="1"/>
    <xf numFmtId="0" fontId="44" fillId="0" borderId="0" xfId="2" applyFont="1" applyBorder="1" applyAlignment="1">
      <alignment horizontal="left"/>
    </xf>
    <xf numFmtId="43" fontId="44" fillId="0" borderId="0" xfId="6" applyNumberFormat="1" applyFont="1" applyBorder="1" applyAlignment="1">
      <alignment horizontal="right"/>
    </xf>
    <xf numFmtId="43" fontId="46" fillId="0" borderId="0" xfId="6" applyNumberFormat="1" applyFont="1" applyAlignment="1"/>
    <xf numFmtId="43" fontId="46" fillId="0" borderId="0" xfId="6" applyNumberFormat="1" applyFont="1" applyAlignment="1">
      <alignment horizontal="center"/>
    </xf>
    <xf numFmtId="43" fontId="46" fillId="0" borderId="0" xfId="6" applyNumberFormat="1" applyFont="1" applyBorder="1" applyAlignment="1">
      <alignment horizontal="center"/>
    </xf>
    <xf numFmtId="43" fontId="45" fillId="0" borderId="0" xfId="6" applyNumberFormat="1" applyFont="1" applyBorder="1" applyAlignment="1">
      <alignment horizontal="center"/>
    </xf>
    <xf numFmtId="43" fontId="45" fillId="0" borderId="20" xfId="6" applyNumberFormat="1" applyFont="1" applyBorder="1" applyAlignment="1">
      <alignment horizontal="center"/>
    </xf>
    <xf numFmtId="0" fontId="46" fillId="0" borderId="0" xfId="2" applyFont="1" applyAlignment="1">
      <alignment horizontal="right"/>
    </xf>
    <xf numFmtId="43" fontId="45" fillId="0" borderId="53" xfId="6" applyNumberFormat="1" applyFont="1" applyBorder="1" applyAlignment="1">
      <alignment horizontal="center"/>
    </xf>
    <xf numFmtId="0" fontId="46" fillId="0" borderId="0" xfId="2" applyFont="1" applyAlignment="1">
      <alignment horizontal="center"/>
    </xf>
    <xf numFmtId="0" fontId="49" fillId="0" borderId="0" xfId="2" applyFont="1" applyAlignment="1">
      <alignment horizontal="left"/>
    </xf>
    <xf numFmtId="168" fontId="12" fillId="0" borderId="0" xfId="2" applyNumberFormat="1" applyFont="1" applyProtection="1">
      <protection locked="0"/>
    </xf>
    <xf numFmtId="0" fontId="12" fillId="0" borderId="0" xfId="2" applyFont="1" applyAlignment="1" applyProtection="1">
      <alignment horizontal="center" vertical="center"/>
      <protection locked="0"/>
    </xf>
    <xf numFmtId="0" fontId="11" fillId="0" borderId="0" xfId="2" applyAlignment="1">
      <alignment horizontal="center"/>
    </xf>
    <xf numFmtId="16" fontId="11" fillId="0" borderId="0" xfId="2" quotePrefix="1" applyNumberFormat="1"/>
    <xf numFmtId="0" fontId="0" fillId="0" borderId="9" xfId="0" applyBorder="1"/>
    <xf numFmtId="170" fontId="19" fillId="5" borderId="24" xfId="2" applyNumberFormat="1" applyFont="1" applyFill="1" applyBorder="1" applyAlignment="1" applyProtection="1">
      <alignment horizontal="left" wrapText="1"/>
      <protection locked="0"/>
    </xf>
    <xf numFmtId="0" fontId="19" fillId="0" borderId="0" xfId="2" applyNumberFormat="1" applyFont="1" applyBorder="1" applyAlignment="1" applyProtection="1">
      <alignment horizontal="left"/>
      <protection locked="0"/>
    </xf>
    <xf numFmtId="0" fontId="0" fillId="0" borderId="0" xfId="0" applyFill="1" applyBorder="1" applyAlignment="1">
      <alignment horizontal="left" vertical="top"/>
    </xf>
    <xf numFmtId="0" fontId="55" fillId="17" borderId="78" xfId="0" applyFont="1" applyFill="1" applyBorder="1" applyAlignment="1">
      <alignment horizontal="center" vertical="top" wrapText="1"/>
    </xf>
    <xf numFmtId="0" fontId="0" fillId="18" borderId="72" xfId="0" applyFill="1" applyBorder="1" applyAlignment="1">
      <alignment horizontal="left" vertical="center" wrapText="1"/>
    </xf>
    <xf numFmtId="1" fontId="59" fillId="19" borderId="73" xfId="0" applyNumberFormat="1" applyFont="1" applyFill="1" applyBorder="1" applyAlignment="1">
      <alignment horizontal="center" vertical="top" shrinkToFit="1"/>
    </xf>
    <xf numFmtId="0" fontId="54" fillId="19" borderId="73" xfId="0" applyFont="1" applyFill="1" applyBorder="1" applyAlignment="1">
      <alignment horizontal="left" vertical="top" wrapText="1" indent="1"/>
    </xf>
    <xf numFmtId="4" fontId="59" fillId="19" borderId="73" xfId="0" applyNumberFormat="1" applyFont="1" applyFill="1" applyBorder="1" applyAlignment="1">
      <alignment horizontal="center" vertical="top" shrinkToFit="1"/>
    </xf>
    <xf numFmtId="2" fontId="59" fillId="19" borderId="73" xfId="0" applyNumberFormat="1" applyFont="1" applyFill="1" applyBorder="1" applyAlignment="1">
      <alignment horizontal="center" vertical="top" shrinkToFit="1"/>
    </xf>
    <xf numFmtId="1" fontId="59" fillId="19" borderId="77" xfId="0" applyNumberFormat="1" applyFont="1" applyFill="1" applyBorder="1" applyAlignment="1">
      <alignment horizontal="center" vertical="top" shrinkToFit="1"/>
    </xf>
    <xf numFmtId="0" fontId="54" fillId="19" borderId="77" xfId="0" applyFont="1" applyFill="1" applyBorder="1" applyAlignment="1">
      <alignment horizontal="left" vertical="top" wrapText="1" indent="1"/>
    </xf>
    <xf numFmtId="4" fontId="59" fillId="19" borderId="77" xfId="0" applyNumberFormat="1" applyFont="1" applyFill="1" applyBorder="1" applyAlignment="1">
      <alignment horizontal="center" vertical="top" shrinkToFit="1"/>
    </xf>
    <xf numFmtId="1" fontId="59" fillId="19" borderId="72" xfId="0" applyNumberFormat="1" applyFont="1" applyFill="1" applyBorder="1" applyAlignment="1">
      <alignment horizontal="center" shrinkToFit="1"/>
    </xf>
    <xf numFmtId="0" fontId="54" fillId="19" borderId="72" xfId="0" applyFont="1" applyFill="1" applyBorder="1" applyAlignment="1">
      <alignment horizontal="center" wrapText="1"/>
    </xf>
    <xf numFmtId="4" fontId="59" fillId="19" borderId="72" xfId="0" applyNumberFormat="1" applyFont="1" applyFill="1" applyBorder="1" applyAlignment="1">
      <alignment horizontal="center" shrinkToFit="1"/>
    </xf>
    <xf numFmtId="1" fontId="59" fillId="19" borderId="72" xfId="0" applyNumberFormat="1" applyFont="1" applyFill="1" applyBorder="1" applyAlignment="1">
      <alignment horizontal="left" indent="1" shrinkToFit="1"/>
    </xf>
    <xf numFmtId="0" fontId="54" fillId="19" borderId="73" xfId="0" applyFont="1" applyFill="1" applyBorder="1" applyAlignment="1">
      <alignment horizontal="center" vertical="top" wrapText="1"/>
    </xf>
    <xf numFmtId="1" fontId="59" fillId="19" borderId="73" xfId="0" applyNumberFormat="1" applyFont="1" applyFill="1" applyBorder="1" applyAlignment="1">
      <alignment horizontal="left" vertical="top" indent="2" shrinkToFit="1"/>
    </xf>
    <xf numFmtId="1" fontId="59" fillId="19" borderId="73" xfId="0" applyNumberFormat="1" applyFont="1" applyFill="1" applyBorder="1" applyAlignment="1">
      <alignment horizontal="left" vertical="top" indent="1" shrinkToFit="1"/>
    </xf>
    <xf numFmtId="0" fontId="0" fillId="18" borderId="77" xfId="0" applyFill="1" applyBorder="1" applyAlignment="1">
      <alignment horizontal="left" wrapText="1"/>
    </xf>
    <xf numFmtId="1" fontId="59" fillId="0" borderId="78" xfId="0" applyNumberFormat="1" applyFont="1" applyFill="1" applyBorder="1" applyAlignment="1">
      <alignment horizontal="center" vertical="top" shrinkToFit="1"/>
    </xf>
    <xf numFmtId="0" fontId="54" fillId="0" borderId="78" xfId="0" applyFont="1" applyFill="1" applyBorder="1" applyAlignment="1">
      <alignment horizontal="center" vertical="top" wrapText="1"/>
    </xf>
    <xf numFmtId="0" fontId="0" fillId="0" borderId="0" xfId="0" applyFill="1" applyBorder="1" applyAlignment="1">
      <alignment horizontal="left" wrapText="1"/>
    </xf>
    <xf numFmtId="0" fontId="0" fillId="0" borderId="0" xfId="0" applyFill="1" applyBorder="1" applyAlignment="1">
      <alignment horizontal="left" vertical="center" wrapText="1"/>
    </xf>
    <xf numFmtId="0" fontId="0" fillId="0" borderId="0" xfId="0" applyFill="1" applyBorder="1" applyAlignment="1">
      <alignment horizontal="left" vertical="top" wrapText="1"/>
    </xf>
    <xf numFmtId="0" fontId="0" fillId="21" borderId="0" xfId="0" applyFill="1" applyBorder="1" applyAlignment="1">
      <alignment horizontal="left" wrapText="1"/>
    </xf>
    <xf numFmtId="0" fontId="0" fillId="21" borderId="80" xfId="0" applyFill="1" applyBorder="1" applyAlignment="1">
      <alignment horizontal="left" wrapText="1"/>
    </xf>
    <xf numFmtId="1" fontId="14" fillId="0" borderId="0" xfId="2" applyNumberFormat="1" applyFont="1" applyProtection="1">
      <protection locked="0"/>
    </xf>
    <xf numFmtId="1" fontId="12" fillId="0" borderId="0" xfId="2" applyNumberFormat="1" applyFont="1" applyProtection="1">
      <protection locked="0"/>
    </xf>
    <xf numFmtId="0" fontId="19" fillId="0" borderId="0" xfId="3" applyNumberFormat="1" applyFont="1" applyBorder="1" applyAlignment="1" applyProtection="1">
      <protection locked="0"/>
    </xf>
    <xf numFmtId="9" fontId="12" fillId="0" borderId="0" xfId="2" applyNumberFormat="1" applyFont="1" applyProtection="1">
      <protection locked="0"/>
    </xf>
    <xf numFmtId="43" fontId="19" fillId="11" borderId="24" xfId="1" applyFont="1" applyFill="1" applyBorder="1" applyAlignment="1" applyProtection="1">
      <alignment horizontal="center"/>
      <protection locked="0"/>
    </xf>
    <xf numFmtId="0" fontId="22" fillId="5" borderId="16" xfId="2" quotePrefix="1" applyFont="1" applyFill="1" applyBorder="1" applyAlignment="1" applyProtection="1">
      <alignment horizontal="center"/>
      <protection locked="0"/>
    </xf>
    <xf numFmtId="14" fontId="12" fillId="5" borderId="24" xfId="2" quotePrefix="1" applyNumberFormat="1" applyFont="1" applyFill="1" applyBorder="1" applyAlignment="1" applyProtection="1">
      <alignment horizontal="center"/>
      <protection locked="0"/>
    </xf>
    <xf numFmtId="1" fontId="0" fillId="0" borderId="1" xfId="0" applyNumberFormat="1" applyBorder="1" applyAlignment="1">
      <alignment horizontal="center" vertical="center"/>
    </xf>
    <xf numFmtId="171" fontId="12" fillId="0" borderId="0" xfId="2" applyNumberFormat="1" applyFont="1" applyProtection="1">
      <protection locked="0"/>
    </xf>
    <xf numFmtId="0" fontId="11" fillId="6" borderId="24" xfId="2" applyFont="1" applyFill="1" applyBorder="1" applyAlignment="1"/>
    <xf numFmtId="0" fontId="65" fillId="22" borderId="0" xfId="2" applyFont="1" applyFill="1" applyProtection="1">
      <protection locked="0"/>
    </xf>
    <xf numFmtId="0" fontId="66" fillId="22" borderId="0" xfId="2" applyFont="1" applyFill="1" applyProtection="1">
      <protection locked="0"/>
    </xf>
    <xf numFmtId="0" fontId="67" fillId="22" borderId="0" xfId="2" applyFont="1" applyFill="1" applyProtection="1">
      <protection locked="0"/>
    </xf>
    <xf numFmtId="0" fontId="19" fillId="0" borderId="29" xfId="2" applyFont="1" applyBorder="1" applyAlignment="1" applyProtection="1">
      <alignment horizontal="center"/>
      <protection locked="0"/>
    </xf>
    <xf numFmtId="0" fontId="19" fillId="0" borderId="0" xfId="2" applyFont="1" applyBorder="1" applyAlignment="1" applyProtection="1">
      <alignment horizontal="center"/>
      <protection locked="0"/>
    </xf>
    <xf numFmtId="0" fontId="19" fillId="0" borderId="30" xfId="2" applyFont="1" applyBorder="1" applyAlignment="1" applyProtection="1">
      <alignment horizontal="center"/>
      <protection locked="0"/>
    </xf>
    <xf numFmtId="0" fontId="19" fillId="0" borderId="26" xfId="2" applyFont="1" applyBorder="1" applyAlignment="1" applyProtection="1">
      <alignment horizontal="center" wrapText="1"/>
      <protection locked="0"/>
    </xf>
    <xf numFmtId="0" fontId="19" fillId="0" borderId="24" xfId="2" applyFont="1" applyBorder="1" applyAlignment="1" applyProtection="1">
      <alignment horizontal="center" wrapText="1"/>
      <protection locked="0"/>
    </xf>
    <xf numFmtId="0" fontId="31" fillId="12" borderId="45" xfId="2" applyFont="1" applyFill="1" applyBorder="1" applyAlignment="1" applyProtection="1">
      <alignment horizontal="center" vertical="center" wrapText="1"/>
      <protection locked="0"/>
    </xf>
    <xf numFmtId="0" fontId="19" fillId="0" borderId="27" xfId="2" applyFont="1" applyBorder="1" applyAlignment="1" applyProtection="1">
      <alignment horizontal="center" wrapText="1"/>
      <protection locked="0"/>
    </xf>
    <xf numFmtId="0" fontId="19" fillId="0" borderId="0" xfId="2" applyFont="1" applyBorder="1" applyAlignment="1" applyProtection="1">
      <alignment horizontal="left"/>
      <protection locked="0"/>
    </xf>
    <xf numFmtId="0" fontId="19" fillId="0" borderId="10" xfId="2" applyFont="1" applyBorder="1" applyAlignment="1" applyProtection="1">
      <alignment horizontal="center"/>
      <protection locked="0"/>
    </xf>
    <xf numFmtId="43" fontId="14" fillId="0" borderId="0" xfId="2" applyNumberFormat="1" applyFont="1" applyAlignment="1" applyProtection="1">
      <protection locked="0"/>
    </xf>
    <xf numFmtId="0" fontId="11" fillId="6" borderId="32" xfId="2" applyFont="1" applyFill="1" applyBorder="1" applyAlignment="1"/>
    <xf numFmtId="0" fontId="11" fillId="6" borderId="0" xfId="2" applyFont="1" applyFill="1" applyBorder="1" applyAlignment="1"/>
    <xf numFmtId="0" fontId="31" fillId="12" borderId="54" xfId="2" applyFont="1" applyFill="1" applyBorder="1" applyAlignment="1" applyProtection="1">
      <alignment horizontal="center" vertical="center"/>
      <protection locked="0"/>
    </xf>
    <xf numFmtId="0" fontId="31" fillId="12" borderId="6" xfId="2" applyFont="1" applyFill="1" applyBorder="1" applyAlignment="1" applyProtection="1">
      <alignment horizontal="center" vertical="center"/>
      <protection locked="0"/>
    </xf>
    <xf numFmtId="0" fontId="19" fillId="5" borderId="27" xfId="2" applyFont="1" applyFill="1" applyBorder="1" applyAlignment="1" applyProtection="1">
      <alignment horizontal="center"/>
      <protection locked="0"/>
    </xf>
    <xf numFmtId="0" fontId="19" fillId="5" borderId="26" xfId="2" applyFont="1" applyFill="1" applyBorder="1" applyAlignment="1" applyProtection="1">
      <alignment horizontal="center"/>
      <protection locked="0"/>
    </xf>
    <xf numFmtId="0" fontId="19" fillId="12" borderId="24" xfId="2" applyFont="1" applyFill="1" applyBorder="1" applyAlignment="1">
      <alignment horizontal="left"/>
    </xf>
    <xf numFmtId="0" fontId="13" fillId="0" borderId="27" xfId="2" applyFont="1" applyBorder="1" applyAlignment="1" applyProtection="1">
      <alignment horizontal="center" vertical="center" wrapText="1"/>
      <protection locked="0"/>
    </xf>
    <xf numFmtId="0" fontId="13" fillId="0" borderId="30" xfId="2" applyFont="1" applyBorder="1" applyAlignment="1" applyProtection="1">
      <alignment horizontal="center" vertical="center" wrapText="1"/>
      <protection locked="0"/>
    </xf>
    <xf numFmtId="0" fontId="13" fillId="0" borderId="26" xfId="2" applyFont="1" applyBorder="1" applyAlignment="1" applyProtection="1">
      <alignment horizontal="center" vertical="center" wrapText="1"/>
      <protection locked="0"/>
    </xf>
    <xf numFmtId="0" fontId="19" fillId="12" borderId="24" xfId="2" applyFont="1" applyFill="1" applyBorder="1" applyAlignment="1" applyProtection="1">
      <alignment horizontal="left"/>
      <protection locked="0"/>
    </xf>
    <xf numFmtId="0" fontId="17" fillId="0" borderId="0" xfId="2" applyFont="1" applyBorder="1" applyAlignment="1" applyProtection="1">
      <alignment horizontal="center"/>
      <protection locked="0"/>
    </xf>
    <xf numFmtId="0" fontId="17" fillId="9" borderId="27" xfId="2" applyFont="1" applyFill="1" applyBorder="1" applyAlignment="1" applyProtection="1">
      <alignment horizontal="center"/>
      <protection locked="0"/>
    </xf>
    <xf numFmtId="0" fontId="17" fillId="9" borderId="30" xfId="2" applyFont="1" applyFill="1" applyBorder="1" applyAlignment="1" applyProtection="1">
      <alignment horizontal="center"/>
      <protection locked="0"/>
    </xf>
    <xf numFmtId="0" fontId="17" fillId="9" borderId="26" xfId="2" applyFont="1" applyFill="1" applyBorder="1" applyAlignment="1" applyProtection="1">
      <alignment horizontal="center"/>
      <protection locked="0"/>
    </xf>
    <xf numFmtId="0" fontId="21" fillId="8" borderId="24" xfId="2" applyFont="1" applyFill="1" applyBorder="1" applyAlignment="1" applyProtection="1">
      <alignment horizontal="left"/>
      <protection locked="0"/>
    </xf>
    <xf numFmtId="0" fontId="19" fillId="0" borderId="24" xfId="2" applyFont="1" applyBorder="1" applyAlignment="1" applyProtection="1">
      <alignment horizontal="center"/>
      <protection locked="0"/>
    </xf>
    <xf numFmtId="0" fontId="19" fillId="9" borderId="24" xfId="2" applyFont="1" applyFill="1" applyBorder="1" applyAlignment="1" applyProtection="1">
      <alignment horizontal="center"/>
      <protection locked="0"/>
    </xf>
    <xf numFmtId="0" fontId="19" fillId="12" borderId="27" xfId="2" applyFont="1" applyFill="1" applyBorder="1" applyAlignment="1" applyProtection="1">
      <alignment horizontal="center"/>
      <protection locked="0"/>
    </xf>
    <xf numFmtId="0" fontId="19" fillId="12" borderId="26" xfId="2" applyFont="1" applyFill="1" applyBorder="1" applyAlignment="1" applyProtection="1">
      <alignment horizontal="center"/>
      <protection locked="0"/>
    </xf>
    <xf numFmtId="0" fontId="19" fillId="6" borderId="24" xfId="2" applyFont="1" applyFill="1" applyBorder="1" applyAlignment="1" applyProtection="1">
      <alignment horizontal="center"/>
      <protection locked="0"/>
    </xf>
    <xf numFmtId="0" fontId="36" fillId="8" borderId="24" xfId="2" applyFont="1" applyFill="1" applyBorder="1" applyAlignment="1" applyProtection="1">
      <alignment horizontal="center"/>
      <protection locked="0"/>
    </xf>
    <xf numFmtId="0" fontId="12" fillId="0" borderId="24" xfId="2" applyFont="1" applyBorder="1" applyAlignment="1" applyProtection="1">
      <alignment horizontal="center"/>
      <protection locked="0"/>
    </xf>
    <xf numFmtId="0" fontId="21" fillId="8" borderId="24" xfId="2" applyFont="1" applyFill="1" applyBorder="1" applyAlignment="1" applyProtection="1">
      <alignment horizontal="center"/>
      <protection locked="0"/>
    </xf>
    <xf numFmtId="0" fontId="19" fillId="9" borderId="24" xfId="2" applyFont="1" applyFill="1" applyBorder="1" applyAlignment="1" applyProtection="1">
      <alignment horizontal="left"/>
      <protection locked="0"/>
    </xf>
    <xf numFmtId="0" fontId="12" fillId="0" borderId="24" xfId="2" applyFont="1" applyFill="1" applyBorder="1" applyAlignment="1" applyProtection="1">
      <alignment horizontal="center"/>
    </xf>
    <xf numFmtId="0" fontId="19" fillId="12" borderId="27" xfId="2" applyFont="1" applyFill="1" applyBorder="1" applyAlignment="1" applyProtection="1">
      <alignment horizontal="left" vertical="justify" wrapText="1"/>
      <protection locked="0"/>
    </xf>
    <xf numFmtId="0" fontId="19" fillId="12" borderId="26" xfId="2" applyFont="1" applyFill="1" applyBorder="1" applyAlignment="1" applyProtection="1">
      <alignment horizontal="left" vertical="justify" wrapText="1"/>
      <protection locked="0"/>
    </xf>
    <xf numFmtId="0" fontId="12" fillId="0" borderId="22" xfId="2" applyFont="1" applyBorder="1" applyAlignment="1" applyProtection="1">
      <alignment horizontal="center"/>
      <protection locked="0"/>
    </xf>
    <xf numFmtId="0" fontId="12" fillId="0" borderId="0" xfId="2" applyFont="1" applyBorder="1" applyAlignment="1" applyProtection="1">
      <alignment horizontal="center"/>
      <protection locked="0"/>
    </xf>
    <xf numFmtId="0" fontId="19" fillId="0" borderId="2" xfId="2" applyFont="1" applyBorder="1" applyAlignment="1" applyProtection="1">
      <alignment horizontal="left"/>
      <protection locked="0"/>
    </xf>
    <xf numFmtId="0" fontId="19" fillId="0" borderId="25" xfId="2" applyFont="1" applyBorder="1" applyAlignment="1" applyProtection="1">
      <alignment horizontal="left"/>
      <protection locked="0"/>
    </xf>
    <xf numFmtId="0" fontId="19" fillId="13" borderId="27" xfId="2" applyFont="1" applyFill="1" applyBorder="1" applyAlignment="1" applyProtection="1">
      <alignment horizontal="center"/>
      <protection locked="0"/>
    </xf>
    <xf numFmtId="0" fontId="19" fillId="13" borderId="26" xfId="2" applyFont="1" applyFill="1" applyBorder="1" applyAlignment="1" applyProtection="1">
      <alignment horizontal="center"/>
      <protection locked="0"/>
    </xf>
    <xf numFmtId="0" fontId="19" fillId="0" borderId="0" xfId="2" applyFont="1" applyBorder="1" applyAlignment="1" applyProtection="1">
      <alignment horizontal="left"/>
      <protection locked="0"/>
    </xf>
    <xf numFmtId="0" fontId="19" fillId="0" borderId="23" xfId="2" applyFont="1" applyBorder="1" applyAlignment="1" applyProtection="1">
      <alignment horizontal="left"/>
      <protection locked="0"/>
    </xf>
    <xf numFmtId="0" fontId="19" fillId="0" borderId="4" xfId="2" applyFont="1" applyBorder="1" applyAlignment="1" applyProtection="1">
      <alignment horizontal="center"/>
      <protection locked="0"/>
    </xf>
    <xf numFmtId="0" fontId="19" fillId="0" borderId="10" xfId="2" applyFont="1" applyBorder="1" applyAlignment="1" applyProtection="1">
      <alignment horizontal="center"/>
      <protection locked="0"/>
    </xf>
    <xf numFmtId="0" fontId="19" fillId="5" borderId="39" xfId="2" applyFont="1" applyFill="1" applyBorder="1" applyAlignment="1" applyProtection="1">
      <alignment horizontal="center"/>
      <protection locked="0"/>
    </xf>
    <xf numFmtId="0" fontId="19" fillId="5" borderId="38" xfId="2" applyFont="1" applyFill="1" applyBorder="1" applyAlignment="1" applyProtection="1">
      <alignment horizontal="center"/>
      <protection locked="0"/>
    </xf>
    <xf numFmtId="0" fontId="19" fillId="5" borderId="40" xfId="2" applyFont="1" applyFill="1" applyBorder="1" applyAlignment="1" applyProtection="1">
      <alignment horizontal="center"/>
      <protection locked="0"/>
    </xf>
    <xf numFmtId="0" fontId="19" fillId="0" borderId="41" xfId="2" applyFont="1" applyBorder="1" applyAlignment="1" applyProtection="1">
      <alignment horizontal="center"/>
      <protection locked="0"/>
    </xf>
    <xf numFmtId="0" fontId="22" fillId="5" borderId="39" xfId="2" applyFont="1" applyFill="1" applyBorder="1" applyAlignment="1" applyProtection="1">
      <alignment horizontal="center"/>
      <protection locked="0"/>
    </xf>
    <xf numFmtId="0" fontId="22" fillId="5" borderId="40" xfId="2" applyFont="1" applyFill="1" applyBorder="1" applyAlignment="1" applyProtection="1">
      <alignment horizontal="center"/>
      <protection locked="0"/>
    </xf>
    <xf numFmtId="0" fontId="19" fillId="0" borderId="29" xfId="2" applyFont="1" applyBorder="1" applyAlignment="1" applyProtection="1">
      <alignment horizontal="center"/>
      <protection locked="0"/>
    </xf>
    <xf numFmtId="0" fontId="19" fillId="0" borderId="23" xfId="2" applyFont="1" applyBorder="1" applyAlignment="1" applyProtection="1">
      <alignment horizontal="center"/>
      <protection locked="0"/>
    </xf>
    <xf numFmtId="0" fontId="19" fillId="0" borderId="27" xfId="2" applyFont="1" applyBorder="1" applyAlignment="1" applyProtection="1">
      <protection locked="0"/>
    </xf>
    <xf numFmtId="0" fontId="19" fillId="0" borderId="26" xfId="2" applyFont="1" applyBorder="1" applyAlignment="1" applyProtection="1">
      <protection locked="0"/>
    </xf>
    <xf numFmtId="1" fontId="19" fillId="5" borderId="27" xfId="2" applyNumberFormat="1" applyFont="1" applyFill="1" applyBorder="1" applyAlignment="1" applyProtection="1">
      <alignment horizontal="center"/>
      <protection locked="0"/>
    </xf>
    <xf numFmtId="1" fontId="19" fillId="5" borderId="26" xfId="2" applyNumberFormat="1" applyFont="1" applyFill="1" applyBorder="1" applyAlignment="1" applyProtection="1">
      <alignment horizontal="center"/>
      <protection locked="0"/>
    </xf>
    <xf numFmtId="0" fontId="12" fillId="0" borderId="81" xfId="2" applyFont="1" applyBorder="1" applyAlignment="1" applyProtection="1">
      <alignment horizontal="left" wrapText="1"/>
      <protection locked="0"/>
    </xf>
    <xf numFmtId="0" fontId="31" fillId="12" borderId="45" xfId="2" applyFont="1" applyFill="1" applyBorder="1" applyAlignment="1" applyProtection="1">
      <alignment horizontal="center" vertical="center" wrapText="1"/>
      <protection locked="0"/>
    </xf>
    <xf numFmtId="0" fontId="31" fillId="12" borderId="46" xfId="2" applyFont="1" applyFill="1" applyBorder="1" applyAlignment="1" applyProtection="1">
      <alignment horizontal="center" vertical="center" wrapText="1"/>
      <protection locked="0"/>
    </xf>
    <xf numFmtId="0" fontId="31" fillId="12" borderId="47" xfId="2" applyFont="1" applyFill="1" applyBorder="1" applyAlignment="1" applyProtection="1">
      <alignment horizontal="center" vertical="center" wrapText="1"/>
      <protection locked="0"/>
    </xf>
    <xf numFmtId="0" fontId="19" fillId="0" borderId="27" xfId="2" applyFont="1" applyBorder="1" applyAlignment="1" applyProtection="1">
      <alignment horizontal="center" wrapText="1"/>
      <protection locked="0"/>
    </xf>
    <xf numFmtId="0" fontId="19" fillId="0" borderId="26" xfId="2" applyFont="1" applyBorder="1" applyAlignment="1" applyProtection="1">
      <alignment horizontal="center" wrapText="1"/>
      <protection locked="0"/>
    </xf>
    <xf numFmtId="0" fontId="19" fillId="0" borderId="0" xfId="2" applyFont="1" applyBorder="1" applyAlignment="1" applyProtection="1">
      <alignment horizontal="center"/>
      <protection locked="0"/>
    </xf>
    <xf numFmtId="15" fontId="19" fillId="5" borderId="27" xfId="2" applyNumberFormat="1" applyFont="1" applyFill="1" applyBorder="1" applyAlignment="1" applyProtection="1">
      <alignment horizontal="center"/>
      <protection locked="0"/>
    </xf>
    <xf numFmtId="15" fontId="19" fillId="5" borderId="30" xfId="2" applyNumberFormat="1" applyFont="1" applyFill="1" applyBorder="1" applyAlignment="1" applyProtection="1">
      <alignment horizontal="center"/>
      <protection locked="0"/>
    </xf>
    <xf numFmtId="15" fontId="19" fillId="5" borderId="26" xfId="2" applyNumberFormat="1" applyFont="1" applyFill="1" applyBorder="1" applyAlignment="1" applyProtection="1">
      <alignment horizontal="center"/>
      <protection locked="0"/>
    </xf>
    <xf numFmtId="1" fontId="19" fillId="5" borderId="30" xfId="2" applyNumberFormat="1" applyFont="1" applyFill="1" applyBorder="1" applyAlignment="1" applyProtection="1">
      <alignment horizontal="center" wrapText="1"/>
      <protection locked="0"/>
    </xf>
    <xf numFmtId="1" fontId="19" fillId="5" borderId="26" xfId="2" applyNumberFormat="1" applyFont="1" applyFill="1" applyBorder="1" applyAlignment="1" applyProtection="1">
      <alignment horizontal="center" wrapText="1"/>
      <protection locked="0"/>
    </xf>
    <xf numFmtId="0" fontId="20" fillId="0" borderId="27" xfId="2" applyFont="1" applyBorder="1" applyAlignment="1" applyProtection="1">
      <alignment horizontal="left" vertical="top" wrapText="1"/>
      <protection locked="0"/>
    </xf>
    <xf numFmtId="0" fontId="20" fillId="0" borderId="30" xfId="2" applyFont="1" applyBorder="1" applyAlignment="1" applyProtection="1">
      <alignment horizontal="left" vertical="top" wrapText="1"/>
      <protection locked="0"/>
    </xf>
    <xf numFmtId="0" fontId="20" fillId="0" borderId="26" xfId="2" applyFont="1" applyBorder="1" applyAlignment="1" applyProtection="1">
      <alignment horizontal="left" vertical="top" wrapText="1"/>
      <protection locked="0"/>
    </xf>
    <xf numFmtId="0" fontId="20" fillId="0" borderId="27" xfId="2" applyFont="1" applyBorder="1" applyAlignment="1" applyProtection="1">
      <alignment horizontal="left" vertical="justify" wrapText="1"/>
      <protection locked="0"/>
    </xf>
    <xf numFmtId="0" fontId="20" fillId="0" borderId="30" xfId="2" applyFont="1" applyBorder="1" applyAlignment="1" applyProtection="1">
      <alignment horizontal="left" vertical="justify" wrapText="1"/>
      <protection locked="0"/>
    </xf>
    <xf numFmtId="0" fontId="20" fillId="0" borderId="26" xfId="2" applyFont="1" applyBorder="1" applyAlignment="1" applyProtection="1">
      <alignment horizontal="left" vertical="justify" wrapText="1"/>
      <protection locked="0"/>
    </xf>
    <xf numFmtId="0" fontId="19" fillId="0" borderId="36" xfId="2" applyFont="1" applyFill="1" applyBorder="1" applyAlignment="1" applyProtection="1">
      <alignment horizontal="center"/>
      <protection locked="0"/>
    </xf>
    <xf numFmtId="0" fontId="19" fillId="0" borderId="32" xfId="2" applyFont="1" applyFill="1" applyBorder="1" applyAlignment="1" applyProtection="1">
      <alignment horizontal="center"/>
      <protection locked="0"/>
    </xf>
    <xf numFmtId="0" fontId="19" fillId="0" borderId="32" xfId="2" applyFont="1" applyBorder="1" applyAlignment="1" applyProtection="1">
      <alignment horizontal="center"/>
      <protection locked="0"/>
    </xf>
    <xf numFmtId="0" fontId="19" fillId="0" borderId="82" xfId="2" applyFont="1" applyBorder="1" applyAlignment="1" applyProtection="1">
      <alignment horizontal="center"/>
      <protection locked="0"/>
    </xf>
    <xf numFmtId="0" fontId="12" fillId="9" borderId="37" xfId="2" applyFont="1" applyFill="1" applyBorder="1" applyAlignment="1" applyProtection="1">
      <alignment horizontal="center"/>
      <protection locked="0"/>
    </xf>
    <xf numFmtId="0" fontId="12" fillId="9" borderId="38" xfId="2" applyFont="1" applyFill="1" applyBorder="1" applyAlignment="1" applyProtection="1">
      <alignment horizontal="center"/>
      <protection locked="0"/>
    </xf>
    <xf numFmtId="0" fontId="12" fillId="9" borderId="40" xfId="2" applyFont="1" applyFill="1" applyBorder="1" applyAlignment="1" applyProtection="1">
      <alignment horizontal="center"/>
      <protection locked="0"/>
    </xf>
    <xf numFmtId="0" fontId="19" fillId="11" borderId="27" xfId="2" applyFont="1" applyFill="1" applyBorder="1" applyAlignment="1" applyProtection="1">
      <alignment horizontal="center"/>
    </xf>
    <xf numFmtId="0" fontId="19" fillId="11" borderId="26" xfId="2" applyFont="1" applyFill="1" applyBorder="1" applyAlignment="1" applyProtection="1">
      <alignment horizontal="center"/>
    </xf>
    <xf numFmtId="0" fontId="12" fillId="5" borderId="27" xfId="2" applyFont="1" applyFill="1" applyBorder="1" applyAlignment="1" applyProtection="1">
      <alignment horizontal="center"/>
      <protection locked="0"/>
    </xf>
    <xf numFmtId="0" fontId="12" fillId="5" borderId="26" xfId="2" applyFont="1" applyFill="1" applyBorder="1" applyAlignment="1" applyProtection="1">
      <alignment horizontal="center"/>
      <protection locked="0"/>
    </xf>
    <xf numFmtId="0" fontId="30" fillId="6" borderId="27" xfId="2" applyFont="1" applyFill="1" applyBorder="1" applyAlignment="1" applyProtection="1">
      <alignment horizontal="center" vertical="justify" wrapText="1"/>
      <protection locked="0"/>
    </xf>
    <xf numFmtId="0" fontId="30" fillId="6" borderId="26" xfId="2" applyFont="1" applyFill="1" applyBorder="1" applyAlignment="1" applyProtection="1">
      <alignment horizontal="center" vertical="justify" wrapText="1"/>
      <protection locked="0"/>
    </xf>
    <xf numFmtId="0" fontId="21" fillId="8" borderId="27" xfId="2" applyFont="1" applyFill="1" applyBorder="1" applyAlignment="1">
      <alignment horizontal="center" vertical="center"/>
    </xf>
    <xf numFmtId="0" fontId="21" fillId="8" borderId="30" xfId="2" applyFont="1" applyFill="1" applyBorder="1" applyAlignment="1">
      <alignment horizontal="center" vertical="center"/>
    </xf>
    <xf numFmtId="15" fontId="19" fillId="5" borderId="30" xfId="2" applyNumberFormat="1" applyFont="1" applyFill="1" applyBorder="1" applyAlignment="1" applyProtection="1">
      <alignment horizontal="center" wrapText="1"/>
      <protection locked="0"/>
    </xf>
    <xf numFmtId="15" fontId="19" fillId="5" borderId="26" xfId="2" applyNumberFormat="1" applyFont="1" applyFill="1" applyBorder="1" applyAlignment="1" applyProtection="1">
      <alignment horizontal="center" wrapText="1"/>
      <protection locked="0"/>
    </xf>
    <xf numFmtId="0" fontId="20" fillId="0" borderId="18" xfId="2" applyFont="1" applyBorder="1" applyAlignment="1" applyProtection="1">
      <alignment horizontal="center" vertical="justify" wrapText="1"/>
      <protection locked="0"/>
    </xf>
    <xf numFmtId="0" fontId="20" fillId="0" borderId="21" xfId="2" applyFont="1" applyBorder="1" applyAlignment="1" applyProtection="1">
      <alignment horizontal="center" vertical="justify" wrapText="1"/>
      <protection locked="0"/>
    </xf>
    <xf numFmtId="0" fontId="20" fillId="0" borderId="34" xfId="2" applyFont="1" applyBorder="1" applyAlignment="1" applyProtection="1">
      <alignment horizontal="center" vertical="justify" wrapText="1"/>
      <protection locked="0"/>
    </xf>
    <xf numFmtId="0" fontId="20" fillId="0" borderId="35" xfId="2" applyFont="1" applyBorder="1" applyAlignment="1" applyProtection="1">
      <alignment horizontal="center" vertical="justify" wrapText="1"/>
      <protection locked="0"/>
    </xf>
    <xf numFmtId="1" fontId="19" fillId="5" borderId="27" xfId="2" quotePrefix="1" applyNumberFormat="1" applyFont="1" applyFill="1" applyBorder="1" applyAlignment="1" applyProtection="1">
      <alignment horizontal="center"/>
      <protection locked="0"/>
    </xf>
    <xf numFmtId="49" fontId="22" fillId="5" borderId="27" xfId="2" applyNumberFormat="1" applyFont="1" applyFill="1" applyBorder="1" applyAlignment="1" applyProtection="1">
      <alignment horizontal="center"/>
      <protection locked="0"/>
    </xf>
    <xf numFmtId="49" fontId="22" fillId="5" borderId="30" xfId="2" applyNumberFormat="1" applyFont="1" applyFill="1" applyBorder="1" applyAlignment="1" applyProtection="1">
      <alignment horizontal="center"/>
      <protection locked="0"/>
    </xf>
    <xf numFmtId="49" fontId="22" fillId="5" borderId="26" xfId="2" applyNumberFormat="1" applyFont="1" applyFill="1" applyBorder="1" applyAlignment="1" applyProtection="1">
      <alignment horizontal="center"/>
      <protection locked="0"/>
    </xf>
    <xf numFmtId="0" fontId="19" fillId="0" borderId="27" xfId="2" applyFont="1" applyBorder="1" applyAlignment="1" applyProtection="1">
      <alignment horizontal="center"/>
      <protection locked="0"/>
    </xf>
    <xf numFmtId="0" fontId="19" fillId="0" borderId="26" xfId="2" applyFont="1" applyBorder="1" applyAlignment="1" applyProtection="1">
      <alignment horizontal="center"/>
      <protection locked="0"/>
    </xf>
    <xf numFmtId="0" fontId="23" fillId="0" borderId="27" xfId="2" applyFont="1" applyBorder="1" applyAlignment="1" applyProtection="1">
      <alignment horizontal="center"/>
      <protection locked="0"/>
    </xf>
    <xf numFmtId="0" fontId="23" fillId="0" borderId="26" xfId="2" applyFont="1" applyBorder="1" applyAlignment="1" applyProtection="1">
      <alignment horizontal="center"/>
      <protection locked="0"/>
    </xf>
    <xf numFmtId="165" fontId="19" fillId="5" borderId="27" xfId="2" applyNumberFormat="1" applyFont="1" applyFill="1" applyBorder="1" applyAlignment="1" applyProtection="1">
      <alignment horizontal="center"/>
      <protection locked="0"/>
    </xf>
    <xf numFmtId="165" fontId="19" fillId="5" borderId="26" xfId="2" applyNumberFormat="1" applyFont="1" applyFill="1" applyBorder="1" applyAlignment="1" applyProtection="1">
      <alignment horizontal="center"/>
      <protection locked="0"/>
    </xf>
    <xf numFmtId="0" fontId="19" fillId="0" borderId="30" xfId="2" applyFont="1" applyBorder="1" applyAlignment="1" applyProtection="1">
      <alignment horizontal="center"/>
      <protection locked="0"/>
    </xf>
    <xf numFmtId="0" fontId="19" fillId="5" borderId="30" xfId="2" applyFont="1" applyFill="1" applyBorder="1" applyAlignment="1" applyProtection="1">
      <alignment horizontal="center"/>
      <protection locked="0"/>
    </xf>
    <xf numFmtId="0" fontId="19" fillId="0" borderId="30" xfId="2" applyFont="1" applyBorder="1" applyAlignment="1" applyProtection="1">
      <alignment horizontal="center" wrapText="1"/>
      <protection locked="0"/>
    </xf>
    <xf numFmtId="49" fontId="28" fillId="5" borderId="27" xfId="2" applyNumberFormat="1" applyFont="1" applyFill="1" applyBorder="1" applyAlignment="1" applyProtection="1">
      <protection locked="0"/>
    </xf>
    <xf numFmtId="49" fontId="28" fillId="5" borderId="26" xfId="2" applyNumberFormat="1" applyFont="1" applyFill="1" applyBorder="1" applyAlignment="1" applyProtection="1">
      <protection locked="0"/>
    </xf>
    <xf numFmtId="15" fontId="12" fillId="5" borderId="27" xfId="2" applyNumberFormat="1" applyFont="1" applyFill="1" applyBorder="1" applyAlignment="1" applyProtection="1">
      <alignment horizontal="left" wrapText="1"/>
      <protection locked="0"/>
    </xf>
    <xf numFmtId="15" fontId="12" fillId="5" borderId="26" xfId="2" applyNumberFormat="1" applyFont="1" applyFill="1" applyBorder="1" applyAlignment="1" applyProtection="1">
      <alignment horizontal="left" wrapText="1"/>
      <protection locked="0"/>
    </xf>
    <xf numFmtId="0" fontId="21" fillId="8" borderId="29" xfId="2" applyFont="1" applyFill="1" applyBorder="1" applyAlignment="1" applyProtection="1">
      <alignment horizontal="center" wrapText="1"/>
      <protection locked="0"/>
    </xf>
    <xf numFmtId="0" fontId="21" fillId="8" borderId="0" xfId="2" applyFont="1" applyFill="1" applyBorder="1" applyAlignment="1" applyProtection="1">
      <alignment horizontal="center" wrapText="1"/>
      <protection locked="0"/>
    </xf>
    <xf numFmtId="0" fontId="21" fillId="8" borderId="0" xfId="2" applyFont="1" applyFill="1" applyBorder="1" applyAlignment="1" applyProtection="1">
      <alignment horizontal="center"/>
      <protection locked="0"/>
    </xf>
    <xf numFmtId="0" fontId="21" fillId="8" borderId="23" xfId="2" applyFont="1" applyFill="1" applyBorder="1" applyAlignment="1" applyProtection="1">
      <alignment horizontal="center"/>
      <protection locked="0"/>
    </xf>
    <xf numFmtId="0" fontId="19" fillId="0" borderId="29" xfId="2" applyFont="1" applyBorder="1" applyAlignment="1" applyProtection="1">
      <alignment horizontal="left" wrapText="1"/>
      <protection locked="0"/>
    </xf>
    <xf numFmtId="0" fontId="19" fillId="0" borderId="23" xfId="2" applyFont="1" applyBorder="1" applyAlignment="1" applyProtection="1">
      <alignment horizontal="left" wrapText="1"/>
      <protection locked="0"/>
    </xf>
    <xf numFmtId="0" fontId="26" fillId="0" borderId="34" xfId="2" applyFont="1" applyBorder="1" applyAlignment="1">
      <alignment horizontal="center"/>
    </xf>
    <xf numFmtId="0" fontId="26" fillId="0" borderId="35" xfId="2" applyFont="1" applyBorder="1" applyAlignment="1">
      <alignment horizontal="center"/>
    </xf>
    <xf numFmtId="15" fontId="28" fillId="5" borderId="27" xfId="2" applyNumberFormat="1" applyFont="1" applyFill="1" applyBorder="1" applyAlignment="1" applyProtection="1">
      <protection locked="0"/>
    </xf>
    <xf numFmtId="15" fontId="28" fillId="5" borderId="26" xfId="2" applyNumberFormat="1" applyFont="1" applyFill="1" applyBorder="1" applyAlignment="1" applyProtection="1">
      <protection locked="0"/>
    </xf>
    <xf numFmtId="0" fontId="19" fillId="0" borderId="27" xfId="2" applyFont="1" applyBorder="1" applyAlignment="1" applyProtection="1">
      <alignment horizontal="center" vertical="top" wrapText="1"/>
      <protection locked="0"/>
    </xf>
    <xf numFmtId="0" fontId="19" fillId="0" borderId="26" xfId="2" applyFont="1" applyBorder="1" applyAlignment="1" applyProtection="1">
      <alignment horizontal="center" vertical="top" wrapText="1"/>
      <protection locked="0"/>
    </xf>
    <xf numFmtId="15" fontId="22" fillId="5" borderId="27" xfId="2" applyNumberFormat="1" applyFont="1" applyFill="1" applyBorder="1" applyAlignment="1" applyProtection="1">
      <alignment horizontal="center" vertical="top" wrapText="1"/>
      <protection locked="0"/>
    </xf>
    <xf numFmtId="15" fontId="22" fillId="5" borderId="26" xfId="2" applyNumberFormat="1" applyFont="1" applyFill="1" applyBorder="1" applyAlignment="1" applyProtection="1">
      <alignment horizontal="center" vertical="top" wrapText="1"/>
      <protection locked="0"/>
    </xf>
    <xf numFmtId="0" fontId="21" fillId="8" borderId="2" xfId="2" applyFont="1" applyFill="1" applyBorder="1" applyAlignment="1" applyProtection="1">
      <alignment horizontal="center"/>
      <protection locked="0"/>
    </xf>
    <xf numFmtId="0" fontId="21" fillId="8" borderId="25" xfId="2" applyFont="1" applyFill="1" applyBorder="1" applyAlignment="1" applyProtection="1">
      <alignment horizontal="center"/>
      <protection locked="0"/>
    </xf>
    <xf numFmtId="0" fontId="21" fillId="8" borderId="30" xfId="2" applyFont="1" applyFill="1" applyBorder="1" applyAlignment="1" applyProtection="1">
      <alignment horizontal="center"/>
      <protection locked="0"/>
    </xf>
    <xf numFmtId="0" fontId="21" fillId="8" borderId="26" xfId="2" applyFont="1" applyFill="1" applyBorder="1" applyAlignment="1" applyProtection="1">
      <alignment horizontal="center"/>
      <protection locked="0"/>
    </xf>
    <xf numFmtId="0" fontId="19" fillId="5" borderId="27" xfId="2" applyFont="1" applyFill="1" applyBorder="1" applyAlignment="1" applyProtection="1">
      <alignment horizontal="left" vertical="top" wrapText="1"/>
      <protection locked="0"/>
    </xf>
    <xf numFmtId="0" fontId="19" fillId="5" borderId="30" xfId="2" applyFont="1" applyFill="1" applyBorder="1" applyAlignment="1" applyProtection="1">
      <alignment horizontal="left" vertical="top" wrapText="1"/>
      <protection locked="0"/>
    </xf>
    <xf numFmtId="0" fontId="19" fillId="5" borderId="26" xfId="2" applyFont="1" applyFill="1" applyBorder="1" applyAlignment="1" applyProtection="1">
      <alignment horizontal="left" vertical="top" wrapText="1"/>
      <protection locked="0"/>
    </xf>
    <xf numFmtId="0" fontId="19" fillId="5" borderId="27" xfId="2" applyFont="1" applyFill="1" applyBorder="1" applyAlignment="1" applyProtection="1">
      <alignment horizontal="center" vertical="top" wrapText="1"/>
      <protection locked="0"/>
    </xf>
    <xf numFmtId="0" fontId="19" fillId="5" borderId="26" xfId="2" applyFont="1" applyFill="1" applyBorder="1" applyAlignment="1" applyProtection="1">
      <alignment horizontal="center" vertical="top" wrapText="1"/>
      <protection locked="0"/>
    </xf>
    <xf numFmtId="0" fontId="22" fillId="5" borderId="27" xfId="2" applyFont="1" applyFill="1" applyBorder="1" applyAlignment="1" applyProtection="1">
      <alignment horizontal="center" vertical="top" wrapText="1"/>
      <protection locked="0"/>
    </xf>
    <xf numFmtId="0" fontId="22" fillId="5" borderId="26" xfId="2" applyFont="1" applyFill="1" applyBorder="1" applyAlignment="1" applyProtection="1">
      <alignment horizontal="center" vertical="top" wrapText="1"/>
      <protection locked="0"/>
    </xf>
    <xf numFmtId="165" fontId="12" fillId="5" borderId="27" xfId="2" applyNumberFormat="1" applyFont="1" applyFill="1" applyBorder="1" applyAlignment="1" applyProtection="1">
      <alignment horizontal="center"/>
      <protection locked="0"/>
    </xf>
    <xf numFmtId="165" fontId="12" fillId="5" borderId="26" xfId="2" applyNumberFormat="1" applyFont="1" applyFill="1" applyBorder="1" applyAlignment="1" applyProtection="1">
      <alignment horizontal="center"/>
      <protection locked="0"/>
    </xf>
    <xf numFmtId="0" fontId="16" fillId="0" borderId="0" xfId="2" applyFont="1" applyBorder="1" applyAlignment="1" applyProtection="1">
      <alignment horizontal="center" vertical="center"/>
      <protection locked="0"/>
    </xf>
    <xf numFmtId="0" fontId="17" fillId="0" borderId="23" xfId="2" applyFont="1" applyBorder="1" applyAlignment="1" applyProtection="1">
      <alignment horizontal="center"/>
      <protection locked="0"/>
    </xf>
    <xf numFmtId="0" fontId="18" fillId="0" borderId="24" xfId="2" applyFont="1" applyBorder="1" applyAlignment="1" applyProtection="1">
      <alignment horizontal="center"/>
      <protection locked="0"/>
    </xf>
    <xf numFmtId="0" fontId="12" fillId="0" borderId="0" xfId="2" applyFont="1" applyAlignment="1" applyProtection="1">
      <alignment horizontal="center"/>
      <protection locked="0"/>
    </xf>
    <xf numFmtId="0" fontId="20" fillId="0" borderId="0" xfId="2" applyFont="1" applyBorder="1" applyAlignment="1" applyProtection="1">
      <alignment horizontal="center"/>
      <protection locked="0"/>
    </xf>
    <xf numFmtId="0" fontId="20" fillId="0" borderId="23" xfId="2" applyFont="1" applyBorder="1" applyAlignment="1" applyProtection="1">
      <alignment horizontal="center"/>
      <protection locked="0"/>
    </xf>
    <xf numFmtId="0" fontId="20" fillId="0" borderId="0" xfId="2" applyFont="1" applyBorder="1" applyAlignment="1" applyProtection="1">
      <alignment horizontal="center" wrapText="1"/>
      <protection locked="0"/>
    </xf>
    <xf numFmtId="0" fontId="20" fillId="0" borderId="23" xfId="2" applyFont="1" applyBorder="1" applyAlignment="1" applyProtection="1">
      <alignment horizontal="center" wrapText="1"/>
      <protection locked="0"/>
    </xf>
    <xf numFmtId="0" fontId="12" fillId="0" borderId="27" xfId="2" applyFont="1" applyBorder="1" applyAlignment="1" applyProtection="1">
      <alignment horizontal="center" vertical="top"/>
      <protection locked="0"/>
    </xf>
    <xf numFmtId="0" fontId="12" fillId="0" borderId="30" xfId="2" applyFont="1" applyBorder="1" applyAlignment="1" applyProtection="1">
      <alignment horizontal="center" vertical="top"/>
      <protection locked="0"/>
    </xf>
    <xf numFmtId="0" fontId="12" fillId="0" borderId="26" xfId="2" applyFont="1" applyBorder="1" applyAlignment="1" applyProtection="1">
      <alignment horizontal="center" vertical="top"/>
      <protection locked="0"/>
    </xf>
    <xf numFmtId="0" fontId="19" fillId="0" borderId="27" xfId="2" applyFont="1" applyBorder="1" applyAlignment="1" applyProtection="1">
      <alignment horizontal="center" vertical="center" wrapText="1"/>
      <protection locked="0"/>
    </xf>
    <xf numFmtId="0" fontId="19" fillId="0" borderId="26" xfId="2" applyFont="1" applyBorder="1" applyAlignment="1" applyProtection="1">
      <alignment horizontal="center" vertical="center" wrapText="1"/>
      <protection locked="0"/>
    </xf>
    <xf numFmtId="0" fontId="46" fillId="0" borderId="24" xfId="2" applyFont="1" applyBorder="1" applyAlignment="1">
      <alignment horizontal="center"/>
    </xf>
    <xf numFmtId="0" fontId="13" fillId="6" borderId="32" xfId="2" applyFont="1" applyFill="1" applyBorder="1" applyAlignment="1">
      <alignment horizontal="left" wrapText="1"/>
    </xf>
    <xf numFmtId="0" fontId="25" fillId="6" borderId="27" xfId="2" applyFont="1" applyFill="1" applyBorder="1" applyAlignment="1">
      <alignment horizontal="left" wrapText="1"/>
    </xf>
    <xf numFmtId="0" fontId="25" fillId="6" borderId="30" xfId="2" applyFont="1" applyFill="1" applyBorder="1" applyAlignment="1">
      <alignment horizontal="left" wrapText="1"/>
    </xf>
    <xf numFmtId="0" fontId="13" fillId="6" borderId="27" xfId="2" applyFont="1" applyFill="1" applyBorder="1" applyAlignment="1">
      <alignment horizontal="left" wrapText="1"/>
    </xf>
    <xf numFmtId="0" fontId="13" fillId="6" borderId="30" xfId="2" applyFont="1" applyFill="1" applyBorder="1" applyAlignment="1">
      <alignment horizontal="left" wrapText="1"/>
    </xf>
    <xf numFmtId="0" fontId="13" fillId="6" borderId="30" xfId="2" applyFont="1" applyFill="1" applyBorder="1" applyAlignment="1">
      <alignment horizontal="center" wrapText="1"/>
    </xf>
    <xf numFmtId="0" fontId="11" fillId="0" borderId="32" xfId="2" applyBorder="1" applyAlignment="1">
      <alignment horizontal="left"/>
    </xf>
    <xf numFmtId="0" fontId="11" fillId="0" borderId="30" xfId="2" applyBorder="1" applyAlignment="1">
      <alignment horizontal="left"/>
    </xf>
    <xf numFmtId="0" fontId="19" fillId="6" borderId="0" xfId="2" applyFont="1" applyFill="1" applyBorder="1" applyAlignment="1">
      <alignment horizontal="left"/>
    </xf>
    <xf numFmtId="0" fontId="13" fillId="6" borderId="0" xfId="2" applyFont="1" applyFill="1" applyBorder="1" applyAlignment="1">
      <alignment horizontal="left"/>
    </xf>
    <xf numFmtId="0" fontId="11" fillId="6" borderId="27" xfId="2" applyFill="1" applyBorder="1" applyAlignment="1">
      <alignment horizontal="left"/>
    </xf>
    <xf numFmtId="0" fontId="11" fillId="6" borderId="26" xfId="2" applyFill="1" applyBorder="1" applyAlignment="1">
      <alignment horizontal="left"/>
    </xf>
    <xf numFmtId="2" fontId="11" fillId="6" borderId="27" xfId="2" applyNumberFormat="1" applyFill="1" applyBorder="1" applyAlignment="1">
      <alignment horizontal="left"/>
    </xf>
    <xf numFmtId="2" fontId="11" fillId="6" borderId="26" xfId="2" applyNumberFormat="1" applyFill="1" applyBorder="1" applyAlignment="1">
      <alignment horizontal="left"/>
    </xf>
    <xf numFmtId="0" fontId="13" fillId="6" borderId="30" xfId="2" applyFont="1" applyFill="1" applyBorder="1" applyAlignment="1">
      <alignment horizontal="center"/>
    </xf>
    <xf numFmtId="0" fontId="11" fillId="6" borderId="27" xfId="2" applyFill="1" applyBorder="1" applyAlignment="1">
      <alignment horizontal="left" vertical="top" wrapText="1"/>
    </xf>
    <xf numFmtId="0" fontId="11" fillId="6" borderId="30" xfId="2" applyFill="1" applyBorder="1" applyAlignment="1">
      <alignment horizontal="left" vertical="top" wrapText="1"/>
    </xf>
    <xf numFmtId="0" fontId="11" fillId="6" borderId="26" xfId="2" applyFill="1" applyBorder="1" applyAlignment="1">
      <alignment horizontal="left" vertical="top" wrapText="1"/>
    </xf>
    <xf numFmtId="0" fontId="11" fillId="6" borderId="18" xfId="2" applyFill="1" applyBorder="1" applyAlignment="1">
      <alignment horizontal="left" vertical="top" wrapText="1"/>
    </xf>
    <xf numFmtId="0" fontId="11" fillId="6" borderId="20" xfId="2" applyFill="1" applyBorder="1" applyAlignment="1">
      <alignment horizontal="left" vertical="top" wrapText="1"/>
    </xf>
    <xf numFmtId="0" fontId="11" fillId="6" borderId="34" xfId="2" applyFill="1" applyBorder="1" applyAlignment="1">
      <alignment horizontal="left" vertical="top" wrapText="1"/>
    </xf>
    <xf numFmtId="0" fontId="11" fillId="6" borderId="32" xfId="2" applyFill="1" applyBorder="1" applyAlignment="1">
      <alignment horizontal="left" vertical="top" wrapText="1"/>
    </xf>
    <xf numFmtId="0" fontId="11" fillId="6" borderId="27" xfId="2" applyFill="1" applyBorder="1" applyAlignment="1">
      <alignment horizontal="center" vertical="top" wrapText="1"/>
    </xf>
    <xf numFmtId="0" fontId="11" fillId="6" borderId="30" xfId="2" applyFill="1" applyBorder="1" applyAlignment="1">
      <alignment horizontal="center" vertical="top" wrapText="1"/>
    </xf>
    <xf numFmtId="0" fontId="11" fillId="6" borderId="26" xfId="2" applyFill="1" applyBorder="1" applyAlignment="1">
      <alignment horizontal="center" vertical="top" wrapText="1"/>
    </xf>
    <xf numFmtId="0" fontId="11" fillId="6" borderId="24" xfId="2" applyFill="1" applyBorder="1" applyAlignment="1">
      <alignment horizontal="center"/>
    </xf>
    <xf numFmtId="0" fontId="25" fillId="6" borderId="24" xfId="2" applyFont="1" applyFill="1" applyBorder="1" applyAlignment="1">
      <alignment horizontal="left"/>
    </xf>
    <xf numFmtId="15" fontId="25" fillId="6" borderId="18" xfId="2" applyNumberFormat="1" applyFont="1" applyFill="1" applyBorder="1" applyAlignment="1">
      <alignment horizontal="center"/>
    </xf>
    <xf numFmtId="20" fontId="25" fillId="6" borderId="20" xfId="2" applyNumberFormat="1" applyFont="1" applyFill="1" applyBorder="1" applyAlignment="1">
      <alignment horizontal="center"/>
    </xf>
    <xf numFmtId="0" fontId="25" fillId="6" borderId="18" xfId="2" applyFont="1" applyFill="1" applyBorder="1" applyAlignment="1">
      <alignment horizontal="left"/>
    </xf>
    <xf numFmtId="0" fontId="25" fillId="6" borderId="20" xfId="2" applyFont="1" applyFill="1" applyBorder="1" applyAlignment="1">
      <alignment horizontal="left"/>
    </xf>
    <xf numFmtId="14" fontId="25" fillId="6" borderId="18" xfId="2" applyNumberFormat="1" applyFont="1" applyFill="1" applyBorder="1" applyAlignment="1">
      <alignment horizontal="left"/>
    </xf>
    <xf numFmtId="0" fontId="25" fillId="6" borderId="21" xfId="2" applyFont="1" applyFill="1" applyBorder="1" applyAlignment="1">
      <alignment horizontal="left"/>
    </xf>
    <xf numFmtId="0" fontId="25" fillId="6" borderId="34" xfId="2" applyFont="1" applyFill="1" applyBorder="1" applyAlignment="1">
      <alignment horizontal="center"/>
    </xf>
    <xf numFmtId="0" fontId="25" fillId="6" borderId="32" xfId="2" applyFont="1" applyFill="1" applyBorder="1" applyAlignment="1">
      <alignment horizontal="center"/>
    </xf>
    <xf numFmtId="0" fontId="25" fillId="6" borderId="35" xfId="2" applyFont="1" applyFill="1" applyBorder="1" applyAlignment="1">
      <alignment horizontal="center"/>
    </xf>
    <xf numFmtId="0" fontId="13" fillId="0" borderId="34" xfId="2" applyFont="1" applyBorder="1" applyAlignment="1">
      <alignment horizontal="left"/>
    </xf>
    <xf numFmtId="0" fontId="13" fillId="0" borderId="32" xfId="2" applyFont="1" applyBorder="1" applyAlignment="1">
      <alignment horizontal="left"/>
    </xf>
    <xf numFmtId="0" fontId="13" fillId="0" borderId="35" xfId="2" applyFont="1" applyBorder="1" applyAlignment="1">
      <alignment horizontal="left"/>
    </xf>
    <xf numFmtId="20" fontId="43" fillId="6" borderId="34" xfId="2" applyNumberFormat="1" applyFont="1" applyFill="1" applyBorder="1" applyAlignment="1">
      <alignment horizontal="center"/>
    </xf>
    <xf numFmtId="20" fontId="43" fillId="6" borderId="32" xfId="2" applyNumberFormat="1" applyFont="1" applyFill="1" applyBorder="1" applyAlignment="1">
      <alignment horizontal="center"/>
    </xf>
    <xf numFmtId="20" fontId="43" fillId="6" borderId="35" xfId="2" applyNumberFormat="1" applyFont="1" applyFill="1" applyBorder="1" applyAlignment="1">
      <alignment horizontal="center"/>
    </xf>
    <xf numFmtId="0" fontId="11" fillId="6" borderId="18" xfId="2" applyFill="1" applyBorder="1" applyAlignment="1">
      <alignment horizontal="justify" vertical="top" wrapText="1"/>
    </xf>
    <xf numFmtId="0" fontId="11" fillId="6" borderId="20" xfId="2" applyFill="1" applyBorder="1" applyAlignment="1">
      <alignment horizontal="justify" vertical="top" wrapText="1"/>
    </xf>
    <xf numFmtId="0" fontId="11" fillId="6" borderId="21" xfId="2" applyFill="1" applyBorder="1" applyAlignment="1">
      <alignment horizontal="justify" vertical="top" wrapText="1"/>
    </xf>
    <xf numFmtId="0" fontId="11" fillId="6" borderId="22" xfId="2" applyFill="1" applyBorder="1" applyAlignment="1">
      <alignment horizontal="justify" vertical="top" wrapText="1"/>
    </xf>
    <xf numFmtId="0" fontId="11" fillId="6" borderId="0" xfId="2" applyFill="1" applyBorder="1" applyAlignment="1">
      <alignment horizontal="justify" vertical="top" wrapText="1"/>
    </xf>
    <xf numFmtId="0" fontId="11" fillId="6" borderId="23" xfId="2" applyFill="1" applyBorder="1" applyAlignment="1">
      <alignment horizontal="justify" vertical="top" wrapText="1"/>
    </xf>
    <xf numFmtId="0" fontId="13" fillId="6" borderId="24" xfId="2" applyFont="1" applyFill="1" applyBorder="1" applyAlignment="1">
      <alignment horizontal="center" vertical="top" wrapText="1"/>
    </xf>
    <xf numFmtId="0" fontId="11" fillId="6" borderId="32" xfId="2" applyFill="1" applyBorder="1" applyAlignment="1">
      <alignment horizontal="center"/>
    </xf>
    <xf numFmtId="0" fontId="11" fillId="6" borderId="30" xfId="2" applyFill="1" applyBorder="1" applyAlignment="1">
      <alignment horizontal="center"/>
    </xf>
    <xf numFmtId="0" fontId="13" fillId="6" borderId="27" xfId="2" applyFont="1" applyFill="1" applyBorder="1" applyAlignment="1">
      <alignment horizontal="center"/>
    </xf>
    <xf numFmtId="14" fontId="25" fillId="6" borderId="18" xfId="2" applyNumberFormat="1" applyFont="1" applyFill="1" applyBorder="1" applyAlignment="1">
      <alignment horizontal="center"/>
    </xf>
    <xf numFmtId="0" fontId="25" fillId="6" borderId="24" xfId="2" applyFont="1" applyFill="1" applyBorder="1" applyAlignment="1">
      <alignment horizontal="left" vertical="top" wrapText="1"/>
    </xf>
    <xf numFmtId="14" fontId="25" fillId="6" borderId="24" xfId="2" applyNumberFormat="1" applyFont="1" applyFill="1" applyBorder="1" applyAlignment="1">
      <alignment horizontal="center" vertical="top" wrapText="1"/>
    </xf>
    <xf numFmtId="0" fontId="25" fillId="6" borderId="24" xfId="2" applyFont="1" applyFill="1" applyBorder="1" applyAlignment="1">
      <alignment horizontal="center" vertical="top" wrapText="1"/>
    </xf>
    <xf numFmtId="0" fontId="13" fillId="0" borderId="27" xfId="2" applyFont="1" applyBorder="1" applyAlignment="1">
      <alignment horizontal="center"/>
    </xf>
    <xf numFmtId="0" fontId="13" fillId="0" borderId="26" xfId="2" applyFont="1" applyBorder="1" applyAlignment="1">
      <alignment horizontal="center"/>
    </xf>
    <xf numFmtId="0" fontId="13" fillId="0" borderId="34" xfId="2" applyFont="1" applyBorder="1" applyAlignment="1">
      <alignment horizontal="center"/>
    </xf>
    <xf numFmtId="0" fontId="13" fillId="0" borderId="35" xfId="2" applyFont="1" applyBorder="1" applyAlignment="1">
      <alignment horizontal="center"/>
    </xf>
    <xf numFmtId="14" fontId="25" fillId="6" borderId="24" xfId="2" applyNumberFormat="1" applyFont="1" applyFill="1" applyBorder="1" applyAlignment="1">
      <alignment horizontal="center"/>
    </xf>
    <xf numFmtId="0" fontId="25" fillId="0" borderId="24" xfId="2" applyFont="1" applyBorder="1" applyAlignment="1">
      <alignment horizontal="left"/>
    </xf>
    <xf numFmtId="0" fontId="25" fillId="6" borderId="24" xfId="2" applyNumberFormat="1" applyFont="1" applyFill="1" applyBorder="1" applyAlignment="1">
      <alignment horizontal="center"/>
    </xf>
    <xf numFmtId="0" fontId="25" fillId="6" borderId="27" xfId="2" applyFont="1" applyFill="1" applyBorder="1" applyAlignment="1">
      <alignment horizontal="center"/>
    </xf>
    <xf numFmtId="0" fontId="25" fillId="6" borderId="26" xfId="2" applyFont="1" applyFill="1" applyBorder="1" applyAlignment="1">
      <alignment horizontal="center"/>
    </xf>
    <xf numFmtId="0" fontId="13" fillId="6" borderId="26" xfId="2" applyFont="1" applyFill="1" applyBorder="1" applyAlignment="1">
      <alignment horizontal="center"/>
    </xf>
    <xf numFmtId="0" fontId="25" fillId="6" borderId="27" xfId="2" applyFont="1" applyFill="1" applyBorder="1" applyAlignment="1">
      <alignment horizontal="left"/>
    </xf>
    <xf numFmtId="0" fontId="25" fillId="6" borderId="26" xfId="2" applyFont="1" applyFill="1" applyBorder="1" applyAlignment="1">
      <alignment horizontal="left"/>
    </xf>
    <xf numFmtId="15" fontId="25" fillId="6" borderId="24" xfId="2" applyNumberFormat="1" applyFont="1" applyFill="1" applyBorder="1" applyAlignment="1">
      <alignment horizontal="center"/>
    </xf>
    <xf numFmtId="0" fontId="25" fillId="6" borderId="30" xfId="2" applyFont="1" applyFill="1" applyBorder="1" applyAlignment="1">
      <alignment horizontal="left"/>
    </xf>
    <xf numFmtId="1" fontId="25" fillId="6" borderId="18" xfId="2" applyNumberFormat="1" applyFont="1" applyFill="1" applyBorder="1" applyAlignment="1">
      <alignment horizontal="center"/>
    </xf>
    <xf numFmtId="0" fontId="25" fillId="6" borderId="21" xfId="2" applyNumberFormat="1" applyFont="1" applyFill="1" applyBorder="1" applyAlignment="1">
      <alignment horizontal="center"/>
    </xf>
    <xf numFmtId="1" fontId="25" fillId="6" borderId="27" xfId="2" applyNumberFormat="1" applyFont="1" applyFill="1" applyBorder="1" applyAlignment="1">
      <alignment horizontal="center"/>
    </xf>
    <xf numFmtId="0" fontId="25" fillId="6" borderId="26" xfId="2" applyNumberFormat="1" applyFont="1" applyFill="1" applyBorder="1" applyAlignment="1">
      <alignment horizontal="center"/>
    </xf>
    <xf numFmtId="0" fontId="41" fillId="6" borderId="30" xfId="2" applyFont="1" applyFill="1" applyBorder="1" applyAlignment="1">
      <alignment horizontal="center"/>
    </xf>
    <xf numFmtId="0" fontId="25" fillId="6" borderId="18" xfId="2" applyNumberFormat="1" applyFont="1" applyFill="1" applyBorder="1" applyAlignment="1">
      <alignment horizontal="center"/>
    </xf>
    <xf numFmtId="1" fontId="11" fillId="6" borderId="27" xfId="2" applyNumberFormat="1" applyFill="1" applyBorder="1" applyAlignment="1">
      <alignment horizontal="center"/>
    </xf>
    <xf numFmtId="0" fontId="11" fillId="6" borderId="26" xfId="2" applyNumberFormat="1" applyFill="1" applyBorder="1" applyAlignment="1">
      <alignment horizontal="center"/>
    </xf>
    <xf numFmtId="0" fontId="11" fillId="6" borderId="27" xfId="2" applyNumberFormat="1" applyFill="1" applyBorder="1" applyAlignment="1">
      <alignment horizontal="center"/>
    </xf>
    <xf numFmtId="15" fontId="25" fillId="6" borderId="21" xfId="2" applyNumberFormat="1" applyFont="1" applyFill="1" applyBorder="1" applyAlignment="1">
      <alignment horizontal="center"/>
    </xf>
    <xf numFmtId="15" fontId="11" fillId="6" borderId="27" xfId="2" applyNumberFormat="1" applyFill="1" applyBorder="1" applyAlignment="1">
      <alignment horizontal="center"/>
    </xf>
    <xf numFmtId="15" fontId="11" fillId="6" borderId="26" xfId="2" applyNumberFormat="1" applyFill="1" applyBorder="1" applyAlignment="1">
      <alignment horizontal="center"/>
    </xf>
    <xf numFmtId="0" fontId="20" fillId="6" borderId="0" xfId="2" applyFont="1" applyFill="1" applyBorder="1" applyAlignment="1">
      <alignment horizontal="left"/>
    </xf>
    <xf numFmtId="0" fontId="40" fillId="6" borderId="0" xfId="2" applyFont="1" applyFill="1" applyBorder="1" applyAlignment="1">
      <alignment horizontal="center"/>
    </xf>
    <xf numFmtId="1" fontId="11" fillId="6" borderId="27" xfId="2" applyNumberFormat="1" applyFill="1" applyBorder="1" applyAlignment="1">
      <alignment horizontal="left"/>
    </xf>
    <xf numFmtId="1" fontId="11" fillId="6" borderId="26" xfId="2" applyNumberFormat="1" applyFill="1" applyBorder="1" applyAlignment="1">
      <alignment horizontal="left"/>
    </xf>
    <xf numFmtId="0" fontId="13" fillId="6" borderId="24" xfId="2" applyFont="1" applyFill="1" applyBorder="1" applyAlignment="1">
      <alignment horizontal="center"/>
    </xf>
    <xf numFmtId="0" fontId="11" fillId="6" borderId="24" xfId="2" applyFill="1" applyBorder="1" applyAlignment="1">
      <alignment horizontal="left" vertical="top" wrapText="1"/>
    </xf>
    <xf numFmtId="0" fontId="13" fillId="6" borderId="24" xfId="2" applyFont="1" applyFill="1" applyBorder="1" applyAlignment="1">
      <alignment wrapText="1"/>
    </xf>
    <xf numFmtId="0" fontId="11" fillId="6" borderId="18" xfId="2" applyFont="1" applyFill="1" applyBorder="1" applyAlignment="1">
      <alignment horizontal="left" vertical="top" wrapText="1"/>
    </xf>
    <xf numFmtId="0" fontId="25" fillId="6" borderId="20" xfId="2" applyFont="1" applyFill="1" applyBorder="1" applyAlignment="1">
      <alignment horizontal="left" vertical="top" wrapText="1"/>
    </xf>
    <xf numFmtId="0" fontId="25" fillId="6" borderId="21" xfId="2" applyFont="1" applyFill="1" applyBorder="1" applyAlignment="1">
      <alignment horizontal="left" vertical="top" wrapText="1"/>
    </xf>
    <xf numFmtId="0" fontId="25" fillId="6" borderId="34" xfId="2" applyFont="1" applyFill="1" applyBorder="1" applyAlignment="1">
      <alignment horizontal="left" vertical="top" wrapText="1"/>
    </xf>
    <xf numFmtId="0" fontId="25" fillId="6" borderId="32" xfId="2" applyFont="1" applyFill="1" applyBorder="1" applyAlignment="1">
      <alignment horizontal="left" vertical="top" wrapText="1"/>
    </xf>
    <xf numFmtId="0" fontId="25" fillId="6" borderId="35" xfId="2" applyFont="1" applyFill="1" applyBorder="1" applyAlignment="1">
      <alignment horizontal="left" vertical="top"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9"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9" fillId="0" borderId="7" xfId="0" applyFont="1" applyFill="1" applyBorder="1" applyAlignment="1">
      <alignment horizontal="center" vertical="center"/>
    </xf>
    <xf numFmtId="0" fontId="9" fillId="0"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5" xfId="0" applyFont="1" applyFill="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55" xfId="0" applyFill="1" applyBorder="1" applyAlignment="1">
      <alignment horizontal="left" vertical="center" wrapText="1"/>
    </xf>
    <xf numFmtId="0" fontId="0" fillId="0" borderId="56" xfId="0" applyFill="1" applyBorder="1" applyAlignment="1">
      <alignment horizontal="left" vertical="center" wrapText="1"/>
    </xf>
    <xf numFmtId="0" fontId="0" fillId="0" borderId="57" xfId="0" applyFill="1" applyBorder="1" applyAlignment="1">
      <alignment horizontal="left" vertical="center" wrapText="1"/>
    </xf>
    <xf numFmtId="0" fontId="13" fillId="20" borderId="55" xfId="0" applyFont="1" applyFill="1" applyBorder="1" applyAlignment="1">
      <alignment horizontal="center" vertical="top" wrapText="1"/>
    </xf>
    <xf numFmtId="0" fontId="13" fillId="20" borderId="56" xfId="0" applyFont="1" applyFill="1" applyBorder="1" applyAlignment="1">
      <alignment horizontal="center" vertical="top" wrapText="1"/>
    </xf>
    <xf numFmtId="0" fontId="13" fillId="20" borderId="57" xfId="0" applyFont="1" applyFill="1" applyBorder="1" applyAlignment="1">
      <alignment horizontal="center" vertical="top" wrapText="1"/>
    </xf>
    <xf numFmtId="0" fontId="0" fillId="0" borderId="55" xfId="0" applyFill="1" applyBorder="1" applyAlignment="1">
      <alignment horizontal="left" vertical="top" wrapText="1"/>
    </xf>
    <xf numFmtId="0" fontId="0" fillId="0" borderId="56" xfId="0" applyFill="1" applyBorder="1" applyAlignment="1">
      <alignment horizontal="left" vertical="top" wrapText="1"/>
    </xf>
    <xf numFmtId="0" fontId="0" fillId="0" borderId="57" xfId="0" applyFill="1" applyBorder="1" applyAlignment="1">
      <alignment horizontal="left" vertical="top" wrapText="1"/>
    </xf>
    <xf numFmtId="0" fontId="0" fillId="0" borderId="55" xfId="0" applyFill="1" applyBorder="1" applyAlignment="1">
      <alignment horizontal="center" vertical="top" wrapText="1"/>
    </xf>
    <xf numFmtId="0" fontId="0" fillId="0" borderId="56" xfId="0" applyFill="1" applyBorder="1" applyAlignment="1">
      <alignment horizontal="center" vertical="top" wrapText="1"/>
    </xf>
    <xf numFmtId="0" fontId="0" fillId="0" borderId="57" xfId="0" applyFill="1" applyBorder="1" applyAlignment="1">
      <alignment horizontal="center" vertical="top" wrapText="1"/>
    </xf>
    <xf numFmtId="0" fontId="55" fillId="0" borderId="55" xfId="0" applyFont="1" applyFill="1" applyBorder="1" applyAlignment="1">
      <alignment horizontal="left" vertical="top" wrapText="1"/>
    </xf>
    <xf numFmtId="0" fontId="55" fillId="0" borderId="56" xfId="0" applyFont="1" applyFill="1" applyBorder="1" applyAlignment="1">
      <alignment horizontal="left" vertical="top" wrapText="1"/>
    </xf>
    <xf numFmtId="0" fontId="55" fillId="0" borderId="57" xfId="0" applyFont="1" applyFill="1" applyBorder="1" applyAlignment="1">
      <alignment horizontal="left" vertical="top" wrapText="1"/>
    </xf>
    <xf numFmtId="0" fontId="0" fillId="0" borderId="69" xfId="0" applyFill="1" applyBorder="1" applyAlignment="1">
      <alignment horizontal="left" wrapText="1"/>
    </xf>
    <xf numFmtId="0" fontId="0" fillId="0" borderId="70" xfId="0" applyFill="1" applyBorder="1" applyAlignment="1">
      <alignment horizontal="left" wrapText="1"/>
    </xf>
    <xf numFmtId="0" fontId="0" fillId="0" borderId="71" xfId="0" applyFill="1" applyBorder="1" applyAlignment="1">
      <alignment horizontal="left" wrapText="1"/>
    </xf>
    <xf numFmtId="0" fontId="62" fillId="0" borderId="55" xfId="0" applyFont="1" applyFill="1" applyBorder="1" applyAlignment="1">
      <alignment horizontal="left" vertical="top" wrapText="1"/>
    </xf>
    <xf numFmtId="0" fontId="62" fillId="0" borderId="56" xfId="0" applyFont="1" applyFill="1" applyBorder="1" applyAlignment="1">
      <alignment horizontal="left" vertical="top" wrapText="1"/>
    </xf>
    <xf numFmtId="0" fontId="62" fillId="0" borderId="57" xfId="0" applyFont="1" applyFill="1" applyBorder="1" applyAlignment="1">
      <alignment horizontal="left" vertical="top" wrapText="1"/>
    </xf>
    <xf numFmtId="0" fontId="0" fillId="0" borderId="74" xfId="0" applyFill="1" applyBorder="1" applyAlignment="1">
      <alignment horizontal="left" wrapText="1"/>
    </xf>
    <xf numFmtId="0" fontId="0" fillId="0" borderId="76" xfId="0" applyFill="1" applyBorder="1" applyAlignment="1">
      <alignment horizontal="left" wrapText="1"/>
    </xf>
    <xf numFmtId="0" fontId="0" fillId="0" borderId="75" xfId="0" applyFill="1" applyBorder="1" applyAlignment="1">
      <alignment horizontal="left" wrapText="1"/>
    </xf>
    <xf numFmtId="0" fontId="62" fillId="21" borderId="69" xfId="0" applyFont="1" applyFill="1" applyBorder="1" applyAlignment="1">
      <alignment horizontal="left" vertical="top" wrapText="1"/>
    </xf>
    <xf numFmtId="0" fontId="62" fillId="21" borderId="70" xfId="0" applyFont="1" applyFill="1" applyBorder="1" applyAlignment="1">
      <alignment horizontal="left" vertical="top" wrapText="1"/>
    </xf>
    <xf numFmtId="0" fontId="62" fillId="21" borderId="71" xfId="0" applyFont="1" applyFill="1" applyBorder="1" applyAlignment="1">
      <alignment horizontal="left" vertical="top" wrapText="1"/>
    </xf>
    <xf numFmtId="0" fontId="0" fillId="21" borderId="79" xfId="0" applyFill="1" applyBorder="1" applyAlignment="1">
      <alignment horizontal="left" wrapText="1"/>
    </xf>
    <xf numFmtId="0" fontId="0" fillId="21" borderId="0" xfId="0" applyFill="1" applyBorder="1" applyAlignment="1">
      <alignment horizontal="left" wrapText="1"/>
    </xf>
    <xf numFmtId="0" fontId="0" fillId="18" borderId="0" xfId="0" applyFill="1" applyBorder="1" applyAlignment="1">
      <alignment horizontal="left" wrapText="1"/>
    </xf>
    <xf numFmtId="0" fontId="0" fillId="0" borderId="79" xfId="0" applyFill="1" applyBorder="1" applyAlignment="1">
      <alignment horizontal="left" vertical="center" wrapText="1"/>
    </xf>
    <xf numFmtId="0" fontId="0" fillId="0" borderId="0" xfId="0" applyFill="1" applyBorder="1" applyAlignment="1">
      <alignment horizontal="left" vertical="center" wrapText="1"/>
    </xf>
    <xf numFmtId="0" fontId="55" fillId="18" borderId="55" xfId="0" applyFont="1" applyFill="1" applyBorder="1" applyAlignment="1">
      <alignment horizontal="center" vertical="top" wrapText="1"/>
    </xf>
    <xf numFmtId="0" fontId="55" fillId="18" borderId="57" xfId="0" applyFont="1" applyFill="1" applyBorder="1" applyAlignment="1">
      <alignment horizontal="center" vertical="top" wrapText="1"/>
    </xf>
    <xf numFmtId="0" fontId="55" fillId="18" borderId="55" xfId="0" applyFont="1" applyFill="1" applyBorder="1" applyAlignment="1">
      <alignment horizontal="left" vertical="top" wrapText="1"/>
    </xf>
    <xf numFmtId="0" fontId="55" fillId="18" borderId="56" xfId="0" applyFont="1" applyFill="1" applyBorder="1" applyAlignment="1">
      <alignment horizontal="left" vertical="top" wrapText="1"/>
    </xf>
    <xf numFmtId="0" fontId="55" fillId="18" borderId="57" xfId="0" applyFont="1" applyFill="1" applyBorder="1" applyAlignment="1">
      <alignment horizontal="left" vertical="top" wrapText="1"/>
    </xf>
    <xf numFmtId="0" fontId="0" fillId="0" borderId="80" xfId="0" applyFill="1" applyBorder="1" applyAlignment="1">
      <alignment horizontal="left" vertical="center" wrapText="1"/>
    </xf>
    <xf numFmtId="1" fontId="63" fillId="0" borderId="55" xfId="0" applyNumberFormat="1" applyFont="1" applyFill="1" applyBorder="1" applyAlignment="1">
      <alignment horizontal="center" vertical="top" shrinkToFit="1"/>
    </xf>
    <xf numFmtId="1" fontId="63" fillId="0" borderId="57" xfId="0" applyNumberFormat="1" applyFont="1" applyFill="1" applyBorder="1" applyAlignment="1">
      <alignment horizontal="center" vertical="top" shrinkToFit="1"/>
    </xf>
    <xf numFmtId="0" fontId="51" fillId="17" borderId="55" xfId="0" applyFont="1" applyFill="1" applyBorder="1" applyAlignment="1">
      <alignment horizontal="center" vertical="top" wrapText="1"/>
    </xf>
    <xf numFmtId="0" fontId="51" fillId="17" borderId="56" xfId="0" applyFont="1" applyFill="1" applyBorder="1" applyAlignment="1">
      <alignment horizontal="center" vertical="top" wrapText="1"/>
    </xf>
    <xf numFmtId="0" fontId="51" fillId="17" borderId="57" xfId="0" applyFont="1" applyFill="1" applyBorder="1" applyAlignment="1">
      <alignment horizontal="center" vertical="top" wrapText="1"/>
    </xf>
    <xf numFmtId="0" fontId="52" fillId="17" borderId="55" xfId="0" applyFont="1" applyFill="1" applyBorder="1" applyAlignment="1">
      <alignment horizontal="center" vertical="top" wrapText="1"/>
    </xf>
    <xf numFmtId="0" fontId="52" fillId="17" borderId="56" xfId="0" applyFont="1" applyFill="1" applyBorder="1" applyAlignment="1">
      <alignment horizontal="center" vertical="top" wrapText="1"/>
    </xf>
    <xf numFmtId="0" fontId="52" fillId="17" borderId="57" xfId="0" applyFont="1" applyFill="1" applyBorder="1" applyAlignment="1">
      <alignment horizontal="center" vertical="top" wrapText="1"/>
    </xf>
    <xf numFmtId="0" fontId="0" fillId="17" borderId="55" xfId="0" applyFill="1" applyBorder="1" applyAlignment="1">
      <alignment horizontal="center" vertical="top" wrapText="1"/>
    </xf>
    <xf numFmtId="0" fontId="0" fillId="17" borderId="56" xfId="0" applyFill="1" applyBorder="1" applyAlignment="1">
      <alignment horizontal="center" vertical="top" wrapText="1"/>
    </xf>
    <xf numFmtId="0" fontId="0" fillId="17" borderId="57" xfId="0" applyFill="1" applyBorder="1" applyAlignment="1">
      <alignment horizontal="center" vertical="top" wrapText="1"/>
    </xf>
    <xf numFmtId="0" fontId="0" fillId="0" borderId="55" xfId="0" applyFill="1" applyBorder="1" applyAlignment="1">
      <alignment horizontal="right" vertical="top" wrapText="1" indent="31"/>
    </xf>
    <xf numFmtId="0" fontId="0" fillId="0" borderId="56" xfId="0" applyFill="1" applyBorder="1" applyAlignment="1">
      <alignment horizontal="right" vertical="top" wrapText="1" indent="31"/>
    </xf>
    <xf numFmtId="0" fontId="0" fillId="0" borderId="57" xfId="0" applyFill="1" applyBorder="1" applyAlignment="1">
      <alignment horizontal="right" vertical="top" wrapText="1" indent="31"/>
    </xf>
    <xf numFmtId="0" fontId="42" fillId="18" borderId="69" xfId="0" applyFont="1" applyFill="1" applyBorder="1" applyAlignment="1">
      <alignment horizontal="center" vertical="top" wrapText="1"/>
    </xf>
    <xf numFmtId="0" fontId="42" fillId="18" borderId="70" xfId="0" applyFont="1" applyFill="1" applyBorder="1" applyAlignment="1">
      <alignment horizontal="center" vertical="top" wrapText="1"/>
    </xf>
    <xf numFmtId="0" fontId="42" fillId="18" borderId="71" xfId="0" applyFont="1" applyFill="1" applyBorder="1" applyAlignment="1">
      <alignment horizontal="center" vertical="top" wrapText="1"/>
    </xf>
    <xf numFmtId="4" fontId="59" fillId="19" borderId="69" xfId="0" applyNumberFormat="1" applyFont="1" applyFill="1" applyBorder="1" applyAlignment="1">
      <alignment horizontal="center" vertical="top" shrinkToFit="1"/>
    </xf>
    <xf numFmtId="4" fontId="59" fillId="19" borderId="70" xfId="0" applyNumberFormat="1" applyFont="1" applyFill="1" applyBorder="1" applyAlignment="1">
      <alignment horizontal="center" vertical="top" shrinkToFit="1"/>
    </xf>
    <xf numFmtId="4" fontId="59" fillId="19" borderId="71" xfId="0" applyNumberFormat="1" applyFont="1" applyFill="1" applyBorder="1" applyAlignment="1">
      <alignment horizontal="center" vertical="top" shrinkToFit="1"/>
    </xf>
    <xf numFmtId="0" fontId="0" fillId="0" borderId="0" xfId="0" applyFill="1" applyBorder="1" applyAlignment="1">
      <alignment horizontal="left" wrapText="1"/>
    </xf>
    <xf numFmtId="0" fontId="0" fillId="0" borderId="0" xfId="0" applyFill="1" applyBorder="1" applyAlignment="1">
      <alignment horizontal="left" vertical="top" wrapText="1" indent="2"/>
    </xf>
    <xf numFmtId="0" fontId="54" fillId="0" borderId="79" xfId="0" applyFont="1" applyFill="1" applyBorder="1" applyAlignment="1">
      <alignment horizontal="left" vertical="top" wrapText="1" indent="4"/>
    </xf>
    <xf numFmtId="0" fontId="54" fillId="0" borderId="0" xfId="0" applyFont="1" applyFill="1" applyBorder="1" applyAlignment="1">
      <alignment horizontal="left" vertical="top" wrapText="1" indent="4"/>
    </xf>
    <xf numFmtId="4" fontId="59" fillId="0" borderId="0" xfId="0" applyNumberFormat="1" applyFont="1" applyFill="1" applyBorder="1" applyAlignment="1">
      <alignment horizontal="center" vertical="top" shrinkToFit="1"/>
    </xf>
    <xf numFmtId="2" fontId="59" fillId="0" borderId="0" xfId="0" applyNumberFormat="1" applyFont="1" applyFill="1" applyBorder="1" applyAlignment="1">
      <alignment horizontal="center" vertical="top" shrinkToFit="1"/>
    </xf>
    <xf numFmtId="2" fontId="59" fillId="0" borderId="80" xfId="0" applyNumberFormat="1" applyFont="1" applyFill="1" applyBorder="1" applyAlignment="1">
      <alignment horizontal="center" vertical="top" shrinkToFit="1"/>
    </xf>
    <xf numFmtId="0" fontId="54" fillId="0" borderId="74" xfId="0" applyFont="1" applyFill="1" applyBorder="1" applyAlignment="1">
      <alignment horizontal="left" vertical="top" wrapText="1" indent="4"/>
    </xf>
    <xf numFmtId="0" fontId="54" fillId="0" borderId="76" xfId="0" applyFont="1" applyFill="1" applyBorder="1" applyAlignment="1">
      <alignment horizontal="left" vertical="top" wrapText="1" indent="4"/>
    </xf>
    <xf numFmtId="2" fontId="59" fillId="0" borderId="76" xfId="0" applyNumberFormat="1" applyFont="1" applyFill="1" applyBorder="1" applyAlignment="1">
      <alignment horizontal="center" vertical="top" shrinkToFit="1"/>
    </xf>
    <xf numFmtId="4" fontId="59" fillId="0" borderId="76" xfId="0" applyNumberFormat="1" applyFont="1" applyFill="1" applyBorder="1" applyAlignment="1">
      <alignment horizontal="center" vertical="top" shrinkToFit="1"/>
    </xf>
    <xf numFmtId="4" fontId="59" fillId="0" borderId="75" xfId="0" applyNumberFormat="1" applyFont="1" applyFill="1" applyBorder="1" applyAlignment="1">
      <alignment horizontal="center" vertical="top" shrinkToFit="1"/>
    </xf>
    <xf numFmtId="0" fontId="54" fillId="0" borderId="79" xfId="0" applyFont="1" applyFill="1" applyBorder="1" applyAlignment="1">
      <alignment horizontal="right" vertical="top" wrapText="1" indent="2"/>
    </xf>
    <xf numFmtId="0" fontId="54" fillId="0" borderId="0" xfId="0" applyFont="1" applyFill="1" applyBorder="1" applyAlignment="1">
      <alignment horizontal="right" vertical="top" wrapText="1" indent="2"/>
    </xf>
    <xf numFmtId="0" fontId="54" fillId="0" borderId="79" xfId="0" applyFont="1" applyFill="1" applyBorder="1" applyAlignment="1">
      <alignment horizontal="right" vertical="top" wrapText="1" indent="3"/>
    </xf>
    <xf numFmtId="0" fontId="54" fillId="0" borderId="0" xfId="0" applyFont="1" applyFill="1" applyBorder="1" applyAlignment="1">
      <alignment horizontal="right" vertical="top" wrapText="1" indent="3"/>
    </xf>
    <xf numFmtId="4" fontId="59" fillId="0" borderId="80" xfId="0" applyNumberFormat="1" applyFont="1" applyFill="1" applyBorder="1" applyAlignment="1">
      <alignment horizontal="center" vertical="top" shrinkToFit="1"/>
    </xf>
    <xf numFmtId="0" fontId="54" fillId="0" borderId="69" xfId="0" applyFont="1" applyFill="1" applyBorder="1" applyAlignment="1">
      <alignment horizontal="right" wrapText="1" indent="2"/>
    </xf>
    <xf numFmtId="0" fontId="54" fillId="0" borderId="70" xfId="0" applyFont="1" applyFill="1" applyBorder="1" applyAlignment="1">
      <alignment horizontal="right" wrapText="1" indent="2"/>
    </xf>
    <xf numFmtId="2" fontId="59" fillId="0" borderId="70" xfId="0" applyNumberFormat="1" applyFont="1" applyFill="1" applyBorder="1" applyAlignment="1">
      <alignment horizontal="center" shrinkToFit="1"/>
    </xf>
    <xf numFmtId="4" fontId="59" fillId="0" borderId="70" xfId="0" applyNumberFormat="1" applyFont="1" applyFill="1" applyBorder="1" applyAlignment="1">
      <alignment horizontal="center" shrinkToFit="1"/>
    </xf>
    <xf numFmtId="4" fontId="59" fillId="0" borderId="71" xfId="0" applyNumberFormat="1" applyFont="1" applyFill="1" applyBorder="1" applyAlignment="1">
      <alignment horizontal="center" shrinkToFit="1"/>
    </xf>
    <xf numFmtId="0" fontId="0" fillId="0" borderId="0" xfId="0" applyFill="1" applyBorder="1" applyAlignment="1">
      <alignment horizontal="left" vertical="top" wrapText="1"/>
    </xf>
    <xf numFmtId="0" fontId="42" fillId="18" borderId="55" xfId="0" applyFont="1" applyFill="1" applyBorder="1" applyAlignment="1">
      <alignment horizontal="center" vertical="top" wrapText="1"/>
    </xf>
    <xf numFmtId="0" fontId="42" fillId="18" borderId="56" xfId="0" applyFont="1" applyFill="1" applyBorder="1" applyAlignment="1">
      <alignment horizontal="center" vertical="top" wrapText="1"/>
    </xf>
    <xf numFmtId="0" fontId="42" fillId="18" borderId="57" xfId="0" applyFont="1" applyFill="1" applyBorder="1" applyAlignment="1">
      <alignment horizontal="center" vertical="top" wrapText="1"/>
    </xf>
    <xf numFmtId="0" fontId="42" fillId="18" borderId="55" xfId="0" applyFont="1" applyFill="1" applyBorder="1" applyAlignment="1">
      <alignment horizontal="left" vertical="top" wrapText="1" indent="4"/>
    </xf>
    <xf numFmtId="0" fontId="42" fillId="18" borderId="56" xfId="0" applyFont="1" applyFill="1" applyBorder="1" applyAlignment="1">
      <alignment horizontal="left" vertical="top" wrapText="1" indent="4"/>
    </xf>
    <xf numFmtId="0" fontId="42" fillId="18" borderId="57" xfId="0" applyFont="1" applyFill="1" applyBorder="1" applyAlignment="1">
      <alignment horizontal="left" vertical="top" wrapText="1" indent="4"/>
    </xf>
    <xf numFmtId="0" fontId="54" fillId="0" borderId="55" xfId="0" applyFont="1" applyFill="1" applyBorder="1" applyAlignment="1">
      <alignment horizontal="left" vertical="top" wrapText="1" indent="46"/>
    </xf>
    <xf numFmtId="0" fontId="54" fillId="0" borderId="56" xfId="0" applyFont="1" applyFill="1" applyBorder="1" applyAlignment="1">
      <alignment horizontal="left" vertical="top" wrapText="1" indent="46"/>
    </xf>
    <xf numFmtId="0" fontId="54" fillId="0" borderId="57" xfId="0" applyFont="1" applyFill="1" applyBorder="1" applyAlignment="1">
      <alignment horizontal="left" vertical="top" wrapText="1" indent="46"/>
    </xf>
    <xf numFmtId="0" fontId="55" fillId="0" borderId="74" xfId="0" applyFont="1" applyFill="1" applyBorder="1" applyAlignment="1">
      <alignment horizontal="left" vertical="top" wrapText="1" indent="8"/>
    </xf>
    <xf numFmtId="0" fontId="55" fillId="0" borderId="76" xfId="0" applyFont="1" applyFill="1" applyBorder="1" applyAlignment="1">
      <alignment horizontal="left" vertical="top" wrapText="1" indent="8"/>
    </xf>
    <xf numFmtId="0" fontId="0" fillId="0" borderId="76" xfId="0" applyFill="1" applyBorder="1" applyAlignment="1">
      <alignment horizontal="left" vertical="center" wrapText="1"/>
    </xf>
    <xf numFmtId="0" fontId="54" fillId="0" borderId="76" xfId="0" applyFont="1" applyFill="1" applyBorder="1" applyAlignment="1">
      <alignment horizontal="left" vertical="top" wrapText="1" indent="2"/>
    </xf>
    <xf numFmtId="0" fontId="54" fillId="0" borderId="75" xfId="0" applyFont="1" applyFill="1" applyBorder="1" applyAlignment="1">
      <alignment horizontal="left" vertical="top" wrapText="1" indent="2"/>
    </xf>
    <xf numFmtId="2" fontId="59" fillId="0" borderId="74" xfId="0" applyNumberFormat="1" applyFont="1" applyFill="1" applyBorder="1" applyAlignment="1">
      <alignment horizontal="center" vertical="top" shrinkToFit="1"/>
    </xf>
    <xf numFmtId="2" fontId="59" fillId="0" borderId="75" xfId="0" applyNumberFormat="1" applyFont="1" applyFill="1" applyBorder="1" applyAlignment="1">
      <alignment horizontal="center" vertical="top" shrinkToFit="1"/>
    </xf>
    <xf numFmtId="0" fontId="0" fillId="0" borderId="55" xfId="0" applyFill="1" applyBorder="1" applyAlignment="1">
      <alignment horizontal="left" vertical="top" wrapText="1" indent="13"/>
    </xf>
    <xf numFmtId="0" fontId="0" fillId="0" borderId="56" xfId="0" applyFill="1" applyBorder="1" applyAlignment="1">
      <alignment horizontal="left" vertical="top" wrapText="1" indent="13"/>
    </xf>
    <xf numFmtId="0" fontId="0" fillId="0" borderId="57" xfId="0" applyFill="1" applyBorder="1" applyAlignment="1">
      <alignment horizontal="left" vertical="top" wrapText="1" indent="13"/>
    </xf>
    <xf numFmtId="0" fontId="52" fillId="0" borderId="55" xfId="0" applyFont="1" applyFill="1" applyBorder="1" applyAlignment="1">
      <alignment horizontal="left" vertical="top" wrapText="1" indent="2"/>
    </xf>
    <xf numFmtId="0" fontId="52" fillId="0" borderId="56" xfId="0" applyFont="1" applyFill="1" applyBorder="1" applyAlignment="1">
      <alignment horizontal="left" vertical="top" wrapText="1" indent="2"/>
    </xf>
    <xf numFmtId="0" fontId="52" fillId="0" borderId="57" xfId="0" applyFont="1" applyFill="1" applyBorder="1" applyAlignment="1">
      <alignment horizontal="left" vertical="top" wrapText="1" indent="2"/>
    </xf>
    <xf numFmtId="0" fontId="0" fillId="18" borderId="74" xfId="0" applyFill="1" applyBorder="1" applyAlignment="1">
      <alignment horizontal="left" wrapText="1"/>
    </xf>
    <xf numFmtId="0" fontId="0" fillId="18" borderId="75" xfId="0" applyFill="1" applyBorder="1" applyAlignment="1">
      <alignment horizontal="left" wrapText="1"/>
    </xf>
    <xf numFmtId="0" fontId="13" fillId="0" borderId="55" xfId="0" applyFont="1" applyFill="1" applyBorder="1" applyAlignment="1">
      <alignment horizontal="center" vertical="top" wrapText="1"/>
    </xf>
    <xf numFmtId="0" fontId="13" fillId="0" borderId="56" xfId="0" applyFont="1" applyFill="1" applyBorder="1" applyAlignment="1">
      <alignment horizontal="center" vertical="top" wrapText="1"/>
    </xf>
    <xf numFmtId="0" fontId="13" fillId="0" borderId="57" xfId="0" applyFont="1" applyFill="1" applyBorder="1" applyAlignment="1">
      <alignment horizontal="center" vertical="top" wrapText="1"/>
    </xf>
    <xf numFmtId="0" fontId="54" fillId="0" borderId="55" xfId="0" applyFont="1" applyFill="1" applyBorder="1" applyAlignment="1">
      <alignment horizontal="center" vertical="top" wrapText="1"/>
    </xf>
    <xf numFmtId="0" fontId="54" fillId="0" borderId="57" xfId="0" applyFont="1" applyFill="1" applyBorder="1" applyAlignment="1">
      <alignment horizontal="center" vertical="top" wrapText="1"/>
    </xf>
    <xf numFmtId="4" fontId="59" fillId="0" borderId="55" xfId="0" applyNumberFormat="1" applyFont="1" applyFill="1" applyBorder="1" applyAlignment="1">
      <alignment horizontal="left" vertical="top" indent="5" shrinkToFit="1"/>
    </xf>
    <xf numFmtId="4" fontId="59" fillId="0" borderId="57" xfId="0" applyNumberFormat="1" applyFont="1" applyFill="1" applyBorder="1" applyAlignment="1">
      <alignment horizontal="left" vertical="top" indent="5" shrinkToFit="1"/>
    </xf>
    <xf numFmtId="4" fontId="59" fillId="0" borderId="56" xfId="0" applyNumberFormat="1" applyFont="1" applyFill="1" applyBorder="1" applyAlignment="1">
      <alignment horizontal="left" vertical="top" indent="5" shrinkToFit="1"/>
    </xf>
    <xf numFmtId="0" fontId="55" fillId="0" borderId="69" xfId="0" applyFont="1" applyFill="1" applyBorder="1" applyAlignment="1">
      <alignment horizontal="left" vertical="center" wrapText="1" indent="6"/>
    </xf>
    <xf numFmtId="0" fontId="55" fillId="0" borderId="70" xfId="0" applyFont="1" applyFill="1" applyBorder="1" applyAlignment="1">
      <alignment horizontal="left" vertical="center" wrapText="1" indent="6"/>
    </xf>
    <xf numFmtId="0" fontId="0" fillId="0" borderId="70" xfId="0" applyFill="1" applyBorder="1" applyAlignment="1">
      <alignment horizontal="left" vertical="center" wrapText="1"/>
    </xf>
    <xf numFmtId="0" fontId="54" fillId="0" borderId="70" xfId="0" applyFont="1" applyFill="1" applyBorder="1" applyAlignment="1">
      <alignment horizontal="right" vertical="top" wrapText="1" indent="1"/>
    </xf>
    <xf numFmtId="0" fontId="54" fillId="0" borderId="71" xfId="0" applyFont="1" applyFill="1" applyBorder="1" applyAlignment="1">
      <alignment horizontal="right" vertical="top" wrapText="1" indent="1"/>
    </xf>
    <xf numFmtId="0" fontId="54" fillId="0" borderId="69" xfId="0" applyFont="1" applyFill="1" applyBorder="1" applyAlignment="1">
      <alignment horizontal="left" vertical="top" wrapText="1" indent="3"/>
    </xf>
    <xf numFmtId="0" fontId="54" fillId="0" borderId="70" xfId="0" applyFont="1" applyFill="1" applyBorder="1" applyAlignment="1">
      <alignment horizontal="left" vertical="top" wrapText="1" indent="3"/>
    </xf>
    <xf numFmtId="0" fontId="54" fillId="0" borderId="71" xfId="0" applyFont="1" applyFill="1" applyBorder="1" applyAlignment="1">
      <alignment horizontal="left" vertical="top" wrapText="1" indent="3"/>
    </xf>
    <xf numFmtId="0" fontId="0" fillId="18" borderId="76" xfId="0" applyFill="1" applyBorder="1" applyAlignment="1">
      <alignment horizontal="left" wrapText="1"/>
    </xf>
    <xf numFmtId="0" fontId="0" fillId="18" borderId="69" xfId="0" applyFill="1" applyBorder="1" applyAlignment="1">
      <alignment horizontal="left" vertical="center" wrapText="1"/>
    </xf>
    <xf numFmtId="0" fontId="0" fillId="18" borderId="71" xfId="0" applyFill="1" applyBorder="1" applyAlignment="1">
      <alignment horizontal="left" vertical="center" wrapText="1"/>
    </xf>
    <xf numFmtId="0" fontId="0" fillId="18" borderId="79" xfId="0" applyFill="1" applyBorder="1" applyAlignment="1">
      <alignment horizontal="left" vertical="center" wrapText="1"/>
    </xf>
    <xf numFmtId="0" fontId="0" fillId="18" borderId="80" xfId="0" applyFill="1" applyBorder="1" applyAlignment="1">
      <alignment horizontal="left" vertical="center" wrapText="1"/>
    </xf>
    <xf numFmtId="0" fontId="0" fillId="18" borderId="79" xfId="0" applyFill="1" applyBorder="1" applyAlignment="1">
      <alignment horizontal="left" wrapText="1"/>
    </xf>
    <xf numFmtId="0" fontId="0" fillId="18" borderId="80" xfId="0" applyFill="1" applyBorder="1" applyAlignment="1">
      <alignment horizontal="left" wrapText="1"/>
    </xf>
    <xf numFmtId="1" fontId="59" fillId="19" borderId="79" xfId="0" applyNumberFormat="1" applyFont="1" applyFill="1" applyBorder="1" applyAlignment="1">
      <alignment horizontal="left" vertical="top" indent="1" shrinkToFit="1"/>
    </xf>
    <xf numFmtId="1" fontId="59" fillId="19" borderId="80" xfId="0" applyNumberFormat="1" applyFont="1" applyFill="1" applyBorder="1" applyAlignment="1">
      <alignment horizontal="left" vertical="top" indent="1" shrinkToFit="1"/>
    </xf>
    <xf numFmtId="0" fontId="54" fillId="19" borderId="79" xfId="0" applyFont="1" applyFill="1" applyBorder="1" applyAlignment="1">
      <alignment horizontal="left" vertical="top" wrapText="1"/>
    </xf>
    <xf numFmtId="0" fontId="54" fillId="19" borderId="80" xfId="0" applyFont="1" applyFill="1" applyBorder="1" applyAlignment="1">
      <alignment horizontal="left" vertical="top" wrapText="1"/>
    </xf>
    <xf numFmtId="0" fontId="54" fillId="19" borderId="0" xfId="0" applyFont="1" applyFill="1" applyBorder="1" applyAlignment="1">
      <alignment horizontal="left" vertical="top" wrapText="1"/>
    </xf>
    <xf numFmtId="1" fontId="59" fillId="19" borderId="79" xfId="0" applyNumberFormat="1" applyFont="1" applyFill="1" applyBorder="1" applyAlignment="1">
      <alignment horizontal="center" vertical="top" shrinkToFit="1"/>
    </xf>
    <xf numFmtId="1" fontId="59" fillId="19" borderId="80" xfId="0" applyNumberFormat="1" applyFont="1" applyFill="1" applyBorder="1" applyAlignment="1">
      <alignment horizontal="center" vertical="top" shrinkToFit="1"/>
    </xf>
    <xf numFmtId="0" fontId="54" fillId="19" borderId="79" xfId="0" applyFont="1" applyFill="1" applyBorder="1" applyAlignment="1">
      <alignment horizontal="center" vertical="top" wrapText="1"/>
    </xf>
    <xf numFmtId="0" fontId="54" fillId="19" borderId="0" xfId="0" applyFont="1" applyFill="1" applyBorder="1" applyAlignment="1">
      <alignment horizontal="center" vertical="top" wrapText="1"/>
    </xf>
    <xf numFmtId="0" fontId="54" fillId="19" borderId="80" xfId="0" applyFont="1" applyFill="1" applyBorder="1" applyAlignment="1">
      <alignment horizontal="center" vertical="top" wrapText="1"/>
    </xf>
    <xf numFmtId="4" fontId="59" fillId="19" borderId="79" xfId="0" applyNumberFormat="1" applyFont="1" applyFill="1" applyBorder="1" applyAlignment="1">
      <alignment horizontal="center" vertical="top" shrinkToFit="1"/>
    </xf>
    <xf numFmtId="4" fontId="59" fillId="19" borderId="80" xfId="0" applyNumberFormat="1" applyFont="1" applyFill="1" applyBorder="1" applyAlignment="1">
      <alignment horizontal="center" vertical="top" shrinkToFit="1"/>
    </xf>
    <xf numFmtId="4" fontId="59" fillId="19" borderId="79" xfId="0" applyNumberFormat="1" applyFont="1" applyFill="1" applyBorder="1" applyAlignment="1">
      <alignment horizontal="right" vertical="top" indent="1" shrinkToFit="1"/>
    </xf>
    <xf numFmtId="4" fontId="59" fillId="19" borderId="80" xfId="0" applyNumberFormat="1" applyFont="1" applyFill="1" applyBorder="1" applyAlignment="1">
      <alignment horizontal="right" vertical="top" indent="1" shrinkToFit="1"/>
    </xf>
    <xf numFmtId="0" fontId="0" fillId="18" borderId="72" xfId="0" applyFill="1" applyBorder="1" applyAlignment="1">
      <alignment horizontal="left" vertical="center" wrapText="1"/>
    </xf>
    <xf numFmtId="0" fontId="0" fillId="18" borderId="73" xfId="0" applyFill="1" applyBorder="1" applyAlignment="1">
      <alignment horizontal="left" vertical="center" wrapText="1"/>
    </xf>
    <xf numFmtId="0" fontId="42" fillId="18" borderId="69" xfId="0" applyFont="1" applyFill="1" applyBorder="1" applyAlignment="1">
      <alignment horizontal="left" vertical="top" wrapText="1" indent="2"/>
    </xf>
    <xf numFmtId="0" fontId="42" fillId="18" borderId="70" xfId="0" applyFont="1" applyFill="1" applyBorder="1" applyAlignment="1">
      <alignment horizontal="left" vertical="top" wrapText="1" indent="2"/>
    </xf>
    <xf numFmtId="0" fontId="42" fillId="18" borderId="71" xfId="0" applyFont="1" applyFill="1" applyBorder="1" applyAlignment="1">
      <alignment horizontal="left" vertical="top" wrapText="1" indent="2"/>
    </xf>
    <xf numFmtId="0" fontId="0" fillId="18" borderId="70" xfId="0" applyFill="1" applyBorder="1" applyAlignment="1">
      <alignment horizontal="left" vertical="center" wrapText="1"/>
    </xf>
    <xf numFmtId="0" fontId="0" fillId="18" borderId="0" xfId="0" applyFill="1" applyBorder="1" applyAlignment="1">
      <alignment horizontal="left" vertical="center" wrapText="1"/>
    </xf>
    <xf numFmtId="2" fontId="59" fillId="19" borderId="79" xfId="0" applyNumberFormat="1" applyFont="1" applyFill="1" applyBorder="1" applyAlignment="1">
      <alignment horizontal="left" vertical="top" indent="2" shrinkToFit="1"/>
    </xf>
    <xf numFmtId="2" fontId="59" fillId="19" borderId="80" xfId="0" applyNumberFormat="1" applyFont="1" applyFill="1" applyBorder="1" applyAlignment="1">
      <alignment horizontal="left" vertical="top" indent="2" shrinkToFit="1"/>
    </xf>
    <xf numFmtId="4" fontId="59" fillId="19" borderId="0" xfId="0" applyNumberFormat="1" applyFont="1" applyFill="1" applyBorder="1" applyAlignment="1">
      <alignment horizontal="center" vertical="top" shrinkToFit="1"/>
    </xf>
    <xf numFmtId="2" fontId="59" fillId="19" borderId="79" xfId="0" applyNumberFormat="1" applyFont="1" applyFill="1" applyBorder="1" applyAlignment="1">
      <alignment horizontal="center" vertical="top" shrinkToFit="1"/>
    </xf>
    <xf numFmtId="2" fontId="59" fillId="19" borderId="0" xfId="0" applyNumberFormat="1" applyFont="1" applyFill="1" applyBorder="1" applyAlignment="1">
      <alignment horizontal="center" vertical="top" shrinkToFit="1"/>
    </xf>
    <xf numFmtId="2" fontId="59" fillId="19" borderId="80" xfId="0" applyNumberFormat="1" applyFont="1" applyFill="1" applyBorder="1" applyAlignment="1">
      <alignment horizontal="center" vertical="top" shrinkToFit="1"/>
    </xf>
    <xf numFmtId="4" fontId="59" fillId="19" borderId="69" xfId="0" applyNumberFormat="1" applyFont="1" applyFill="1" applyBorder="1" applyAlignment="1">
      <alignment horizontal="right" indent="1" shrinkToFit="1"/>
    </xf>
    <xf numFmtId="4" fontId="59" fillId="19" borderId="71" xfId="0" applyNumberFormat="1" applyFont="1" applyFill="1" applyBorder="1" applyAlignment="1">
      <alignment horizontal="right" indent="1" shrinkToFit="1"/>
    </xf>
    <xf numFmtId="1" fontId="59" fillId="19" borderId="69" xfId="0" applyNumberFormat="1" applyFont="1" applyFill="1" applyBorder="1" applyAlignment="1">
      <alignment horizontal="center" shrinkToFit="1"/>
    </xf>
    <xf numFmtId="1" fontId="59" fillId="19" borderId="71" xfId="0" applyNumberFormat="1" applyFont="1" applyFill="1" applyBorder="1" applyAlignment="1">
      <alignment horizontal="center" shrinkToFit="1"/>
    </xf>
    <xf numFmtId="0" fontId="54" fillId="19" borderId="69" xfId="0" applyFont="1" applyFill="1" applyBorder="1" applyAlignment="1">
      <alignment horizontal="left" wrapText="1"/>
    </xf>
    <xf numFmtId="0" fontId="54" fillId="19" borderId="71" xfId="0" applyFont="1" applyFill="1" applyBorder="1" applyAlignment="1">
      <alignment horizontal="left" wrapText="1"/>
    </xf>
    <xf numFmtId="0" fontId="54" fillId="19" borderId="70" xfId="0" applyFont="1" applyFill="1" applyBorder="1" applyAlignment="1">
      <alignment horizontal="left" wrapText="1"/>
    </xf>
    <xf numFmtId="4" fontId="59" fillId="19" borderId="69" xfId="0" applyNumberFormat="1" applyFont="1" applyFill="1" applyBorder="1" applyAlignment="1">
      <alignment horizontal="center" shrinkToFit="1"/>
    </xf>
    <xf numFmtId="4" fontId="59" fillId="19" borderId="70" xfId="0" applyNumberFormat="1" applyFont="1" applyFill="1" applyBorder="1" applyAlignment="1">
      <alignment horizontal="center" shrinkToFit="1"/>
    </xf>
    <xf numFmtId="4" fontId="59" fillId="19" borderId="71" xfId="0" applyNumberFormat="1" applyFont="1" applyFill="1" applyBorder="1" applyAlignment="1">
      <alignment horizontal="center" shrinkToFit="1"/>
    </xf>
    <xf numFmtId="1" fontId="59" fillId="19" borderId="74" xfId="0" applyNumberFormat="1" applyFont="1" applyFill="1" applyBorder="1" applyAlignment="1">
      <alignment horizontal="center" vertical="top" shrinkToFit="1"/>
    </xf>
    <xf numFmtId="1" fontId="59" fillId="19" borderId="75" xfId="0" applyNumberFormat="1" applyFont="1" applyFill="1" applyBorder="1" applyAlignment="1">
      <alignment horizontal="center" vertical="top" shrinkToFit="1"/>
    </xf>
    <xf numFmtId="0" fontId="54" fillId="19" borderId="74" xfId="0" applyFont="1" applyFill="1" applyBorder="1" applyAlignment="1">
      <alignment horizontal="left" vertical="top" wrapText="1"/>
    </xf>
    <xf numFmtId="0" fontId="54" fillId="19" borderId="75" xfId="0" applyFont="1" applyFill="1" applyBorder="1" applyAlignment="1">
      <alignment horizontal="left" vertical="top" wrapText="1"/>
    </xf>
    <xf numFmtId="0" fontId="54" fillId="19" borderId="76" xfId="0" applyFont="1" applyFill="1" applyBorder="1" applyAlignment="1">
      <alignment horizontal="left" vertical="top" wrapText="1"/>
    </xf>
    <xf numFmtId="4" fontId="59" fillId="19" borderId="74" xfId="0" applyNumberFormat="1" applyFont="1" applyFill="1" applyBorder="1" applyAlignment="1">
      <alignment horizontal="left" vertical="top" indent="2" shrinkToFit="1"/>
    </xf>
    <xf numFmtId="4" fontId="59" fillId="19" borderId="76" xfId="0" applyNumberFormat="1" applyFont="1" applyFill="1" applyBorder="1" applyAlignment="1">
      <alignment horizontal="left" vertical="top" indent="2" shrinkToFit="1"/>
    </xf>
    <xf numFmtId="4" fontId="59" fillId="19" borderId="75" xfId="0" applyNumberFormat="1" applyFont="1" applyFill="1" applyBorder="1" applyAlignment="1">
      <alignment horizontal="left" vertical="top" indent="2" shrinkToFit="1"/>
    </xf>
    <xf numFmtId="4" fontId="59" fillId="19" borderId="74" xfId="0" applyNumberFormat="1" applyFont="1" applyFill="1" applyBorder="1" applyAlignment="1">
      <alignment horizontal="center" vertical="top" shrinkToFit="1"/>
    </xf>
    <xf numFmtId="4" fontId="59" fillId="19" borderId="75" xfId="0" applyNumberFormat="1" applyFont="1" applyFill="1" applyBorder="1" applyAlignment="1">
      <alignment horizontal="center" vertical="top" shrinkToFit="1"/>
    </xf>
    <xf numFmtId="4" fontId="59" fillId="19" borderId="74" xfId="0" applyNumberFormat="1" applyFont="1" applyFill="1" applyBorder="1" applyAlignment="1">
      <alignment horizontal="left" vertical="top" indent="1" shrinkToFit="1"/>
    </xf>
    <xf numFmtId="4" fontId="59" fillId="19" borderId="75" xfId="0" applyNumberFormat="1" applyFont="1" applyFill="1" applyBorder="1" applyAlignment="1">
      <alignment horizontal="left" vertical="top" indent="1" shrinkToFit="1"/>
    </xf>
    <xf numFmtId="2" fontId="59" fillId="19" borderId="0" xfId="0" applyNumberFormat="1" applyFont="1" applyFill="1" applyBorder="1" applyAlignment="1">
      <alignment horizontal="left" vertical="top" indent="2" shrinkToFit="1"/>
    </xf>
    <xf numFmtId="4" fontId="59" fillId="19" borderId="79" xfId="0" applyNumberFormat="1" applyFont="1" applyFill="1" applyBorder="1" applyAlignment="1">
      <alignment horizontal="left" vertical="top" indent="2" shrinkToFit="1"/>
    </xf>
    <xf numFmtId="4" fontId="59" fillId="19" borderId="0" xfId="0" applyNumberFormat="1" applyFont="1" applyFill="1" applyBorder="1" applyAlignment="1">
      <alignment horizontal="left" vertical="top" indent="2" shrinkToFit="1"/>
    </xf>
    <xf numFmtId="4" fontId="59" fillId="19" borderId="80" xfId="0" applyNumberFormat="1" applyFont="1" applyFill="1" applyBorder="1" applyAlignment="1">
      <alignment horizontal="left" vertical="top" indent="2" shrinkToFit="1"/>
    </xf>
    <xf numFmtId="4" fontId="59" fillId="19" borderId="79" xfId="0" applyNumberFormat="1" applyFont="1" applyFill="1" applyBorder="1" applyAlignment="1">
      <alignment horizontal="left" vertical="top" indent="1" shrinkToFit="1"/>
    </xf>
    <xf numFmtId="4" fontId="59" fillId="19" borderId="80" xfId="0" applyNumberFormat="1" applyFont="1" applyFill="1" applyBorder="1" applyAlignment="1">
      <alignment horizontal="left" vertical="top" indent="1" shrinkToFit="1"/>
    </xf>
    <xf numFmtId="0" fontId="55" fillId="17" borderId="69" xfId="0" applyFont="1" applyFill="1" applyBorder="1" applyAlignment="1">
      <alignment horizontal="left" vertical="top" wrapText="1" indent="2"/>
    </xf>
    <xf numFmtId="0" fontId="55" fillId="17" borderId="71" xfId="0" applyFont="1" applyFill="1" applyBorder="1" applyAlignment="1">
      <alignment horizontal="left" vertical="top" wrapText="1" indent="2"/>
    </xf>
    <xf numFmtId="0" fontId="55" fillId="17" borderId="74" xfId="0" applyFont="1" applyFill="1" applyBorder="1" applyAlignment="1">
      <alignment horizontal="left" vertical="top" wrapText="1" indent="2"/>
    </xf>
    <xf numFmtId="0" fontId="55" fillId="17" borderId="75" xfId="0" applyFont="1" applyFill="1" applyBorder="1" applyAlignment="1">
      <alignment horizontal="left" vertical="top" wrapText="1" indent="2"/>
    </xf>
    <xf numFmtId="0" fontId="55" fillId="17" borderId="72" xfId="0" applyFont="1" applyFill="1" applyBorder="1" applyAlignment="1">
      <alignment horizontal="left" vertical="top" wrapText="1" indent="1"/>
    </xf>
    <xf numFmtId="0" fontId="55" fillId="17" borderId="77" xfId="0" applyFont="1" applyFill="1" applyBorder="1" applyAlignment="1">
      <alignment horizontal="left" vertical="top" wrapText="1" indent="1"/>
    </xf>
    <xf numFmtId="0" fontId="55" fillId="17" borderId="73" xfId="0" applyFont="1" applyFill="1" applyBorder="1" applyAlignment="1">
      <alignment horizontal="left" vertical="top" wrapText="1" indent="2"/>
    </xf>
    <xf numFmtId="0" fontId="55" fillId="17" borderId="77" xfId="0" applyFont="1" applyFill="1" applyBorder="1" applyAlignment="1">
      <alignment horizontal="left" vertical="top" wrapText="1" indent="2"/>
    </xf>
    <xf numFmtId="0" fontId="55" fillId="17" borderId="69" xfId="0" applyFont="1" applyFill="1" applyBorder="1" applyAlignment="1">
      <alignment horizontal="center" vertical="top" wrapText="1"/>
    </xf>
    <xf numFmtId="0" fontId="55" fillId="17" borderId="71" xfId="0" applyFont="1" applyFill="1" applyBorder="1" applyAlignment="1">
      <alignment horizontal="center" vertical="top" wrapText="1"/>
    </xf>
    <xf numFmtId="0" fontId="0" fillId="0" borderId="69" xfId="0" applyFill="1" applyBorder="1" applyAlignment="1">
      <alignment horizontal="left" vertical="top" wrapText="1"/>
    </xf>
    <xf numFmtId="0" fontId="0" fillId="0" borderId="70" xfId="0" applyFill="1" applyBorder="1" applyAlignment="1">
      <alignment horizontal="left" vertical="top" wrapText="1"/>
    </xf>
    <xf numFmtId="0" fontId="0" fillId="0" borderId="71" xfId="0" applyFill="1" applyBorder="1" applyAlignment="1">
      <alignment horizontal="left" vertical="top" wrapText="1"/>
    </xf>
    <xf numFmtId="0" fontId="0" fillId="17" borderId="69" xfId="0" applyFill="1" applyBorder="1" applyAlignment="1">
      <alignment horizontal="left" vertical="top" wrapText="1"/>
    </xf>
    <xf numFmtId="0" fontId="0" fillId="17" borderId="71" xfId="0" applyFill="1" applyBorder="1" applyAlignment="1">
      <alignment horizontal="left" vertical="top" wrapText="1"/>
    </xf>
    <xf numFmtId="0" fontId="0" fillId="17" borderId="74" xfId="0" applyFill="1" applyBorder="1" applyAlignment="1">
      <alignment horizontal="left" vertical="top" wrapText="1"/>
    </xf>
    <xf numFmtId="0" fontId="0" fillId="17" borderId="75" xfId="0" applyFill="1" applyBorder="1" applyAlignment="1">
      <alignment horizontal="left" vertical="top" wrapText="1"/>
    </xf>
    <xf numFmtId="0" fontId="55" fillId="17" borderId="69" xfId="0" applyFont="1" applyFill="1" applyBorder="1" applyAlignment="1">
      <alignment horizontal="left" vertical="top" wrapText="1"/>
    </xf>
    <xf numFmtId="0" fontId="55" fillId="17" borderId="71" xfId="0" applyFont="1" applyFill="1" applyBorder="1" applyAlignment="1">
      <alignment horizontal="left" vertical="top" wrapText="1"/>
    </xf>
    <xf numFmtId="0" fontId="55" fillId="17" borderId="74" xfId="0" applyFont="1" applyFill="1" applyBorder="1" applyAlignment="1">
      <alignment horizontal="left" vertical="top" wrapText="1"/>
    </xf>
    <xf numFmtId="0" fontId="55" fillId="17" borderId="75" xfId="0" applyFont="1" applyFill="1" applyBorder="1" applyAlignment="1">
      <alignment horizontal="left" vertical="top" wrapText="1"/>
    </xf>
    <xf numFmtId="0" fontId="55" fillId="17" borderId="70" xfId="0" applyFont="1" applyFill="1" applyBorder="1" applyAlignment="1">
      <alignment horizontal="left" vertical="top" wrapText="1"/>
    </xf>
    <xf numFmtId="0" fontId="55" fillId="17" borderId="76" xfId="0" applyFont="1" applyFill="1" applyBorder="1" applyAlignment="1">
      <alignment horizontal="left" vertical="top" wrapText="1"/>
    </xf>
    <xf numFmtId="0" fontId="55" fillId="17" borderId="72" xfId="0" applyFont="1" applyFill="1" applyBorder="1" applyAlignment="1">
      <alignment horizontal="left" vertical="top" wrapText="1"/>
    </xf>
    <xf numFmtId="0" fontId="55" fillId="17" borderId="77" xfId="0" applyFont="1" applyFill="1" applyBorder="1" applyAlignment="1">
      <alignment horizontal="left" vertical="top" wrapText="1"/>
    </xf>
    <xf numFmtId="0" fontId="55" fillId="17" borderId="70" xfId="0" applyFont="1" applyFill="1" applyBorder="1" applyAlignment="1">
      <alignment horizontal="center" vertical="top" wrapText="1"/>
    </xf>
    <xf numFmtId="0" fontId="55" fillId="17" borderId="55" xfId="0" applyFont="1" applyFill="1" applyBorder="1" applyAlignment="1">
      <alignment horizontal="left" vertical="top" wrapText="1" indent="2"/>
    </xf>
    <xf numFmtId="0" fontId="55" fillId="17" borderId="57" xfId="0" applyFont="1" applyFill="1" applyBorder="1" applyAlignment="1">
      <alignment horizontal="left" vertical="top" wrapText="1" indent="2"/>
    </xf>
    <xf numFmtId="0" fontId="42" fillId="18" borderId="69" xfId="0" applyFont="1" applyFill="1" applyBorder="1" applyAlignment="1">
      <alignment horizontal="left" vertical="top" wrapText="1"/>
    </xf>
    <xf numFmtId="0" fontId="42" fillId="18" borderId="71" xfId="0" applyFont="1" applyFill="1" applyBorder="1" applyAlignment="1">
      <alignment horizontal="left" vertical="top" wrapText="1"/>
    </xf>
    <xf numFmtId="0" fontId="55" fillId="17" borderId="70" xfId="0" applyFont="1" applyFill="1" applyBorder="1" applyAlignment="1">
      <alignment horizontal="left" vertical="top" wrapText="1" indent="2"/>
    </xf>
    <xf numFmtId="0" fontId="55" fillId="17" borderId="76" xfId="0" applyFont="1" applyFill="1" applyBorder="1" applyAlignment="1">
      <alignment horizontal="left" vertical="top" wrapText="1" indent="2"/>
    </xf>
    <xf numFmtId="0" fontId="0" fillId="17" borderId="58" xfId="0" applyFill="1" applyBorder="1" applyAlignment="1">
      <alignment horizontal="left" vertical="top" wrapText="1"/>
    </xf>
    <xf numFmtId="0" fontId="0" fillId="17" borderId="59" xfId="0" applyFill="1" applyBorder="1" applyAlignment="1">
      <alignment horizontal="left" vertical="top" wrapText="1"/>
    </xf>
    <xf numFmtId="0" fontId="42" fillId="17" borderId="59" xfId="0" applyFont="1" applyFill="1" applyBorder="1" applyAlignment="1">
      <alignment horizontal="left" vertical="top" wrapText="1" indent="4"/>
    </xf>
    <xf numFmtId="0" fontId="42" fillId="17" borderId="60" xfId="0" applyFont="1" applyFill="1" applyBorder="1" applyAlignment="1">
      <alignment horizontal="left" vertical="top" wrapText="1" indent="4"/>
    </xf>
    <xf numFmtId="0" fontId="55" fillId="0" borderId="61" xfId="0" applyFont="1" applyFill="1" applyBorder="1" applyAlignment="1">
      <alignment horizontal="center" vertical="top" wrapText="1"/>
    </xf>
    <xf numFmtId="0" fontId="55" fillId="0" borderId="62" xfId="0" applyFont="1" applyFill="1" applyBorder="1" applyAlignment="1">
      <alignment horizontal="center" vertical="top" wrapText="1"/>
    </xf>
    <xf numFmtId="0" fontId="55" fillId="0" borderId="63" xfId="0" applyFont="1" applyFill="1" applyBorder="1" applyAlignment="1">
      <alignment horizontal="center" vertical="top" wrapText="1"/>
    </xf>
    <xf numFmtId="0" fontId="55" fillId="0" borderId="64" xfId="0" applyFont="1" applyFill="1" applyBorder="1" applyAlignment="1">
      <alignment horizontal="center" vertical="top" wrapText="1"/>
    </xf>
    <xf numFmtId="0" fontId="55" fillId="0" borderId="64" xfId="0" applyFont="1" applyFill="1" applyBorder="1" applyAlignment="1">
      <alignment horizontal="left" vertical="top" wrapText="1" indent="7"/>
    </xf>
    <xf numFmtId="0" fontId="55" fillId="0" borderId="62" xfId="0" applyFont="1" applyFill="1" applyBorder="1" applyAlignment="1">
      <alignment horizontal="left" vertical="top" wrapText="1" indent="7"/>
    </xf>
    <xf numFmtId="0" fontId="55" fillId="0" borderId="63" xfId="0" applyFont="1" applyFill="1" applyBorder="1" applyAlignment="1">
      <alignment horizontal="left" vertical="top" wrapText="1" indent="7"/>
    </xf>
    <xf numFmtId="0" fontId="55" fillId="0" borderId="65" xfId="0" applyFont="1" applyFill="1" applyBorder="1" applyAlignment="1">
      <alignment horizontal="left" vertical="top" wrapText="1" indent="7"/>
    </xf>
    <xf numFmtId="0" fontId="0" fillId="0" borderId="66" xfId="0" applyFill="1" applyBorder="1" applyAlignment="1">
      <alignment horizontal="left" vertical="top" wrapText="1"/>
    </xf>
    <xf numFmtId="0" fontId="0" fillId="0" borderId="67" xfId="0" applyFill="1" applyBorder="1" applyAlignment="1">
      <alignment horizontal="left" vertical="top" wrapText="1"/>
    </xf>
    <xf numFmtId="0" fontId="0" fillId="0" borderId="68" xfId="0" applyFill="1" applyBorder="1" applyAlignment="1">
      <alignment horizontal="left" vertical="top" wrapText="1"/>
    </xf>
  </cellXfs>
  <cellStyles count="8">
    <cellStyle name="Comma" xfId="1" builtinId="3"/>
    <cellStyle name="Comma 2" xfId="5"/>
    <cellStyle name="Comma 3" xfId="6"/>
    <cellStyle name="Currency 2" xfId="3"/>
    <cellStyle name="Excel Built-in Normal" xfId="7"/>
    <cellStyle name="Hyperlink" xfId="4"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36</xdr:row>
      <xdr:rowOff>0</xdr:rowOff>
    </xdr:from>
    <xdr:to>
      <xdr:col>7</xdr:col>
      <xdr:colOff>19050</xdr:colOff>
      <xdr:row>36</xdr:row>
      <xdr:rowOff>152400</xdr:rowOff>
    </xdr:to>
    <xdr:sp macro="" textlink="">
      <xdr:nvSpPr>
        <xdr:cNvPr id="2" name="TextBox 1"/>
        <xdr:cNvSpPr txBox="1"/>
      </xdr:nvSpPr>
      <xdr:spPr>
        <a:xfrm>
          <a:off x="19050" y="6162675"/>
          <a:ext cx="6619875"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l"/>
          <a:endParaRPr lang="en-US" sz="1100"/>
        </a:p>
      </xdr:txBody>
    </xdr:sp>
    <xdr:clientData/>
  </xdr:twoCellAnchor>
  <xdr:twoCellAnchor>
    <xdr:from>
      <xdr:col>0</xdr:col>
      <xdr:colOff>0</xdr:colOff>
      <xdr:row>45</xdr:row>
      <xdr:rowOff>0</xdr:rowOff>
    </xdr:from>
    <xdr:to>
      <xdr:col>7</xdr:col>
      <xdr:colOff>0</xdr:colOff>
      <xdr:row>50</xdr:row>
      <xdr:rowOff>142875</xdr:rowOff>
    </xdr:to>
    <xdr:sp macro="" textlink="">
      <xdr:nvSpPr>
        <xdr:cNvPr id="3" name="TextBox 2"/>
        <xdr:cNvSpPr txBox="1"/>
      </xdr:nvSpPr>
      <xdr:spPr>
        <a:xfrm>
          <a:off x="0" y="7515225"/>
          <a:ext cx="6619875"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l" rtl="1"/>
          <a:r>
            <a:rPr lang="en-US" sz="1100" b="0" i="0">
              <a:solidFill>
                <a:schemeClr val="dk1"/>
              </a:solidFill>
              <a:latin typeface="+mn-lt"/>
              <a:ea typeface="+mn-ea"/>
              <a:cs typeface="+mn-cs"/>
            </a:rPr>
            <a:t>As per the instructions received from your good office,I visited at repairers place,there the vehicle was minutely inspected by me.The damages to it were ascertained by me and fresh one and relevent to the cause &amp; nature of accident mentioned in the claim form.</a:t>
          </a:r>
          <a:endParaRPr lang="en-US"/>
        </a:p>
        <a:p>
          <a:pPr algn="l" rtl="1"/>
          <a:r>
            <a:rPr lang="en-US" sz="1100" b="0" i="0">
              <a:solidFill>
                <a:schemeClr val="dk1"/>
              </a:solidFill>
              <a:latin typeface="+mn-lt"/>
              <a:ea typeface="+mn-ea"/>
              <a:cs typeface="+mn-cs"/>
            </a:rPr>
            <a:t>Then the loss to the said vehicle was discussed with the repairer and after prolonged discussion the loss was finalised for the final approval of insurers and an admission of liability.</a:t>
          </a:r>
          <a:endParaRPr lang="en-US"/>
        </a:p>
        <a:p>
          <a:pPr algn="l" rtl="1"/>
          <a:endParaRPr lang="en-US" sz="1100" b="0" i="0">
            <a:solidFill>
              <a:schemeClr val="dk1"/>
            </a:solidFill>
            <a:latin typeface="+mn-lt"/>
            <a:ea typeface="+mn-ea"/>
            <a:cs typeface="+mn-cs"/>
          </a:endParaRP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26797</xdr:colOff>
      <xdr:row>65</xdr:row>
      <xdr:rowOff>0</xdr:rowOff>
    </xdr:from>
    <xdr:ext cx="8230234" cy="4471670"/>
    <xdr:grpSp>
      <xdr:nvGrpSpPr>
        <xdr:cNvPr id="2" name="Group 2"/>
        <xdr:cNvGrpSpPr/>
      </xdr:nvGrpSpPr>
      <xdr:grpSpPr>
        <a:xfrm>
          <a:off x="645922" y="15374938"/>
          <a:ext cx="8230234" cy="4471670"/>
          <a:chOff x="0" y="0"/>
          <a:chExt cx="8230234" cy="4471670"/>
        </a:xfrm>
      </xdr:grpSpPr>
      <xdr:sp macro="" textlink="">
        <xdr:nvSpPr>
          <xdr:cNvPr id="3" name="Shape 3"/>
          <xdr:cNvSpPr/>
        </xdr:nvSpPr>
        <xdr:spPr>
          <a:xfrm>
            <a:off x="0" y="0"/>
            <a:ext cx="3486785" cy="4471670"/>
          </a:xfrm>
          <a:custGeom>
            <a:avLst/>
            <a:gdLst/>
            <a:ahLst/>
            <a:cxnLst/>
            <a:rect l="0" t="0" r="0" b="0"/>
            <a:pathLst>
              <a:path w="3486785" h="4471670">
                <a:moveTo>
                  <a:pt x="228600" y="3742944"/>
                </a:moveTo>
                <a:lnTo>
                  <a:pt x="0" y="3742944"/>
                </a:lnTo>
                <a:lnTo>
                  <a:pt x="0" y="3985768"/>
                </a:lnTo>
                <a:lnTo>
                  <a:pt x="0" y="4228592"/>
                </a:lnTo>
                <a:lnTo>
                  <a:pt x="0" y="4471416"/>
                </a:lnTo>
                <a:lnTo>
                  <a:pt x="228600" y="4471416"/>
                </a:lnTo>
                <a:lnTo>
                  <a:pt x="228600" y="4228592"/>
                </a:lnTo>
                <a:lnTo>
                  <a:pt x="228600" y="3985768"/>
                </a:lnTo>
                <a:lnTo>
                  <a:pt x="228600" y="3742944"/>
                </a:lnTo>
                <a:close/>
              </a:path>
              <a:path w="3486785" h="4471670">
                <a:moveTo>
                  <a:pt x="228600" y="3013976"/>
                </a:moveTo>
                <a:lnTo>
                  <a:pt x="0" y="3013976"/>
                </a:lnTo>
                <a:lnTo>
                  <a:pt x="0" y="3256788"/>
                </a:lnTo>
                <a:lnTo>
                  <a:pt x="0" y="3499612"/>
                </a:lnTo>
                <a:lnTo>
                  <a:pt x="0" y="3742436"/>
                </a:lnTo>
                <a:lnTo>
                  <a:pt x="228600" y="3742436"/>
                </a:lnTo>
                <a:lnTo>
                  <a:pt x="228600" y="3499612"/>
                </a:lnTo>
                <a:lnTo>
                  <a:pt x="228600" y="3256788"/>
                </a:lnTo>
                <a:lnTo>
                  <a:pt x="228600" y="3013976"/>
                </a:lnTo>
                <a:close/>
              </a:path>
              <a:path w="3486785" h="4471670">
                <a:moveTo>
                  <a:pt x="228600" y="2285492"/>
                </a:moveTo>
                <a:lnTo>
                  <a:pt x="0" y="2285492"/>
                </a:lnTo>
                <a:lnTo>
                  <a:pt x="0" y="2528316"/>
                </a:lnTo>
                <a:lnTo>
                  <a:pt x="0" y="2771140"/>
                </a:lnTo>
                <a:lnTo>
                  <a:pt x="0" y="3013964"/>
                </a:lnTo>
                <a:lnTo>
                  <a:pt x="228600" y="3013964"/>
                </a:lnTo>
                <a:lnTo>
                  <a:pt x="228600" y="2771140"/>
                </a:lnTo>
                <a:lnTo>
                  <a:pt x="228600" y="2528316"/>
                </a:lnTo>
                <a:lnTo>
                  <a:pt x="228600" y="2285492"/>
                </a:lnTo>
                <a:close/>
              </a:path>
              <a:path w="3486785" h="4471670">
                <a:moveTo>
                  <a:pt x="228600" y="1943100"/>
                </a:moveTo>
                <a:lnTo>
                  <a:pt x="0" y="1943100"/>
                </a:lnTo>
                <a:lnTo>
                  <a:pt x="0" y="2185924"/>
                </a:lnTo>
                <a:lnTo>
                  <a:pt x="228600" y="2185924"/>
                </a:lnTo>
                <a:lnTo>
                  <a:pt x="228600" y="1943100"/>
                </a:lnTo>
                <a:close/>
              </a:path>
              <a:path w="3486785" h="4471670">
                <a:moveTo>
                  <a:pt x="228600" y="0"/>
                </a:moveTo>
                <a:lnTo>
                  <a:pt x="0" y="0"/>
                </a:lnTo>
                <a:lnTo>
                  <a:pt x="0" y="242824"/>
                </a:lnTo>
                <a:lnTo>
                  <a:pt x="0" y="485648"/>
                </a:lnTo>
                <a:lnTo>
                  <a:pt x="0" y="1942592"/>
                </a:lnTo>
                <a:lnTo>
                  <a:pt x="228600" y="1942592"/>
                </a:lnTo>
                <a:lnTo>
                  <a:pt x="228600" y="242824"/>
                </a:lnTo>
                <a:lnTo>
                  <a:pt x="228600" y="0"/>
                </a:lnTo>
                <a:close/>
              </a:path>
              <a:path w="3486785" h="4471670">
                <a:moveTo>
                  <a:pt x="1086218" y="3742944"/>
                </a:moveTo>
                <a:lnTo>
                  <a:pt x="228727" y="3742944"/>
                </a:lnTo>
                <a:lnTo>
                  <a:pt x="228727" y="3985768"/>
                </a:lnTo>
                <a:lnTo>
                  <a:pt x="228727" y="4228592"/>
                </a:lnTo>
                <a:lnTo>
                  <a:pt x="228727" y="4471416"/>
                </a:lnTo>
                <a:lnTo>
                  <a:pt x="1086218" y="4471416"/>
                </a:lnTo>
                <a:lnTo>
                  <a:pt x="1086218" y="4228592"/>
                </a:lnTo>
                <a:lnTo>
                  <a:pt x="1086218" y="3985768"/>
                </a:lnTo>
                <a:lnTo>
                  <a:pt x="1086218" y="3742944"/>
                </a:lnTo>
                <a:close/>
              </a:path>
              <a:path w="3486785" h="4471670">
                <a:moveTo>
                  <a:pt x="1086218" y="3013976"/>
                </a:moveTo>
                <a:lnTo>
                  <a:pt x="228727" y="3013976"/>
                </a:lnTo>
                <a:lnTo>
                  <a:pt x="228727" y="3256788"/>
                </a:lnTo>
                <a:lnTo>
                  <a:pt x="228727" y="3499612"/>
                </a:lnTo>
                <a:lnTo>
                  <a:pt x="228727" y="3742436"/>
                </a:lnTo>
                <a:lnTo>
                  <a:pt x="1086218" y="3742436"/>
                </a:lnTo>
                <a:lnTo>
                  <a:pt x="1086218" y="3499612"/>
                </a:lnTo>
                <a:lnTo>
                  <a:pt x="1086218" y="3256788"/>
                </a:lnTo>
                <a:lnTo>
                  <a:pt x="1086218" y="3013976"/>
                </a:lnTo>
                <a:close/>
              </a:path>
              <a:path w="3486785" h="4471670">
                <a:moveTo>
                  <a:pt x="1086218" y="2285492"/>
                </a:moveTo>
                <a:lnTo>
                  <a:pt x="228727" y="2285492"/>
                </a:lnTo>
                <a:lnTo>
                  <a:pt x="228727" y="2528316"/>
                </a:lnTo>
                <a:lnTo>
                  <a:pt x="228727" y="2771140"/>
                </a:lnTo>
                <a:lnTo>
                  <a:pt x="228727" y="3013964"/>
                </a:lnTo>
                <a:lnTo>
                  <a:pt x="1086218" y="3013964"/>
                </a:lnTo>
                <a:lnTo>
                  <a:pt x="1086218" y="2771140"/>
                </a:lnTo>
                <a:lnTo>
                  <a:pt x="1086218" y="2528316"/>
                </a:lnTo>
                <a:lnTo>
                  <a:pt x="1086218" y="2285492"/>
                </a:lnTo>
                <a:close/>
              </a:path>
              <a:path w="3486785" h="4471670">
                <a:moveTo>
                  <a:pt x="1086218" y="1943100"/>
                </a:moveTo>
                <a:lnTo>
                  <a:pt x="228727" y="1943100"/>
                </a:lnTo>
                <a:lnTo>
                  <a:pt x="228727" y="2185924"/>
                </a:lnTo>
                <a:lnTo>
                  <a:pt x="1086218" y="2185924"/>
                </a:lnTo>
                <a:lnTo>
                  <a:pt x="1086218" y="1943100"/>
                </a:lnTo>
                <a:close/>
              </a:path>
              <a:path w="3486785" h="4471670">
                <a:moveTo>
                  <a:pt x="1086218" y="0"/>
                </a:moveTo>
                <a:lnTo>
                  <a:pt x="228727" y="0"/>
                </a:lnTo>
                <a:lnTo>
                  <a:pt x="228727" y="242824"/>
                </a:lnTo>
                <a:lnTo>
                  <a:pt x="228727" y="485648"/>
                </a:lnTo>
                <a:lnTo>
                  <a:pt x="228727" y="1942592"/>
                </a:lnTo>
                <a:lnTo>
                  <a:pt x="1086218" y="1942592"/>
                </a:lnTo>
                <a:lnTo>
                  <a:pt x="1086218" y="242824"/>
                </a:lnTo>
                <a:lnTo>
                  <a:pt x="1086218" y="0"/>
                </a:lnTo>
                <a:close/>
              </a:path>
              <a:path w="3486785" h="4471670">
                <a:moveTo>
                  <a:pt x="2229231" y="3742944"/>
                </a:moveTo>
                <a:lnTo>
                  <a:pt x="1086231" y="3742944"/>
                </a:lnTo>
                <a:lnTo>
                  <a:pt x="1086231" y="3985768"/>
                </a:lnTo>
                <a:lnTo>
                  <a:pt x="1086231" y="4228592"/>
                </a:lnTo>
                <a:lnTo>
                  <a:pt x="1086231" y="4471416"/>
                </a:lnTo>
                <a:lnTo>
                  <a:pt x="2229231" y="4471416"/>
                </a:lnTo>
                <a:lnTo>
                  <a:pt x="2229231" y="4228592"/>
                </a:lnTo>
                <a:lnTo>
                  <a:pt x="2229231" y="3985768"/>
                </a:lnTo>
                <a:lnTo>
                  <a:pt x="2229231" y="3742944"/>
                </a:lnTo>
                <a:close/>
              </a:path>
              <a:path w="3486785" h="4471670">
                <a:moveTo>
                  <a:pt x="2229231" y="3013976"/>
                </a:moveTo>
                <a:lnTo>
                  <a:pt x="1086231" y="3013976"/>
                </a:lnTo>
                <a:lnTo>
                  <a:pt x="1086231" y="3256788"/>
                </a:lnTo>
                <a:lnTo>
                  <a:pt x="1086231" y="3499612"/>
                </a:lnTo>
                <a:lnTo>
                  <a:pt x="1086231" y="3742436"/>
                </a:lnTo>
                <a:lnTo>
                  <a:pt x="2229231" y="3742436"/>
                </a:lnTo>
                <a:lnTo>
                  <a:pt x="2229231" y="3499612"/>
                </a:lnTo>
                <a:lnTo>
                  <a:pt x="2229231" y="3256788"/>
                </a:lnTo>
                <a:lnTo>
                  <a:pt x="2229231" y="3013976"/>
                </a:lnTo>
                <a:close/>
              </a:path>
              <a:path w="3486785" h="4471670">
                <a:moveTo>
                  <a:pt x="2229231" y="1943100"/>
                </a:moveTo>
                <a:lnTo>
                  <a:pt x="1086231" y="1943100"/>
                </a:lnTo>
                <a:lnTo>
                  <a:pt x="1086231" y="2285492"/>
                </a:lnTo>
                <a:lnTo>
                  <a:pt x="1086231" y="2528316"/>
                </a:lnTo>
                <a:lnTo>
                  <a:pt x="1086231" y="2771140"/>
                </a:lnTo>
                <a:lnTo>
                  <a:pt x="1086231" y="3013964"/>
                </a:lnTo>
                <a:lnTo>
                  <a:pt x="2229231" y="3013964"/>
                </a:lnTo>
                <a:lnTo>
                  <a:pt x="2229231" y="2771140"/>
                </a:lnTo>
                <a:lnTo>
                  <a:pt x="2229231" y="2528316"/>
                </a:lnTo>
                <a:lnTo>
                  <a:pt x="2229231" y="2285492"/>
                </a:lnTo>
                <a:lnTo>
                  <a:pt x="2229231" y="1943100"/>
                </a:lnTo>
                <a:close/>
              </a:path>
              <a:path w="3486785" h="4471670">
                <a:moveTo>
                  <a:pt x="2229231" y="0"/>
                </a:moveTo>
                <a:lnTo>
                  <a:pt x="1086231" y="0"/>
                </a:lnTo>
                <a:lnTo>
                  <a:pt x="1086231" y="242824"/>
                </a:lnTo>
                <a:lnTo>
                  <a:pt x="1086231" y="485648"/>
                </a:lnTo>
                <a:lnTo>
                  <a:pt x="1086231" y="1942592"/>
                </a:lnTo>
                <a:lnTo>
                  <a:pt x="2229231" y="1942592"/>
                </a:lnTo>
                <a:lnTo>
                  <a:pt x="2229231" y="242824"/>
                </a:lnTo>
                <a:lnTo>
                  <a:pt x="2229231" y="0"/>
                </a:lnTo>
                <a:close/>
              </a:path>
              <a:path w="3486785" h="4471670">
                <a:moveTo>
                  <a:pt x="3143631" y="1943100"/>
                </a:moveTo>
                <a:lnTo>
                  <a:pt x="2800731" y="1943100"/>
                </a:lnTo>
                <a:lnTo>
                  <a:pt x="2800731" y="2185924"/>
                </a:lnTo>
                <a:lnTo>
                  <a:pt x="3143631" y="2185924"/>
                </a:lnTo>
                <a:lnTo>
                  <a:pt x="3143631" y="1943100"/>
                </a:lnTo>
                <a:close/>
              </a:path>
              <a:path w="3486785" h="4471670">
                <a:moveTo>
                  <a:pt x="3486531" y="0"/>
                </a:moveTo>
                <a:lnTo>
                  <a:pt x="3143631" y="0"/>
                </a:lnTo>
                <a:lnTo>
                  <a:pt x="2800731" y="0"/>
                </a:lnTo>
                <a:lnTo>
                  <a:pt x="2800731" y="242824"/>
                </a:lnTo>
                <a:lnTo>
                  <a:pt x="2800731" y="1942592"/>
                </a:lnTo>
                <a:lnTo>
                  <a:pt x="3143631" y="1942592"/>
                </a:lnTo>
                <a:lnTo>
                  <a:pt x="3486531" y="1942592"/>
                </a:lnTo>
                <a:lnTo>
                  <a:pt x="3486531" y="1699768"/>
                </a:lnTo>
                <a:lnTo>
                  <a:pt x="3486531" y="1456944"/>
                </a:lnTo>
                <a:lnTo>
                  <a:pt x="3486531" y="242824"/>
                </a:lnTo>
                <a:lnTo>
                  <a:pt x="3486531" y="0"/>
                </a:lnTo>
                <a:close/>
              </a:path>
            </a:pathLst>
          </a:custGeom>
          <a:solidFill>
            <a:srgbClr val="FFFFFF"/>
          </a:solidFill>
        </xdr:spPr>
      </xdr:sp>
      <xdr:sp macro="" textlink="">
        <xdr:nvSpPr>
          <xdr:cNvPr id="4" name="Shape 4"/>
          <xdr:cNvSpPr/>
        </xdr:nvSpPr>
        <xdr:spPr>
          <a:xfrm>
            <a:off x="3143631" y="0"/>
            <a:ext cx="5086350" cy="2186305"/>
          </a:xfrm>
          <a:custGeom>
            <a:avLst/>
            <a:gdLst/>
            <a:ahLst/>
            <a:cxnLst/>
            <a:rect l="0" t="0" r="0" b="0"/>
            <a:pathLst>
              <a:path w="5086350" h="2186305">
                <a:moveTo>
                  <a:pt x="4429252" y="1943100"/>
                </a:moveTo>
                <a:lnTo>
                  <a:pt x="4429252" y="1943100"/>
                </a:lnTo>
                <a:lnTo>
                  <a:pt x="0" y="1943100"/>
                </a:lnTo>
                <a:lnTo>
                  <a:pt x="0" y="2185924"/>
                </a:lnTo>
                <a:lnTo>
                  <a:pt x="4429252" y="2185924"/>
                </a:lnTo>
                <a:lnTo>
                  <a:pt x="4429252" y="1943100"/>
                </a:lnTo>
                <a:close/>
              </a:path>
              <a:path w="5086350" h="2186305">
                <a:moveTo>
                  <a:pt x="5086096" y="0"/>
                </a:moveTo>
                <a:lnTo>
                  <a:pt x="5086096" y="0"/>
                </a:lnTo>
                <a:lnTo>
                  <a:pt x="342900" y="0"/>
                </a:lnTo>
                <a:lnTo>
                  <a:pt x="342900" y="242824"/>
                </a:lnTo>
                <a:lnTo>
                  <a:pt x="342900" y="1699768"/>
                </a:lnTo>
                <a:lnTo>
                  <a:pt x="0" y="1699768"/>
                </a:lnTo>
                <a:lnTo>
                  <a:pt x="0" y="1942592"/>
                </a:lnTo>
                <a:lnTo>
                  <a:pt x="342900" y="1942592"/>
                </a:lnTo>
                <a:lnTo>
                  <a:pt x="1099820" y="1942592"/>
                </a:lnTo>
                <a:lnTo>
                  <a:pt x="4429252" y="1942592"/>
                </a:lnTo>
                <a:lnTo>
                  <a:pt x="4429252" y="1699768"/>
                </a:lnTo>
                <a:lnTo>
                  <a:pt x="4429252" y="1456944"/>
                </a:lnTo>
                <a:lnTo>
                  <a:pt x="5086096" y="1456944"/>
                </a:lnTo>
                <a:lnTo>
                  <a:pt x="5086096" y="1214120"/>
                </a:lnTo>
                <a:lnTo>
                  <a:pt x="5086096" y="971296"/>
                </a:lnTo>
                <a:lnTo>
                  <a:pt x="5086096" y="728472"/>
                </a:lnTo>
                <a:lnTo>
                  <a:pt x="5086096" y="485648"/>
                </a:lnTo>
                <a:lnTo>
                  <a:pt x="5086096" y="242824"/>
                </a:lnTo>
                <a:lnTo>
                  <a:pt x="5086096" y="0"/>
                </a:lnTo>
                <a:close/>
              </a:path>
            </a:pathLst>
          </a:custGeom>
          <a:solidFill>
            <a:srgbClr val="FFFFFF"/>
          </a:solidFill>
        </xdr:spPr>
      </xdr:sp>
      <xdr:sp macro="" textlink="">
        <xdr:nvSpPr>
          <xdr:cNvPr id="5" name="Shape 5"/>
          <xdr:cNvSpPr/>
        </xdr:nvSpPr>
        <xdr:spPr>
          <a:xfrm>
            <a:off x="2229231" y="0"/>
            <a:ext cx="6000750" cy="4471670"/>
          </a:xfrm>
          <a:custGeom>
            <a:avLst/>
            <a:gdLst/>
            <a:ahLst/>
            <a:cxnLst/>
            <a:rect l="0" t="0" r="0" b="0"/>
            <a:pathLst>
              <a:path w="6000750" h="4471670">
                <a:moveTo>
                  <a:pt x="571500" y="1943100"/>
                </a:moveTo>
                <a:lnTo>
                  <a:pt x="0" y="1943100"/>
                </a:lnTo>
                <a:lnTo>
                  <a:pt x="0" y="2185924"/>
                </a:lnTo>
                <a:lnTo>
                  <a:pt x="571500" y="2185924"/>
                </a:lnTo>
                <a:lnTo>
                  <a:pt x="571500" y="1943100"/>
                </a:lnTo>
                <a:close/>
              </a:path>
              <a:path w="6000750" h="4471670">
                <a:moveTo>
                  <a:pt x="571500" y="0"/>
                </a:moveTo>
                <a:lnTo>
                  <a:pt x="0" y="0"/>
                </a:lnTo>
                <a:lnTo>
                  <a:pt x="0" y="242824"/>
                </a:lnTo>
                <a:lnTo>
                  <a:pt x="0" y="485648"/>
                </a:lnTo>
                <a:lnTo>
                  <a:pt x="0" y="1942592"/>
                </a:lnTo>
                <a:lnTo>
                  <a:pt x="571500" y="1942592"/>
                </a:lnTo>
                <a:lnTo>
                  <a:pt x="571500" y="242824"/>
                </a:lnTo>
                <a:lnTo>
                  <a:pt x="571500" y="0"/>
                </a:lnTo>
                <a:close/>
              </a:path>
              <a:path w="6000750" h="4471670">
                <a:moveTo>
                  <a:pt x="3871976" y="3742944"/>
                </a:moveTo>
                <a:lnTo>
                  <a:pt x="3871976" y="3742944"/>
                </a:lnTo>
                <a:lnTo>
                  <a:pt x="571500" y="3742944"/>
                </a:lnTo>
                <a:lnTo>
                  <a:pt x="571500" y="3985768"/>
                </a:lnTo>
                <a:lnTo>
                  <a:pt x="571500" y="4228592"/>
                </a:lnTo>
                <a:lnTo>
                  <a:pt x="571500" y="4471416"/>
                </a:lnTo>
                <a:lnTo>
                  <a:pt x="914400" y="4471416"/>
                </a:lnTo>
                <a:lnTo>
                  <a:pt x="3871976" y="4471416"/>
                </a:lnTo>
                <a:lnTo>
                  <a:pt x="3871976" y="4228592"/>
                </a:lnTo>
                <a:lnTo>
                  <a:pt x="3871976" y="3985768"/>
                </a:lnTo>
                <a:lnTo>
                  <a:pt x="3871976" y="3742944"/>
                </a:lnTo>
                <a:close/>
              </a:path>
              <a:path w="6000750" h="4471670">
                <a:moveTo>
                  <a:pt x="4272280" y="3013976"/>
                </a:moveTo>
                <a:lnTo>
                  <a:pt x="4272280" y="3013976"/>
                </a:lnTo>
                <a:lnTo>
                  <a:pt x="571500" y="3013976"/>
                </a:lnTo>
                <a:lnTo>
                  <a:pt x="571500" y="3256788"/>
                </a:lnTo>
                <a:lnTo>
                  <a:pt x="571500" y="3499612"/>
                </a:lnTo>
                <a:lnTo>
                  <a:pt x="571500" y="3742436"/>
                </a:lnTo>
                <a:lnTo>
                  <a:pt x="914400" y="3742436"/>
                </a:lnTo>
                <a:lnTo>
                  <a:pt x="3871976" y="3742436"/>
                </a:lnTo>
                <a:lnTo>
                  <a:pt x="3871976" y="3499612"/>
                </a:lnTo>
                <a:lnTo>
                  <a:pt x="3871976" y="3256788"/>
                </a:lnTo>
                <a:lnTo>
                  <a:pt x="4272280" y="3256788"/>
                </a:lnTo>
                <a:lnTo>
                  <a:pt x="4272280" y="3013976"/>
                </a:lnTo>
                <a:close/>
              </a:path>
              <a:path w="6000750" h="4471670">
                <a:moveTo>
                  <a:pt x="4272280" y="2285492"/>
                </a:moveTo>
                <a:lnTo>
                  <a:pt x="4272280" y="2285492"/>
                </a:lnTo>
                <a:lnTo>
                  <a:pt x="571500" y="2285492"/>
                </a:lnTo>
                <a:lnTo>
                  <a:pt x="571500" y="2528316"/>
                </a:lnTo>
                <a:lnTo>
                  <a:pt x="571500" y="2771140"/>
                </a:lnTo>
                <a:lnTo>
                  <a:pt x="571500" y="3013964"/>
                </a:lnTo>
                <a:lnTo>
                  <a:pt x="914400" y="3013964"/>
                </a:lnTo>
                <a:lnTo>
                  <a:pt x="4272280" y="3013964"/>
                </a:lnTo>
                <a:lnTo>
                  <a:pt x="4272280" y="2771140"/>
                </a:lnTo>
                <a:lnTo>
                  <a:pt x="4272280" y="2528316"/>
                </a:lnTo>
                <a:lnTo>
                  <a:pt x="4272280" y="2285492"/>
                </a:lnTo>
                <a:close/>
              </a:path>
              <a:path w="6000750" h="4471670">
                <a:moveTo>
                  <a:pt x="6000496" y="1943100"/>
                </a:moveTo>
                <a:lnTo>
                  <a:pt x="5343144" y="1943100"/>
                </a:lnTo>
                <a:lnTo>
                  <a:pt x="5343144" y="2185924"/>
                </a:lnTo>
                <a:lnTo>
                  <a:pt x="6000496" y="2185924"/>
                </a:lnTo>
                <a:lnTo>
                  <a:pt x="6000496" y="1943100"/>
                </a:lnTo>
                <a:close/>
              </a:path>
              <a:path w="6000750" h="4471670">
                <a:moveTo>
                  <a:pt x="6000496" y="1214120"/>
                </a:moveTo>
                <a:lnTo>
                  <a:pt x="5343144" y="1214120"/>
                </a:lnTo>
                <a:lnTo>
                  <a:pt x="5343144" y="1456944"/>
                </a:lnTo>
                <a:lnTo>
                  <a:pt x="5343144" y="1699768"/>
                </a:lnTo>
                <a:lnTo>
                  <a:pt x="5343144" y="1942592"/>
                </a:lnTo>
                <a:lnTo>
                  <a:pt x="6000496" y="1942592"/>
                </a:lnTo>
                <a:lnTo>
                  <a:pt x="6000496" y="1699768"/>
                </a:lnTo>
                <a:lnTo>
                  <a:pt x="6000496" y="1456944"/>
                </a:lnTo>
                <a:lnTo>
                  <a:pt x="6000496" y="1214120"/>
                </a:lnTo>
                <a:close/>
              </a:path>
            </a:pathLst>
          </a:custGeom>
          <a:solidFill>
            <a:srgbClr val="FFFFFF"/>
          </a:solidFill>
        </xdr:spPr>
      </xdr:sp>
      <xdr:sp macro="" textlink="">
        <xdr:nvSpPr>
          <xdr:cNvPr id="6" name="Shape 6"/>
          <xdr:cNvSpPr/>
        </xdr:nvSpPr>
        <xdr:spPr>
          <a:xfrm>
            <a:off x="2229231" y="2285491"/>
            <a:ext cx="6000750" cy="2186305"/>
          </a:xfrm>
          <a:custGeom>
            <a:avLst/>
            <a:gdLst/>
            <a:ahLst/>
            <a:cxnLst/>
            <a:rect l="0" t="0" r="0" b="0"/>
            <a:pathLst>
              <a:path w="6000750" h="2186305">
                <a:moveTo>
                  <a:pt x="571500" y="1457452"/>
                </a:moveTo>
                <a:lnTo>
                  <a:pt x="0" y="1457452"/>
                </a:lnTo>
                <a:lnTo>
                  <a:pt x="0" y="1700276"/>
                </a:lnTo>
                <a:lnTo>
                  <a:pt x="0" y="1943100"/>
                </a:lnTo>
                <a:lnTo>
                  <a:pt x="0" y="2185924"/>
                </a:lnTo>
                <a:lnTo>
                  <a:pt x="571500" y="2185924"/>
                </a:lnTo>
                <a:lnTo>
                  <a:pt x="571500" y="1943100"/>
                </a:lnTo>
                <a:lnTo>
                  <a:pt x="571500" y="1700276"/>
                </a:lnTo>
                <a:lnTo>
                  <a:pt x="571500" y="1457452"/>
                </a:lnTo>
                <a:close/>
              </a:path>
              <a:path w="6000750" h="2186305">
                <a:moveTo>
                  <a:pt x="571500" y="728484"/>
                </a:moveTo>
                <a:lnTo>
                  <a:pt x="0" y="728484"/>
                </a:lnTo>
                <a:lnTo>
                  <a:pt x="0" y="971296"/>
                </a:lnTo>
                <a:lnTo>
                  <a:pt x="0" y="1214120"/>
                </a:lnTo>
                <a:lnTo>
                  <a:pt x="0" y="1456944"/>
                </a:lnTo>
                <a:lnTo>
                  <a:pt x="571500" y="1456944"/>
                </a:lnTo>
                <a:lnTo>
                  <a:pt x="571500" y="1214120"/>
                </a:lnTo>
                <a:lnTo>
                  <a:pt x="571500" y="971296"/>
                </a:lnTo>
                <a:lnTo>
                  <a:pt x="571500" y="728484"/>
                </a:lnTo>
                <a:close/>
              </a:path>
              <a:path w="6000750" h="2186305">
                <a:moveTo>
                  <a:pt x="571500" y="0"/>
                </a:moveTo>
                <a:lnTo>
                  <a:pt x="0" y="0"/>
                </a:lnTo>
                <a:lnTo>
                  <a:pt x="0" y="242824"/>
                </a:lnTo>
                <a:lnTo>
                  <a:pt x="0" y="485648"/>
                </a:lnTo>
                <a:lnTo>
                  <a:pt x="0" y="728472"/>
                </a:lnTo>
                <a:lnTo>
                  <a:pt x="571500" y="728472"/>
                </a:lnTo>
                <a:lnTo>
                  <a:pt x="571500" y="485648"/>
                </a:lnTo>
                <a:lnTo>
                  <a:pt x="571500" y="242824"/>
                </a:lnTo>
                <a:lnTo>
                  <a:pt x="571500" y="0"/>
                </a:lnTo>
                <a:close/>
              </a:path>
              <a:path w="6000750" h="2186305">
                <a:moveTo>
                  <a:pt x="6000496" y="1457452"/>
                </a:moveTo>
                <a:lnTo>
                  <a:pt x="6000496" y="1457452"/>
                </a:lnTo>
                <a:lnTo>
                  <a:pt x="3871976" y="1457452"/>
                </a:lnTo>
                <a:lnTo>
                  <a:pt x="3871976" y="1700276"/>
                </a:lnTo>
                <a:lnTo>
                  <a:pt x="3871976" y="1943100"/>
                </a:lnTo>
                <a:lnTo>
                  <a:pt x="3871976" y="2185924"/>
                </a:lnTo>
                <a:lnTo>
                  <a:pt x="4271772" y="2185924"/>
                </a:lnTo>
                <a:lnTo>
                  <a:pt x="6000496" y="2185924"/>
                </a:lnTo>
                <a:lnTo>
                  <a:pt x="6000496" y="1943100"/>
                </a:lnTo>
                <a:lnTo>
                  <a:pt x="6000496" y="1700276"/>
                </a:lnTo>
                <a:lnTo>
                  <a:pt x="6000496" y="1457452"/>
                </a:lnTo>
                <a:close/>
              </a:path>
              <a:path w="6000750" h="2186305">
                <a:moveTo>
                  <a:pt x="6000496" y="728484"/>
                </a:moveTo>
                <a:lnTo>
                  <a:pt x="6000496" y="728484"/>
                </a:lnTo>
                <a:lnTo>
                  <a:pt x="3871976" y="728484"/>
                </a:lnTo>
                <a:lnTo>
                  <a:pt x="3871976" y="971296"/>
                </a:lnTo>
                <a:lnTo>
                  <a:pt x="3871976" y="1214120"/>
                </a:lnTo>
                <a:lnTo>
                  <a:pt x="3871976" y="1456944"/>
                </a:lnTo>
                <a:lnTo>
                  <a:pt x="4271772" y="1456944"/>
                </a:lnTo>
                <a:lnTo>
                  <a:pt x="6000496" y="1456944"/>
                </a:lnTo>
                <a:lnTo>
                  <a:pt x="6000496" y="1214120"/>
                </a:lnTo>
                <a:lnTo>
                  <a:pt x="6000496" y="971296"/>
                </a:lnTo>
                <a:lnTo>
                  <a:pt x="6000496" y="728484"/>
                </a:lnTo>
                <a:close/>
              </a:path>
              <a:path w="6000750" h="2186305">
                <a:moveTo>
                  <a:pt x="6000496" y="0"/>
                </a:moveTo>
                <a:lnTo>
                  <a:pt x="5343652" y="0"/>
                </a:lnTo>
                <a:lnTo>
                  <a:pt x="5343144" y="0"/>
                </a:lnTo>
                <a:lnTo>
                  <a:pt x="4943348" y="0"/>
                </a:lnTo>
                <a:lnTo>
                  <a:pt x="4271772" y="0"/>
                </a:lnTo>
                <a:lnTo>
                  <a:pt x="4271772" y="242824"/>
                </a:lnTo>
                <a:lnTo>
                  <a:pt x="4271772" y="485648"/>
                </a:lnTo>
                <a:lnTo>
                  <a:pt x="4271772" y="728472"/>
                </a:lnTo>
                <a:lnTo>
                  <a:pt x="4943348" y="728472"/>
                </a:lnTo>
                <a:lnTo>
                  <a:pt x="5343144" y="728472"/>
                </a:lnTo>
                <a:lnTo>
                  <a:pt x="5343652" y="728472"/>
                </a:lnTo>
                <a:lnTo>
                  <a:pt x="6000496" y="728472"/>
                </a:lnTo>
                <a:lnTo>
                  <a:pt x="6000496" y="485648"/>
                </a:lnTo>
                <a:lnTo>
                  <a:pt x="6000496" y="242824"/>
                </a:lnTo>
                <a:lnTo>
                  <a:pt x="6000496" y="0"/>
                </a:lnTo>
                <a:close/>
              </a:path>
            </a:pathLst>
          </a:custGeom>
          <a:solidFill>
            <a:srgbClr val="FFFFFF"/>
          </a:solidFill>
        </xdr:spPr>
      </xdr:sp>
    </xdr:grpSp>
    <xdr:clientData/>
  </xdr:oneCellAnchor>
  <xdr:oneCellAnchor>
    <xdr:from>
      <xdr:col>23</xdr:col>
      <xdr:colOff>18795</xdr:colOff>
      <xdr:row>57</xdr:row>
      <xdr:rowOff>62484</xdr:rowOff>
    </xdr:from>
    <xdr:ext cx="657860" cy="228600"/>
    <xdr:sp macro="" textlink="">
      <xdr:nvSpPr>
        <xdr:cNvPr id="7" name="Shape 7"/>
        <xdr:cNvSpPr/>
      </xdr:nvSpPr>
      <xdr:spPr>
        <a:xfrm>
          <a:off x="7800720" y="17598009"/>
          <a:ext cx="657860" cy="228600"/>
        </a:xfrm>
        <a:custGeom>
          <a:avLst/>
          <a:gdLst/>
          <a:ahLst/>
          <a:cxnLst/>
          <a:rect l="0" t="0" r="0" b="0"/>
          <a:pathLst>
            <a:path w="657860" h="228600">
              <a:moveTo>
                <a:pt x="657351" y="0"/>
              </a:moveTo>
              <a:lnTo>
                <a:pt x="0" y="0"/>
              </a:lnTo>
              <a:lnTo>
                <a:pt x="0" y="228599"/>
              </a:lnTo>
              <a:lnTo>
                <a:pt x="657351" y="228599"/>
              </a:lnTo>
              <a:lnTo>
                <a:pt x="657351" y="0"/>
              </a:lnTo>
              <a:close/>
            </a:path>
          </a:pathLst>
        </a:custGeom>
        <a:solidFill>
          <a:srgbClr val="FFFFFF">
            <a:alpha val="50000"/>
          </a:srgbClr>
        </a:solidFill>
      </xdr:spPr>
    </xdr:sp>
    <xdr:clientData/>
  </xdr:oneCellAnchor>
  <xdr:oneCellAnchor>
    <xdr:from>
      <xdr:col>3</xdr:col>
      <xdr:colOff>127000</xdr:colOff>
      <xdr:row>80</xdr:row>
      <xdr:rowOff>1</xdr:rowOff>
    </xdr:from>
    <xdr:ext cx="3715385" cy="133350"/>
    <xdr:sp macro="" textlink="">
      <xdr:nvSpPr>
        <xdr:cNvPr id="8" name="Shape 8"/>
        <xdr:cNvSpPr/>
      </xdr:nvSpPr>
      <xdr:spPr>
        <a:xfrm>
          <a:off x="565150" y="28241626"/>
          <a:ext cx="3715385" cy="133350"/>
        </a:xfrm>
        <a:custGeom>
          <a:avLst/>
          <a:gdLst/>
          <a:ahLst/>
          <a:cxnLst/>
          <a:rect l="0" t="0" r="0" b="0"/>
          <a:pathLst>
            <a:path w="3715385" h="133350">
              <a:moveTo>
                <a:pt x="0" y="133096"/>
              </a:moveTo>
              <a:lnTo>
                <a:pt x="3715004" y="133096"/>
              </a:lnTo>
              <a:lnTo>
                <a:pt x="3715004" y="0"/>
              </a:lnTo>
              <a:lnTo>
                <a:pt x="0" y="0"/>
              </a:lnTo>
              <a:lnTo>
                <a:pt x="0" y="133096"/>
              </a:lnTo>
              <a:close/>
            </a:path>
          </a:pathLst>
        </a:custGeom>
        <a:solidFill>
          <a:srgbClr val="FFFFFF"/>
        </a:solidFill>
      </xdr:spPr>
    </xdr:sp>
    <xdr:clientData/>
  </xdr:oneCellAnchor>
  <xdr:oneCellAnchor>
    <xdr:from>
      <xdr:col>3</xdr:col>
      <xdr:colOff>26797</xdr:colOff>
      <xdr:row>81</xdr:row>
      <xdr:rowOff>1</xdr:rowOff>
    </xdr:from>
    <xdr:ext cx="8230234" cy="172085"/>
    <xdr:grpSp>
      <xdr:nvGrpSpPr>
        <xdr:cNvPr id="9" name="Group 9"/>
        <xdr:cNvGrpSpPr/>
      </xdr:nvGrpSpPr>
      <xdr:grpSpPr>
        <a:xfrm>
          <a:off x="645922" y="23447376"/>
          <a:ext cx="8230234" cy="172085"/>
          <a:chOff x="0" y="0"/>
          <a:chExt cx="8230234" cy="172085"/>
        </a:xfrm>
      </xdr:grpSpPr>
      <xdr:sp macro="" textlink="">
        <xdr:nvSpPr>
          <xdr:cNvPr id="10" name="Shape 10"/>
          <xdr:cNvSpPr/>
        </xdr:nvSpPr>
        <xdr:spPr>
          <a:xfrm>
            <a:off x="1414907" y="0"/>
            <a:ext cx="2400300" cy="172085"/>
          </a:xfrm>
          <a:custGeom>
            <a:avLst/>
            <a:gdLst/>
            <a:ahLst/>
            <a:cxnLst/>
            <a:rect l="0" t="0" r="0" b="0"/>
            <a:pathLst>
              <a:path w="2400300" h="172085">
                <a:moveTo>
                  <a:pt x="2400300" y="0"/>
                </a:moveTo>
                <a:lnTo>
                  <a:pt x="1200404" y="0"/>
                </a:lnTo>
                <a:lnTo>
                  <a:pt x="1199896" y="0"/>
                </a:lnTo>
                <a:lnTo>
                  <a:pt x="0" y="0"/>
                </a:lnTo>
                <a:lnTo>
                  <a:pt x="0" y="171704"/>
                </a:lnTo>
                <a:lnTo>
                  <a:pt x="1199896" y="171704"/>
                </a:lnTo>
                <a:lnTo>
                  <a:pt x="1200404" y="171704"/>
                </a:lnTo>
                <a:lnTo>
                  <a:pt x="2400300" y="171704"/>
                </a:lnTo>
                <a:lnTo>
                  <a:pt x="2400300" y="0"/>
                </a:lnTo>
                <a:close/>
              </a:path>
            </a:pathLst>
          </a:custGeom>
          <a:solidFill>
            <a:srgbClr val="FFFFFF"/>
          </a:solidFill>
        </xdr:spPr>
      </xdr:sp>
      <xdr:sp macro="" textlink="">
        <xdr:nvSpPr>
          <xdr:cNvPr id="11" name="Shape 11"/>
          <xdr:cNvSpPr/>
        </xdr:nvSpPr>
        <xdr:spPr>
          <a:xfrm>
            <a:off x="0" y="171704"/>
            <a:ext cx="8230234" cy="0"/>
          </a:xfrm>
          <a:custGeom>
            <a:avLst/>
            <a:gdLst/>
            <a:ahLst/>
            <a:cxnLst/>
            <a:rect l="0" t="0" r="0" b="0"/>
            <a:pathLst>
              <a:path w="8230234">
                <a:moveTo>
                  <a:pt x="0" y="0"/>
                </a:moveTo>
                <a:lnTo>
                  <a:pt x="8229727" y="0"/>
                </a:lnTo>
              </a:path>
            </a:pathLst>
          </a:custGeom>
          <a:ln w="3175">
            <a:solidFill>
              <a:srgbClr val="000000"/>
            </a:solidFill>
          </a:ln>
        </xdr:spPr>
      </xdr:sp>
    </xdr:grpSp>
    <xdr:clientData/>
  </xdr:oneCellAnchor>
  <xdr:oneCellAnchor>
    <xdr:from>
      <xdr:col>13</xdr:col>
      <xdr:colOff>257291</xdr:colOff>
      <xdr:row>70</xdr:row>
      <xdr:rowOff>4361</xdr:rowOff>
    </xdr:from>
    <xdr:ext cx="1030874" cy="1049617"/>
    <xdr:pic>
      <xdr:nvPicPr>
        <xdr:cNvPr id="12" name="image1.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53016" y="25617086"/>
          <a:ext cx="1030874" cy="1049617"/>
        </a:xfrm>
        <a:prstGeom prst="rect">
          <a:avLst/>
        </a:prstGeom>
      </xdr:spPr>
    </xdr:pic>
    <xdr:clientData/>
  </xdr:oneCellAnchor>
  <xdr:oneCellAnchor>
    <xdr:from>
      <xdr:col>3</xdr:col>
      <xdr:colOff>26797</xdr:colOff>
      <xdr:row>82</xdr:row>
      <xdr:rowOff>1</xdr:rowOff>
    </xdr:from>
    <xdr:ext cx="8230234" cy="780415"/>
    <xdr:grpSp>
      <xdr:nvGrpSpPr>
        <xdr:cNvPr id="13" name="Group 13"/>
        <xdr:cNvGrpSpPr/>
      </xdr:nvGrpSpPr>
      <xdr:grpSpPr>
        <a:xfrm>
          <a:off x="645922" y="23622001"/>
          <a:ext cx="8230234" cy="780415"/>
          <a:chOff x="0" y="0"/>
          <a:chExt cx="8230234" cy="780415"/>
        </a:xfrm>
      </xdr:grpSpPr>
      <xdr:sp macro="" textlink="">
        <xdr:nvSpPr>
          <xdr:cNvPr id="14" name="Shape 14"/>
          <xdr:cNvSpPr/>
        </xdr:nvSpPr>
        <xdr:spPr>
          <a:xfrm>
            <a:off x="0" y="780287"/>
            <a:ext cx="8230234" cy="0"/>
          </a:xfrm>
          <a:custGeom>
            <a:avLst/>
            <a:gdLst/>
            <a:ahLst/>
            <a:cxnLst/>
            <a:rect l="0" t="0" r="0" b="0"/>
            <a:pathLst>
              <a:path w="8230234">
                <a:moveTo>
                  <a:pt x="0" y="0"/>
                </a:moveTo>
                <a:lnTo>
                  <a:pt x="8229727" y="0"/>
                </a:lnTo>
              </a:path>
            </a:pathLst>
          </a:custGeom>
          <a:ln w="3175">
            <a:solidFill>
              <a:srgbClr val="000000"/>
            </a:solidFill>
          </a:ln>
        </xdr:spPr>
      </xdr:sp>
      <xdr:pic>
        <xdr:nvPicPr>
          <xdr:cNvPr id="15" name="image2.jpe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043" y="0"/>
            <a:ext cx="989584" cy="770635"/>
          </a:xfrm>
          <a:prstGeom prst="rect">
            <a:avLst/>
          </a:prstGeom>
        </xdr:spPr>
      </xdr:pic>
    </xdr:grp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Other%20computers\My%20Computer\Last%203%20Months\JANUARY%202023\03-01-2023\7211805783%20,%20DL10CR%203417%20,%20Salochana%20Manglani\3417%20BI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2">
          <cell r="E2">
            <v>85072000</v>
          </cell>
          <cell r="L2">
            <v>0.28000000000000003</v>
          </cell>
        </row>
        <row r="3">
          <cell r="E3">
            <v>85443000</v>
          </cell>
          <cell r="L3">
            <v>0.18</v>
          </cell>
        </row>
        <row r="4">
          <cell r="E4">
            <v>87089900</v>
          </cell>
          <cell r="L4">
            <v>0.28000000000000003</v>
          </cell>
        </row>
        <row r="5">
          <cell r="E5">
            <v>40169340</v>
          </cell>
          <cell r="L5">
            <v>0.18</v>
          </cell>
        </row>
        <row r="6">
          <cell r="E6">
            <v>40169340</v>
          </cell>
          <cell r="L6">
            <v>0.18</v>
          </cell>
        </row>
        <row r="7">
          <cell r="E7">
            <v>40094200</v>
          </cell>
          <cell r="L7">
            <v>0.18</v>
          </cell>
        </row>
        <row r="8">
          <cell r="E8">
            <v>40094200</v>
          </cell>
          <cell r="L8">
            <v>0.18</v>
          </cell>
        </row>
        <row r="9">
          <cell r="E9">
            <v>84213100</v>
          </cell>
          <cell r="L9">
            <v>0.18</v>
          </cell>
        </row>
        <row r="10">
          <cell r="E10">
            <v>40094200</v>
          </cell>
          <cell r="L10">
            <v>0.18</v>
          </cell>
        </row>
        <row r="11">
          <cell r="E11">
            <v>84099990</v>
          </cell>
          <cell r="L11">
            <v>0.28000000000000003</v>
          </cell>
        </row>
        <row r="12">
          <cell r="E12">
            <v>40094200</v>
          </cell>
          <cell r="L12">
            <v>0.18</v>
          </cell>
        </row>
        <row r="13">
          <cell r="E13">
            <v>87089900</v>
          </cell>
          <cell r="L13">
            <v>0.28000000000000003</v>
          </cell>
        </row>
        <row r="15">
          <cell r="E15">
            <v>85115000</v>
          </cell>
          <cell r="L15">
            <v>0.28000000000000003</v>
          </cell>
        </row>
        <row r="16">
          <cell r="E16">
            <v>84818090</v>
          </cell>
          <cell r="L16">
            <v>0.18</v>
          </cell>
        </row>
        <row r="17">
          <cell r="E17">
            <v>87089900</v>
          </cell>
          <cell r="L17">
            <v>0.28000000000000003</v>
          </cell>
        </row>
        <row r="18">
          <cell r="E18">
            <v>84099990</v>
          </cell>
          <cell r="L18">
            <v>0.28000000000000003</v>
          </cell>
        </row>
        <row r="19">
          <cell r="E19">
            <v>73269099</v>
          </cell>
          <cell r="L19">
            <v>0.28000000000000003</v>
          </cell>
        </row>
        <row r="20">
          <cell r="E20">
            <v>40169990</v>
          </cell>
          <cell r="L20">
            <v>0.18</v>
          </cell>
        </row>
        <row r="21">
          <cell r="E21">
            <v>40169990</v>
          </cell>
          <cell r="L21">
            <v>0.18</v>
          </cell>
        </row>
        <row r="22">
          <cell r="E22">
            <v>87089900</v>
          </cell>
          <cell r="L22">
            <v>0.28000000000000003</v>
          </cell>
        </row>
        <row r="23">
          <cell r="E23">
            <v>73182200</v>
          </cell>
          <cell r="L23">
            <v>0.28000000000000003</v>
          </cell>
        </row>
        <row r="24">
          <cell r="E24">
            <v>84133090</v>
          </cell>
          <cell r="L24">
            <v>0.28000000000000003</v>
          </cell>
        </row>
        <row r="25">
          <cell r="E25">
            <v>73269099</v>
          </cell>
          <cell r="L25">
            <v>0.18</v>
          </cell>
        </row>
        <row r="26">
          <cell r="E26">
            <v>73181900</v>
          </cell>
          <cell r="L26">
            <v>0.18</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Parts@list"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customercare@mahindr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AO161"/>
  <sheetViews>
    <sheetView view="pageBreakPreview" topLeftCell="C1" zoomScale="60" zoomScaleNormal="60" workbookViewId="0">
      <selection activeCell="M93" sqref="M93"/>
    </sheetView>
  </sheetViews>
  <sheetFormatPr defaultColWidth="14.7265625" defaultRowHeight="17.5" x14ac:dyDescent="0.35"/>
  <cols>
    <col min="1" max="1" width="1" style="52" hidden="1" customWidth="1"/>
    <col min="2" max="2" width="0.26953125" style="52" hidden="1" customWidth="1"/>
    <col min="3" max="3" width="11.54296875" style="52" customWidth="1"/>
    <col min="4" max="5" width="22.26953125" style="52" customWidth="1"/>
    <col min="6" max="6" width="21.453125" style="52" customWidth="1"/>
    <col min="7" max="7" width="18.54296875" style="52" customWidth="1"/>
    <col min="8" max="8" width="14.1796875" style="52" customWidth="1"/>
    <col min="9" max="9" width="17.54296875" style="52" customWidth="1"/>
    <col min="10" max="10" width="19.54296875" style="52" customWidth="1"/>
    <col min="11" max="11" width="12.453125" style="52" customWidth="1"/>
    <col min="12" max="12" width="10.26953125" style="52" customWidth="1"/>
    <col min="13" max="13" width="17.54296875" style="52" customWidth="1"/>
    <col min="14" max="14" width="17.453125" style="52" customWidth="1"/>
    <col min="15" max="15" width="15.54296875" style="52" customWidth="1"/>
    <col min="16" max="16" width="21" style="52" customWidth="1"/>
    <col min="17" max="17" width="24" style="52" customWidth="1"/>
    <col min="18" max="18" width="18.453125" style="52" customWidth="1"/>
    <col min="19" max="19" width="21.7265625" style="52" customWidth="1"/>
    <col min="20" max="20" width="18.7265625" style="57" customWidth="1"/>
    <col min="21" max="21" width="14.7265625" style="52" hidden="1" customWidth="1"/>
    <col min="22" max="22" width="18.81640625" style="52" customWidth="1"/>
    <col min="23" max="31" width="14.7265625" style="52"/>
    <col min="32" max="32" width="16.26953125" style="52" customWidth="1"/>
    <col min="33" max="33" width="12.81640625" style="52" customWidth="1"/>
    <col min="34" max="256" width="14.7265625" style="52"/>
    <col min="257" max="258" width="0" style="52" hidden="1" customWidth="1"/>
    <col min="259" max="259" width="11.54296875" style="52" customWidth="1"/>
    <col min="260" max="261" width="22.26953125" style="52" customWidth="1"/>
    <col min="262" max="262" width="21.453125" style="52" customWidth="1"/>
    <col min="263" max="263" width="18.54296875" style="52" customWidth="1"/>
    <col min="264" max="264" width="14.1796875" style="52" customWidth="1"/>
    <col min="265" max="265" width="17.54296875" style="52" customWidth="1"/>
    <col min="266" max="266" width="19.54296875" style="52" customWidth="1"/>
    <col min="267" max="267" width="12.453125" style="52" customWidth="1"/>
    <col min="268" max="268" width="10.26953125" style="52" customWidth="1"/>
    <col min="269" max="269" width="17.54296875" style="52" customWidth="1"/>
    <col min="270" max="270" width="17.453125" style="52" customWidth="1"/>
    <col min="271" max="271" width="15.54296875" style="52" customWidth="1"/>
    <col min="272" max="272" width="21" style="52" customWidth="1"/>
    <col min="273" max="273" width="24" style="52" customWidth="1"/>
    <col min="274" max="274" width="18.453125" style="52" customWidth="1"/>
    <col min="275" max="275" width="21.7265625" style="52" customWidth="1"/>
    <col min="276" max="276" width="14.7265625" style="52" customWidth="1"/>
    <col min="277" max="277" width="0" style="52" hidden="1" customWidth="1"/>
    <col min="278" max="278" width="18.81640625" style="52" customWidth="1"/>
    <col min="279" max="287" width="14.7265625" style="52"/>
    <col min="288" max="288" width="16.26953125" style="52" customWidth="1"/>
    <col min="289" max="289" width="12.81640625" style="52" customWidth="1"/>
    <col min="290" max="512" width="14.7265625" style="52"/>
    <col min="513" max="514" width="0" style="52" hidden="1" customWidth="1"/>
    <col min="515" max="515" width="11.54296875" style="52" customWidth="1"/>
    <col min="516" max="517" width="22.26953125" style="52" customWidth="1"/>
    <col min="518" max="518" width="21.453125" style="52" customWidth="1"/>
    <col min="519" max="519" width="18.54296875" style="52" customWidth="1"/>
    <col min="520" max="520" width="14.1796875" style="52" customWidth="1"/>
    <col min="521" max="521" width="17.54296875" style="52" customWidth="1"/>
    <col min="522" max="522" width="19.54296875" style="52" customWidth="1"/>
    <col min="523" max="523" width="12.453125" style="52" customWidth="1"/>
    <col min="524" max="524" width="10.26953125" style="52" customWidth="1"/>
    <col min="525" max="525" width="17.54296875" style="52" customWidth="1"/>
    <col min="526" max="526" width="17.453125" style="52" customWidth="1"/>
    <col min="527" max="527" width="15.54296875" style="52" customWidth="1"/>
    <col min="528" max="528" width="21" style="52" customWidth="1"/>
    <col min="529" max="529" width="24" style="52" customWidth="1"/>
    <col min="530" max="530" width="18.453125" style="52" customWidth="1"/>
    <col min="531" max="531" width="21.7265625" style="52" customWidth="1"/>
    <col min="532" max="532" width="14.7265625" style="52" customWidth="1"/>
    <col min="533" max="533" width="0" style="52" hidden="1" customWidth="1"/>
    <col min="534" max="534" width="18.81640625" style="52" customWidth="1"/>
    <col min="535" max="543" width="14.7265625" style="52"/>
    <col min="544" max="544" width="16.26953125" style="52" customWidth="1"/>
    <col min="545" max="545" width="12.81640625" style="52" customWidth="1"/>
    <col min="546" max="768" width="14.7265625" style="52"/>
    <col min="769" max="770" width="0" style="52" hidden="1" customWidth="1"/>
    <col min="771" max="771" width="11.54296875" style="52" customWidth="1"/>
    <col min="772" max="773" width="22.26953125" style="52" customWidth="1"/>
    <col min="774" max="774" width="21.453125" style="52" customWidth="1"/>
    <col min="775" max="775" width="18.54296875" style="52" customWidth="1"/>
    <col min="776" max="776" width="14.1796875" style="52" customWidth="1"/>
    <col min="777" max="777" width="17.54296875" style="52" customWidth="1"/>
    <col min="778" max="778" width="19.54296875" style="52" customWidth="1"/>
    <col min="779" max="779" width="12.453125" style="52" customWidth="1"/>
    <col min="780" max="780" width="10.26953125" style="52" customWidth="1"/>
    <col min="781" max="781" width="17.54296875" style="52" customWidth="1"/>
    <col min="782" max="782" width="17.453125" style="52" customWidth="1"/>
    <col min="783" max="783" width="15.54296875" style="52" customWidth="1"/>
    <col min="784" max="784" width="21" style="52" customWidth="1"/>
    <col min="785" max="785" width="24" style="52" customWidth="1"/>
    <col min="786" max="786" width="18.453125" style="52" customWidth="1"/>
    <col min="787" max="787" width="21.7265625" style="52" customWidth="1"/>
    <col min="788" max="788" width="14.7265625" style="52" customWidth="1"/>
    <col min="789" max="789" width="0" style="52" hidden="1" customWidth="1"/>
    <col min="790" max="790" width="18.81640625" style="52" customWidth="1"/>
    <col min="791" max="799" width="14.7265625" style="52"/>
    <col min="800" max="800" width="16.26953125" style="52" customWidth="1"/>
    <col min="801" max="801" width="12.81640625" style="52" customWidth="1"/>
    <col min="802" max="1024" width="14.7265625" style="52"/>
    <col min="1025" max="1026" width="0" style="52" hidden="1" customWidth="1"/>
    <col min="1027" max="1027" width="11.54296875" style="52" customWidth="1"/>
    <col min="1028" max="1029" width="22.26953125" style="52" customWidth="1"/>
    <col min="1030" max="1030" width="21.453125" style="52" customWidth="1"/>
    <col min="1031" max="1031" width="18.54296875" style="52" customWidth="1"/>
    <col min="1032" max="1032" width="14.1796875" style="52" customWidth="1"/>
    <col min="1033" max="1033" width="17.54296875" style="52" customWidth="1"/>
    <col min="1034" max="1034" width="19.54296875" style="52" customWidth="1"/>
    <col min="1035" max="1035" width="12.453125" style="52" customWidth="1"/>
    <col min="1036" max="1036" width="10.26953125" style="52" customWidth="1"/>
    <col min="1037" max="1037" width="17.54296875" style="52" customWidth="1"/>
    <col min="1038" max="1038" width="17.453125" style="52" customWidth="1"/>
    <col min="1039" max="1039" width="15.54296875" style="52" customWidth="1"/>
    <col min="1040" max="1040" width="21" style="52" customWidth="1"/>
    <col min="1041" max="1041" width="24" style="52" customWidth="1"/>
    <col min="1042" max="1042" width="18.453125" style="52" customWidth="1"/>
    <col min="1043" max="1043" width="21.7265625" style="52" customWidth="1"/>
    <col min="1044" max="1044" width="14.7265625" style="52" customWidth="1"/>
    <col min="1045" max="1045" width="0" style="52" hidden="1" customWidth="1"/>
    <col min="1046" max="1046" width="18.81640625" style="52" customWidth="1"/>
    <col min="1047" max="1055" width="14.7265625" style="52"/>
    <col min="1056" max="1056" width="16.26953125" style="52" customWidth="1"/>
    <col min="1057" max="1057" width="12.81640625" style="52" customWidth="1"/>
    <col min="1058" max="1280" width="14.7265625" style="52"/>
    <col min="1281" max="1282" width="0" style="52" hidden="1" customWidth="1"/>
    <col min="1283" max="1283" width="11.54296875" style="52" customWidth="1"/>
    <col min="1284" max="1285" width="22.26953125" style="52" customWidth="1"/>
    <col min="1286" max="1286" width="21.453125" style="52" customWidth="1"/>
    <col min="1287" max="1287" width="18.54296875" style="52" customWidth="1"/>
    <col min="1288" max="1288" width="14.1796875" style="52" customWidth="1"/>
    <col min="1289" max="1289" width="17.54296875" style="52" customWidth="1"/>
    <col min="1290" max="1290" width="19.54296875" style="52" customWidth="1"/>
    <col min="1291" max="1291" width="12.453125" style="52" customWidth="1"/>
    <col min="1292" max="1292" width="10.26953125" style="52" customWidth="1"/>
    <col min="1293" max="1293" width="17.54296875" style="52" customWidth="1"/>
    <col min="1294" max="1294" width="17.453125" style="52" customWidth="1"/>
    <col min="1295" max="1295" width="15.54296875" style="52" customWidth="1"/>
    <col min="1296" max="1296" width="21" style="52" customWidth="1"/>
    <col min="1297" max="1297" width="24" style="52" customWidth="1"/>
    <col min="1298" max="1298" width="18.453125" style="52" customWidth="1"/>
    <col min="1299" max="1299" width="21.7265625" style="52" customWidth="1"/>
    <col min="1300" max="1300" width="14.7265625" style="52" customWidth="1"/>
    <col min="1301" max="1301" width="0" style="52" hidden="1" customWidth="1"/>
    <col min="1302" max="1302" width="18.81640625" style="52" customWidth="1"/>
    <col min="1303" max="1311" width="14.7265625" style="52"/>
    <col min="1312" max="1312" width="16.26953125" style="52" customWidth="1"/>
    <col min="1313" max="1313" width="12.81640625" style="52" customWidth="1"/>
    <col min="1314" max="1536" width="14.7265625" style="52"/>
    <col min="1537" max="1538" width="0" style="52" hidden="1" customWidth="1"/>
    <col min="1539" max="1539" width="11.54296875" style="52" customWidth="1"/>
    <col min="1540" max="1541" width="22.26953125" style="52" customWidth="1"/>
    <col min="1542" max="1542" width="21.453125" style="52" customWidth="1"/>
    <col min="1543" max="1543" width="18.54296875" style="52" customWidth="1"/>
    <col min="1544" max="1544" width="14.1796875" style="52" customWidth="1"/>
    <col min="1545" max="1545" width="17.54296875" style="52" customWidth="1"/>
    <col min="1546" max="1546" width="19.54296875" style="52" customWidth="1"/>
    <col min="1547" max="1547" width="12.453125" style="52" customWidth="1"/>
    <col min="1548" max="1548" width="10.26953125" style="52" customWidth="1"/>
    <col min="1549" max="1549" width="17.54296875" style="52" customWidth="1"/>
    <col min="1550" max="1550" width="17.453125" style="52" customWidth="1"/>
    <col min="1551" max="1551" width="15.54296875" style="52" customWidth="1"/>
    <col min="1552" max="1552" width="21" style="52" customWidth="1"/>
    <col min="1553" max="1553" width="24" style="52" customWidth="1"/>
    <col min="1554" max="1554" width="18.453125" style="52" customWidth="1"/>
    <col min="1555" max="1555" width="21.7265625" style="52" customWidth="1"/>
    <col min="1556" max="1556" width="14.7265625" style="52" customWidth="1"/>
    <col min="1557" max="1557" width="0" style="52" hidden="1" customWidth="1"/>
    <col min="1558" max="1558" width="18.81640625" style="52" customWidth="1"/>
    <col min="1559" max="1567" width="14.7265625" style="52"/>
    <col min="1568" max="1568" width="16.26953125" style="52" customWidth="1"/>
    <col min="1569" max="1569" width="12.81640625" style="52" customWidth="1"/>
    <col min="1570" max="1792" width="14.7265625" style="52"/>
    <col min="1793" max="1794" width="0" style="52" hidden="1" customWidth="1"/>
    <col min="1795" max="1795" width="11.54296875" style="52" customWidth="1"/>
    <col min="1796" max="1797" width="22.26953125" style="52" customWidth="1"/>
    <col min="1798" max="1798" width="21.453125" style="52" customWidth="1"/>
    <col min="1799" max="1799" width="18.54296875" style="52" customWidth="1"/>
    <col min="1800" max="1800" width="14.1796875" style="52" customWidth="1"/>
    <col min="1801" max="1801" width="17.54296875" style="52" customWidth="1"/>
    <col min="1802" max="1802" width="19.54296875" style="52" customWidth="1"/>
    <col min="1803" max="1803" width="12.453125" style="52" customWidth="1"/>
    <col min="1804" max="1804" width="10.26953125" style="52" customWidth="1"/>
    <col min="1805" max="1805" width="17.54296875" style="52" customWidth="1"/>
    <col min="1806" max="1806" width="17.453125" style="52" customWidth="1"/>
    <col min="1807" max="1807" width="15.54296875" style="52" customWidth="1"/>
    <col min="1808" max="1808" width="21" style="52" customWidth="1"/>
    <col min="1809" max="1809" width="24" style="52" customWidth="1"/>
    <col min="1810" max="1810" width="18.453125" style="52" customWidth="1"/>
    <col min="1811" max="1811" width="21.7265625" style="52" customWidth="1"/>
    <col min="1812" max="1812" width="14.7265625" style="52" customWidth="1"/>
    <col min="1813" max="1813" width="0" style="52" hidden="1" customWidth="1"/>
    <col min="1814" max="1814" width="18.81640625" style="52" customWidth="1"/>
    <col min="1815" max="1823" width="14.7265625" style="52"/>
    <col min="1824" max="1824" width="16.26953125" style="52" customWidth="1"/>
    <col min="1825" max="1825" width="12.81640625" style="52" customWidth="1"/>
    <col min="1826" max="2048" width="14.7265625" style="52"/>
    <col min="2049" max="2050" width="0" style="52" hidden="1" customWidth="1"/>
    <col min="2051" max="2051" width="11.54296875" style="52" customWidth="1"/>
    <col min="2052" max="2053" width="22.26953125" style="52" customWidth="1"/>
    <col min="2054" max="2054" width="21.453125" style="52" customWidth="1"/>
    <col min="2055" max="2055" width="18.54296875" style="52" customWidth="1"/>
    <col min="2056" max="2056" width="14.1796875" style="52" customWidth="1"/>
    <col min="2057" max="2057" width="17.54296875" style="52" customWidth="1"/>
    <col min="2058" max="2058" width="19.54296875" style="52" customWidth="1"/>
    <col min="2059" max="2059" width="12.453125" style="52" customWidth="1"/>
    <col min="2060" max="2060" width="10.26953125" style="52" customWidth="1"/>
    <col min="2061" max="2061" width="17.54296875" style="52" customWidth="1"/>
    <col min="2062" max="2062" width="17.453125" style="52" customWidth="1"/>
    <col min="2063" max="2063" width="15.54296875" style="52" customWidth="1"/>
    <col min="2064" max="2064" width="21" style="52" customWidth="1"/>
    <col min="2065" max="2065" width="24" style="52" customWidth="1"/>
    <col min="2066" max="2066" width="18.453125" style="52" customWidth="1"/>
    <col min="2067" max="2067" width="21.7265625" style="52" customWidth="1"/>
    <col min="2068" max="2068" width="14.7265625" style="52" customWidth="1"/>
    <col min="2069" max="2069" width="0" style="52" hidden="1" customWidth="1"/>
    <col min="2070" max="2070" width="18.81640625" style="52" customWidth="1"/>
    <col min="2071" max="2079" width="14.7265625" style="52"/>
    <col min="2080" max="2080" width="16.26953125" style="52" customWidth="1"/>
    <col min="2081" max="2081" width="12.81640625" style="52" customWidth="1"/>
    <col min="2082" max="2304" width="14.7265625" style="52"/>
    <col min="2305" max="2306" width="0" style="52" hidden="1" customWidth="1"/>
    <col min="2307" max="2307" width="11.54296875" style="52" customWidth="1"/>
    <col min="2308" max="2309" width="22.26953125" style="52" customWidth="1"/>
    <col min="2310" max="2310" width="21.453125" style="52" customWidth="1"/>
    <col min="2311" max="2311" width="18.54296875" style="52" customWidth="1"/>
    <col min="2312" max="2312" width="14.1796875" style="52" customWidth="1"/>
    <col min="2313" max="2313" width="17.54296875" style="52" customWidth="1"/>
    <col min="2314" max="2314" width="19.54296875" style="52" customWidth="1"/>
    <col min="2315" max="2315" width="12.453125" style="52" customWidth="1"/>
    <col min="2316" max="2316" width="10.26953125" style="52" customWidth="1"/>
    <col min="2317" max="2317" width="17.54296875" style="52" customWidth="1"/>
    <col min="2318" max="2318" width="17.453125" style="52" customWidth="1"/>
    <col min="2319" max="2319" width="15.54296875" style="52" customWidth="1"/>
    <col min="2320" max="2320" width="21" style="52" customWidth="1"/>
    <col min="2321" max="2321" width="24" style="52" customWidth="1"/>
    <col min="2322" max="2322" width="18.453125" style="52" customWidth="1"/>
    <col min="2323" max="2323" width="21.7265625" style="52" customWidth="1"/>
    <col min="2324" max="2324" width="14.7265625" style="52" customWidth="1"/>
    <col min="2325" max="2325" width="0" style="52" hidden="1" customWidth="1"/>
    <col min="2326" max="2326" width="18.81640625" style="52" customWidth="1"/>
    <col min="2327" max="2335" width="14.7265625" style="52"/>
    <col min="2336" max="2336" width="16.26953125" style="52" customWidth="1"/>
    <col min="2337" max="2337" width="12.81640625" style="52" customWidth="1"/>
    <col min="2338" max="2560" width="14.7265625" style="52"/>
    <col min="2561" max="2562" width="0" style="52" hidden="1" customWidth="1"/>
    <col min="2563" max="2563" width="11.54296875" style="52" customWidth="1"/>
    <col min="2564" max="2565" width="22.26953125" style="52" customWidth="1"/>
    <col min="2566" max="2566" width="21.453125" style="52" customWidth="1"/>
    <col min="2567" max="2567" width="18.54296875" style="52" customWidth="1"/>
    <col min="2568" max="2568" width="14.1796875" style="52" customWidth="1"/>
    <col min="2569" max="2569" width="17.54296875" style="52" customWidth="1"/>
    <col min="2570" max="2570" width="19.54296875" style="52" customWidth="1"/>
    <col min="2571" max="2571" width="12.453125" style="52" customWidth="1"/>
    <col min="2572" max="2572" width="10.26953125" style="52" customWidth="1"/>
    <col min="2573" max="2573" width="17.54296875" style="52" customWidth="1"/>
    <col min="2574" max="2574" width="17.453125" style="52" customWidth="1"/>
    <col min="2575" max="2575" width="15.54296875" style="52" customWidth="1"/>
    <col min="2576" max="2576" width="21" style="52" customWidth="1"/>
    <col min="2577" max="2577" width="24" style="52" customWidth="1"/>
    <col min="2578" max="2578" width="18.453125" style="52" customWidth="1"/>
    <col min="2579" max="2579" width="21.7265625" style="52" customWidth="1"/>
    <col min="2580" max="2580" width="14.7265625" style="52" customWidth="1"/>
    <col min="2581" max="2581" width="0" style="52" hidden="1" customWidth="1"/>
    <col min="2582" max="2582" width="18.81640625" style="52" customWidth="1"/>
    <col min="2583" max="2591" width="14.7265625" style="52"/>
    <col min="2592" max="2592" width="16.26953125" style="52" customWidth="1"/>
    <col min="2593" max="2593" width="12.81640625" style="52" customWidth="1"/>
    <col min="2594" max="2816" width="14.7265625" style="52"/>
    <col min="2817" max="2818" width="0" style="52" hidden="1" customWidth="1"/>
    <col min="2819" max="2819" width="11.54296875" style="52" customWidth="1"/>
    <col min="2820" max="2821" width="22.26953125" style="52" customWidth="1"/>
    <col min="2822" max="2822" width="21.453125" style="52" customWidth="1"/>
    <col min="2823" max="2823" width="18.54296875" style="52" customWidth="1"/>
    <col min="2824" max="2824" width="14.1796875" style="52" customWidth="1"/>
    <col min="2825" max="2825" width="17.54296875" style="52" customWidth="1"/>
    <col min="2826" max="2826" width="19.54296875" style="52" customWidth="1"/>
    <col min="2827" max="2827" width="12.453125" style="52" customWidth="1"/>
    <col min="2828" max="2828" width="10.26953125" style="52" customWidth="1"/>
    <col min="2829" max="2829" width="17.54296875" style="52" customWidth="1"/>
    <col min="2830" max="2830" width="17.453125" style="52" customWidth="1"/>
    <col min="2831" max="2831" width="15.54296875" style="52" customWidth="1"/>
    <col min="2832" max="2832" width="21" style="52" customWidth="1"/>
    <col min="2833" max="2833" width="24" style="52" customWidth="1"/>
    <col min="2834" max="2834" width="18.453125" style="52" customWidth="1"/>
    <col min="2835" max="2835" width="21.7265625" style="52" customWidth="1"/>
    <col min="2836" max="2836" width="14.7265625" style="52" customWidth="1"/>
    <col min="2837" max="2837" width="0" style="52" hidden="1" customWidth="1"/>
    <col min="2838" max="2838" width="18.81640625" style="52" customWidth="1"/>
    <col min="2839" max="2847" width="14.7265625" style="52"/>
    <col min="2848" max="2848" width="16.26953125" style="52" customWidth="1"/>
    <col min="2849" max="2849" width="12.81640625" style="52" customWidth="1"/>
    <col min="2850" max="3072" width="14.7265625" style="52"/>
    <col min="3073" max="3074" width="0" style="52" hidden="1" customWidth="1"/>
    <col min="3075" max="3075" width="11.54296875" style="52" customWidth="1"/>
    <col min="3076" max="3077" width="22.26953125" style="52" customWidth="1"/>
    <col min="3078" max="3078" width="21.453125" style="52" customWidth="1"/>
    <col min="3079" max="3079" width="18.54296875" style="52" customWidth="1"/>
    <col min="3080" max="3080" width="14.1796875" style="52" customWidth="1"/>
    <col min="3081" max="3081" width="17.54296875" style="52" customWidth="1"/>
    <col min="3082" max="3082" width="19.54296875" style="52" customWidth="1"/>
    <col min="3083" max="3083" width="12.453125" style="52" customWidth="1"/>
    <col min="3084" max="3084" width="10.26953125" style="52" customWidth="1"/>
    <col min="3085" max="3085" width="17.54296875" style="52" customWidth="1"/>
    <col min="3086" max="3086" width="17.453125" style="52" customWidth="1"/>
    <col min="3087" max="3087" width="15.54296875" style="52" customWidth="1"/>
    <col min="3088" max="3088" width="21" style="52" customWidth="1"/>
    <col min="3089" max="3089" width="24" style="52" customWidth="1"/>
    <col min="3090" max="3090" width="18.453125" style="52" customWidth="1"/>
    <col min="3091" max="3091" width="21.7265625" style="52" customWidth="1"/>
    <col min="3092" max="3092" width="14.7265625" style="52" customWidth="1"/>
    <col min="3093" max="3093" width="0" style="52" hidden="1" customWidth="1"/>
    <col min="3094" max="3094" width="18.81640625" style="52" customWidth="1"/>
    <col min="3095" max="3103" width="14.7265625" style="52"/>
    <col min="3104" max="3104" width="16.26953125" style="52" customWidth="1"/>
    <col min="3105" max="3105" width="12.81640625" style="52" customWidth="1"/>
    <col min="3106" max="3328" width="14.7265625" style="52"/>
    <col min="3329" max="3330" width="0" style="52" hidden="1" customWidth="1"/>
    <col min="3331" max="3331" width="11.54296875" style="52" customWidth="1"/>
    <col min="3332" max="3333" width="22.26953125" style="52" customWidth="1"/>
    <col min="3334" max="3334" width="21.453125" style="52" customWidth="1"/>
    <col min="3335" max="3335" width="18.54296875" style="52" customWidth="1"/>
    <col min="3336" max="3336" width="14.1796875" style="52" customWidth="1"/>
    <col min="3337" max="3337" width="17.54296875" style="52" customWidth="1"/>
    <col min="3338" max="3338" width="19.54296875" style="52" customWidth="1"/>
    <col min="3339" max="3339" width="12.453125" style="52" customWidth="1"/>
    <col min="3340" max="3340" width="10.26953125" style="52" customWidth="1"/>
    <col min="3341" max="3341" width="17.54296875" style="52" customWidth="1"/>
    <col min="3342" max="3342" width="17.453125" style="52" customWidth="1"/>
    <col min="3343" max="3343" width="15.54296875" style="52" customWidth="1"/>
    <col min="3344" max="3344" width="21" style="52" customWidth="1"/>
    <col min="3345" max="3345" width="24" style="52" customWidth="1"/>
    <col min="3346" max="3346" width="18.453125" style="52" customWidth="1"/>
    <col min="3347" max="3347" width="21.7265625" style="52" customWidth="1"/>
    <col min="3348" max="3348" width="14.7265625" style="52" customWidth="1"/>
    <col min="3349" max="3349" width="0" style="52" hidden="1" customWidth="1"/>
    <col min="3350" max="3350" width="18.81640625" style="52" customWidth="1"/>
    <col min="3351" max="3359" width="14.7265625" style="52"/>
    <col min="3360" max="3360" width="16.26953125" style="52" customWidth="1"/>
    <col min="3361" max="3361" width="12.81640625" style="52" customWidth="1"/>
    <col min="3362" max="3584" width="14.7265625" style="52"/>
    <col min="3585" max="3586" width="0" style="52" hidden="1" customWidth="1"/>
    <col min="3587" max="3587" width="11.54296875" style="52" customWidth="1"/>
    <col min="3588" max="3589" width="22.26953125" style="52" customWidth="1"/>
    <col min="3590" max="3590" width="21.453125" style="52" customWidth="1"/>
    <col min="3591" max="3591" width="18.54296875" style="52" customWidth="1"/>
    <col min="3592" max="3592" width="14.1796875" style="52" customWidth="1"/>
    <col min="3593" max="3593" width="17.54296875" style="52" customWidth="1"/>
    <col min="3594" max="3594" width="19.54296875" style="52" customWidth="1"/>
    <col min="3595" max="3595" width="12.453125" style="52" customWidth="1"/>
    <col min="3596" max="3596" width="10.26953125" style="52" customWidth="1"/>
    <col min="3597" max="3597" width="17.54296875" style="52" customWidth="1"/>
    <col min="3598" max="3598" width="17.453125" style="52" customWidth="1"/>
    <col min="3599" max="3599" width="15.54296875" style="52" customWidth="1"/>
    <col min="3600" max="3600" width="21" style="52" customWidth="1"/>
    <col min="3601" max="3601" width="24" style="52" customWidth="1"/>
    <col min="3602" max="3602" width="18.453125" style="52" customWidth="1"/>
    <col min="3603" max="3603" width="21.7265625" style="52" customWidth="1"/>
    <col min="3604" max="3604" width="14.7265625" style="52" customWidth="1"/>
    <col min="3605" max="3605" width="0" style="52" hidden="1" customWidth="1"/>
    <col min="3606" max="3606" width="18.81640625" style="52" customWidth="1"/>
    <col min="3607" max="3615" width="14.7265625" style="52"/>
    <col min="3616" max="3616" width="16.26953125" style="52" customWidth="1"/>
    <col min="3617" max="3617" width="12.81640625" style="52" customWidth="1"/>
    <col min="3618" max="3840" width="14.7265625" style="52"/>
    <col min="3841" max="3842" width="0" style="52" hidden="1" customWidth="1"/>
    <col min="3843" max="3843" width="11.54296875" style="52" customWidth="1"/>
    <col min="3844" max="3845" width="22.26953125" style="52" customWidth="1"/>
    <col min="3846" max="3846" width="21.453125" style="52" customWidth="1"/>
    <col min="3847" max="3847" width="18.54296875" style="52" customWidth="1"/>
    <col min="3848" max="3848" width="14.1796875" style="52" customWidth="1"/>
    <col min="3849" max="3849" width="17.54296875" style="52" customWidth="1"/>
    <col min="3850" max="3850" width="19.54296875" style="52" customWidth="1"/>
    <col min="3851" max="3851" width="12.453125" style="52" customWidth="1"/>
    <col min="3852" max="3852" width="10.26953125" style="52" customWidth="1"/>
    <col min="3853" max="3853" width="17.54296875" style="52" customWidth="1"/>
    <col min="3854" max="3854" width="17.453125" style="52" customWidth="1"/>
    <col min="3855" max="3855" width="15.54296875" style="52" customWidth="1"/>
    <col min="3856" max="3856" width="21" style="52" customWidth="1"/>
    <col min="3857" max="3857" width="24" style="52" customWidth="1"/>
    <col min="3858" max="3858" width="18.453125" style="52" customWidth="1"/>
    <col min="3859" max="3859" width="21.7265625" style="52" customWidth="1"/>
    <col min="3860" max="3860" width="14.7265625" style="52" customWidth="1"/>
    <col min="3861" max="3861" width="0" style="52" hidden="1" customWidth="1"/>
    <col min="3862" max="3862" width="18.81640625" style="52" customWidth="1"/>
    <col min="3863" max="3871" width="14.7265625" style="52"/>
    <col min="3872" max="3872" width="16.26953125" style="52" customWidth="1"/>
    <col min="3873" max="3873" width="12.81640625" style="52" customWidth="1"/>
    <col min="3874" max="4096" width="14.7265625" style="52"/>
    <col min="4097" max="4098" width="0" style="52" hidden="1" customWidth="1"/>
    <col min="4099" max="4099" width="11.54296875" style="52" customWidth="1"/>
    <col min="4100" max="4101" width="22.26953125" style="52" customWidth="1"/>
    <col min="4102" max="4102" width="21.453125" style="52" customWidth="1"/>
    <col min="4103" max="4103" width="18.54296875" style="52" customWidth="1"/>
    <col min="4104" max="4104" width="14.1796875" style="52" customWidth="1"/>
    <col min="4105" max="4105" width="17.54296875" style="52" customWidth="1"/>
    <col min="4106" max="4106" width="19.54296875" style="52" customWidth="1"/>
    <col min="4107" max="4107" width="12.453125" style="52" customWidth="1"/>
    <col min="4108" max="4108" width="10.26953125" style="52" customWidth="1"/>
    <col min="4109" max="4109" width="17.54296875" style="52" customWidth="1"/>
    <col min="4110" max="4110" width="17.453125" style="52" customWidth="1"/>
    <col min="4111" max="4111" width="15.54296875" style="52" customWidth="1"/>
    <col min="4112" max="4112" width="21" style="52" customWidth="1"/>
    <col min="4113" max="4113" width="24" style="52" customWidth="1"/>
    <col min="4114" max="4114" width="18.453125" style="52" customWidth="1"/>
    <col min="4115" max="4115" width="21.7265625" style="52" customWidth="1"/>
    <col min="4116" max="4116" width="14.7265625" style="52" customWidth="1"/>
    <col min="4117" max="4117" width="0" style="52" hidden="1" customWidth="1"/>
    <col min="4118" max="4118" width="18.81640625" style="52" customWidth="1"/>
    <col min="4119" max="4127" width="14.7265625" style="52"/>
    <col min="4128" max="4128" width="16.26953125" style="52" customWidth="1"/>
    <col min="4129" max="4129" width="12.81640625" style="52" customWidth="1"/>
    <col min="4130" max="4352" width="14.7265625" style="52"/>
    <col min="4353" max="4354" width="0" style="52" hidden="1" customWidth="1"/>
    <col min="4355" max="4355" width="11.54296875" style="52" customWidth="1"/>
    <col min="4356" max="4357" width="22.26953125" style="52" customWidth="1"/>
    <col min="4358" max="4358" width="21.453125" style="52" customWidth="1"/>
    <col min="4359" max="4359" width="18.54296875" style="52" customWidth="1"/>
    <col min="4360" max="4360" width="14.1796875" style="52" customWidth="1"/>
    <col min="4361" max="4361" width="17.54296875" style="52" customWidth="1"/>
    <col min="4362" max="4362" width="19.54296875" style="52" customWidth="1"/>
    <col min="4363" max="4363" width="12.453125" style="52" customWidth="1"/>
    <col min="4364" max="4364" width="10.26953125" style="52" customWidth="1"/>
    <col min="4365" max="4365" width="17.54296875" style="52" customWidth="1"/>
    <col min="4366" max="4366" width="17.453125" style="52" customWidth="1"/>
    <col min="4367" max="4367" width="15.54296875" style="52" customWidth="1"/>
    <col min="4368" max="4368" width="21" style="52" customWidth="1"/>
    <col min="4369" max="4369" width="24" style="52" customWidth="1"/>
    <col min="4370" max="4370" width="18.453125" style="52" customWidth="1"/>
    <col min="4371" max="4371" width="21.7265625" style="52" customWidth="1"/>
    <col min="4372" max="4372" width="14.7265625" style="52" customWidth="1"/>
    <col min="4373" max="4373" width="0" style="52" hidden="1" customWidth="1"/>
    <col min="4374" max="4374" width="18.81640625" style="52" customWidth="1"/>
    <col min="4375" max="4383" width="14.7265625" style="52"/>
    <col min="4384" max="4384" width="16.26953125" style="52" customWidth="1"/>
    <col min="4385" max="4385" width="12.81640625" style="52" customWidth="1"/>
    <col min="4386" max="4608" width="14.7265625" style="52"/>
    <col min="4609" max="4610" width="0" style="52" hidden="1" customWidth="1"/>
    <col min="4611" max="4611" width="11.54296875" style="52" customWidth="1"/>
    <col min="4612" max="4613" width="22.26953125" style="52" customWidth="1"/>
    <col min="4614" max="4614" width="21.453125" style="52" customWidth="1"/>
    <col min="4615" max="4615" width="18.54296875" style="52" customWidth="1"/>
    <col min="4616" max="4616" width="14.1796875" style="52" customWidth="1"/>
    <col min="4617" max="4617" width="17.54296875" style="52" customWidth="1"/>
    <col min="4618" max="4618" width="19.54296875" style="52" customWidth="1"/>
    <col min="4619" max="4619" width="12.453125" style="52" customWidth="1"/>
    <col min="4620" max="4620" width="10.26953125" style="52" customWidth="1"/>
    <col min="4621" max="4621" width="17.54296875" style="52" customWidth="1"/>
    <col min="4622" max="4622" width="17.453125" style="52" customWidth="1"/>
    <col min="4623" max="4623" width="15.54296875" style="52" customWidth="1"/>
    <col min="4624" max="4624" width="21" style="52" customWidth="1"/>
    <col min="4625" max="4625" width="24" style="52" customWidth="1"/>
    <col min="4626" max="4626" width="18.453125" style="52" customWidth="1"/>
    <col min="4627" max="4627" width="21.7265625" style="52" customWidth="1"/>
    <col min="4628" max="4628" width="14.7265625" style="52" customWidth="1"/>
    <col min="4629" max="4629" width="0" style="52" hidden="1" customWidth="1"/>
    <col min="4630" max="4630" width="18.81640625" style="52" customWidth="1"/>
    <col min="4631" max="4639" width="14.7265625" style="52"/>
    <col min="4640" max="4640" width="16.26953125" style="52" customWidth="1"/>
    <col min="4641" max="4641" width="12.81640625" style="52" customWidth="1"/>
    <col min="4642" max="4864" width="14.7265625" style="52"/>
    <col min="4865" max="4866" width="0" style="52" hidden="1" customWidth="1"/>
    <col min="4867" max="4867" width="11.54296875" style="52" customWidth="1"/>
    <col min="4868" max="4869" width="22.26953125" style="52" customWidth="1"/>
    <col min="4870" max="4870" width="21.453125" style="52" customWidth="1"/>
    <col min="4871" max="4871" width="18.54296875" style="52" customWidth="1"/>
    <col min="4872" max="4872" width="14.1796875" style="52" customWidth="1"/>
    <col min="4873" max="4873" width="17.54296875" style="52" customWidth="1"/>
    <col min="4874" max="4874" width="19.54296875" style="52" customWidth="1"/>
    <col min="4875" max="4875" width="12.453125" style="52" customWidth="1"/>
    <col min="4876" max="4876" width="10.26953125" style="52" customWidth="1"/>
    <col min="4877" max="4877" width="17.54296875" style="52" customWidth="1"/>
    <col min="4878" max="4878" width="17.453125" style="52" customWidth="1"/>
    <col min="4879" max="4879" width="15.54296875" style="52" customWidth="1"/>
    <col min="4880" max="4880" width="21" style="52" customWidth="1"/>
    <col min="4881" max="4881" width="24" style="52" customWidth="1"/>
    <col min="4882" max="4882" width="18.453125" style="52" customWidth="1"/>
    <col min="4883" max="4883" width="21.7265625" style="52" customWidth="1"/>
    <col min="4884" max="4884" width="14.7265625" style="52" customWidth="1"/>
    <col min="4885" max="4885" width="0" style="52" hidden="1" customWidth="1"/>
    <col min="4886" max="4886" width="18.81640625" style="52" customWidth="1"/>
    <col min="4887" max="4895" width="14.7265625" style="52"/>
    <col min="4896" max="4896" width="16.26953125" style="52" customWidth="1"/>
    <col min="4897" max="4897" width="12.81640625" style="52" customWidth="1"/>
    <col min="4898" max="5120" width="14.7265625" style="52"/>
    <col min="5121" max="5122" width="0" style="52" hidden="1" customWidth="1"/>
    <col min="5123" max="5123" width="11.54296875" style="52" customWidth="1"/>
    <col min="5124" max="5125" width="22.26953125" style="52" customWidth="1"/>
    <col min="5126" max="5126" width="21.453125" style="52" customWidth="1"/>
    <col min="5127" max="5127" width="18.54296875" style="52" customWidth="1"/>
    <col min="5128" max="5128" width="14.1796875" style="52" customWidth="1"/>
    <col min="5129" max="5129" width="17.54296875" style="52" customWidth="1"/>
    <col min="5130" max="5130" width="19.54296875" style="52" customWidth="1"/>
    <col min="5131" max="5131" width="12.453125" style="52" customWidth="1"/>
    <col min="5132" max="5132" width="10.26953125" style="52" customWidth="1"/>
    <col min="5133" max="5133" width="17.54296875" style="52" customWidth="1"/>
    <col min="5134" max="5134" width="17.453125" style="52" customWidth="1"/>
    <col min="5135" max="5135" width="15.54296875" style="52" customWidth="1"/>
    <col min="5136" max="5136" width="21" style="52" customWidth="1"/>
    <col min="5137" max="5137" width="24" style="52" customWidth="1"/>
    <col min="5138" max="5138" width="18.453125" style="52" customWidth="1"/>
    <col min="5139" max="5139" width="21.7265625" style="52" customWidth="1"/>
    <col min="5140" max="5140" width="14.7265625" style="52" customWidth="1"/>
    <col min="5141" max="5141" width="0" style="52" hidden="1" customWidth="1"/>
    <col min="5142" max="5142" width="18.81640625" style="52" customWidth="1"/>
    <col min="5143" max="5151" width="14.7265625" style="52"/>
    <col min="5152" max="5152" width="16.26953125" style="52" customWidth="1"/>
    <col min="5153" max="5153" width="12.81640625" style="52" customWidth="1"/>
    <col min="5154" max="5376" width="14.7265625" style="52"/>
    <col min="5377" max="5378" width="0" style="52" hidden="1" customWidth="1"/>
    <col min="5379" max="5379" width="11.54296875" style="52" customWidth="1"/>
    <col min="5380" max="5381" width="22.26953125" style="52" customWidth="1"/>
    <col min="5382" max="5382" width="21.453125" style="52" customWidth="1"/>
    <col min="5383" max="5383" width="18.54296875" style="52" customWidth="1"/>
    <col min="5384" max="5384" width="14.1796875" style="52" customWidth="1"/>
    <col min="5385" max="5385" width="17.54296875" style="52" customWidth="1"/>
    <col min="5386" max="5386" width="19.54296875" style="52" customWidth="1"/>
    <col min="5387" max="5387" width="12.453125" style="52" customWidth="1"/>
    <col min="5388" max="5388" width="10.26953125" style="52" customWidth="1"/>
    <col min="5389" max="5389" width="17.54296875" style="52" customWidth="1"/>
    <col min="5390" max="5390" width="17.453125" style="52" customWidth="1"/>
    <col min="5391" max="5391" width="15.54296875" style="52" customWidth="1"/>
    <col min="5392" max="5392" width="21" style="52" customWidth="1"/>
    <col min="5393" max="5393" width="24" style="52" customWidth="1"/>
    <col min="5394" max="5394" width="18.453125" style="52" customWidth="1"/>
    <col min="5395" max="5395" width="21.7265625" style="52" customWidth="1"/>
    <col min="5396" max="5396" width="14.7265625" style="52" customWidth="1"/>
    <col min="5397" max="5397" width="0" style="52" hidden="1" customWidth="1"/>
    <col min="5398" max="5398" width="18.81640625" style="52" customWidth="1"/>
    <col min="5399" max="5407" width="14.7265625" style="52"/>
    <col min="5408" max="5408" width="16.26953125" style="52" customWidth="1"/>
    <col min="5409" max="5409" width="12.81640625" style="52" customWidth="1"/>
    <col min="5410" max="5632" width="14.7265625" style="52"/>
    <col min="5633" max="5634" width="0" style="52" hidden="1" customWidth="1"/>
    <col min="5635" max="5635" width="11.54296875" style="52" customWidth="1"/>
    <col min="5636" max="5637" width="22.26953125" style="52" customWidth="1"/>
    <col min="5638" max="5638" width="21.453125" style="52" customWidth="1"/>
    <col min="5639" max="5639" width="18.54296875" style="52" customWidth="1"/>
    <col min="5640" max="5640" width="14.1796875" style="52" customWidth="1"/>
    <col min="5641" max="5641" width="17.54296875" style="52" customWidth="1"/>
    <col min="5642" max="5642" width="19.54296875" style="52" customWidth="1"/>
    <col min="5643" max="5643" width="12.453125" style="52" customWidth="1"/>
    <col min="5644" max="5644" width="10.26953125" style="52" customWidth="1"/>
    <col min="5645" max="5645" width="17.54296875" style="52" customWidth="1"/>
    <col min="5646" max="5646" width="17.453125" style="52" customWidth="1"/>
    <col min="5647" max="5647" width="15.54296875" style="52" customWidth="1"/>
    <col min="5648" max="5648" width="21" style="52" customWidth="1"/>
    <col min="5649" max="5649" width="24" style="52" customWidth="1"/>
    <col min="5650" max="5650" width="18.453125" style="52" customWidth="1"/>
    <col min="5651" max="5651" width="21.7265625" style="52" customWidth="1"/>
    <col min="5652" max="5652" width="14.7265625" style="52" customWidth="1"/>
    <col min="5653" max="5653" width="0" style="52" hidden="1" customWidth="1"/>
    <col min="5654" max="5654" width="18.81640625" style="52" customWidth="1"/>
    <col min="5655" max="5663" width="14.7265625" style="52"/>
    <col min="5664" max="5664" width="16.26953125" style="52" customWidth="1"/>
    <col min="5665" max="5665" width="12.81640625" style="52" customWidth="1"/>
    <col min="5666" max="5888" width="14.7265625" style="52"/>
    <col min="5889" max="5890" width="0" style="52" hidden="1" customWidth="1"/>
    <col min="5891" max="5891" width="11.54296875" style="52" customWidth="1"/>
    <col min="5892" max="5893" width="22.26953125" style="52" customWidth="1"/>
    <col min="5894" max="5894" width="21.453125" style="52" customWidth="1"/>
    <col min="5895" max="5895" width="18.54296875" style="52" customWidth="1"/>
    <col min="5896" max="5896" width="14.1796875" style="52" customWidth="1"/>
    <col min="5897" max="5897" width="17.54296875" style="52" customWidth="1"/>
    <col min="5898" max="5898" width="19.54296875" style="52" customWidth="1"/>
    <col min="5899" max="5899" width="12.453125" style="52" customWidth="1"/>
    <col min="5900" max="5900" width="10.26953125" style="52" customWidth="1"/>
    <col min="5901" max="5901" width="17.54296875" style="52" customWidth="1"/>
    <col min="5902" max="5902" width="17.453125" style="52" customWidth="1"/>
    <col min="5903" max="5903" width="15.54296875" style="52" customWidth="1"/>
    <col min="5904" max="5904" width="21" style="52" customWidth="1"/>
    <col min="5905" max="5905" width="24" style="52" customWidth="1"/>
    <col min="5906" max="5906" width="18.453125" style="52" customWidth="1"/>
    <col min="5907" max="5907" width="21.7265625" style="52" customWidth="1"/>
    <col min="5908" max="5908" width="14.7265625" style="52" customWidth="1"/>
    <col min="5909" max="5909" width="0" style="52" hidden="1" customWidth="1"/>
    <col min="5910" max="5910" width="18.81640625" style="52" customWidth="1"/>
    <col min="5911" max="5919" width="14.7265625" style="52"/>
    <col min="5920" max="5920" width="16.26953125" style="52" customWidth="1"/>
    <col min="5921" max="5921" width="12.81640625" style="52" customWidth="1"/>
    <col min="5922" max="6144" width="14.7265625" style="52"/>
    <col min="6145" max="6146" width="0" style="52" hidden="1" customWidth="1"/>
    <col min="6147" max="6147" width="11.54296875" style="52" customWidth="1"/>
    <col min="6148" max="6149" width="22.26953125" style="52" customWidth="1"/>
    <col min="6150" max="6150" width="21.453125" style="52" customWidth="1"/>
    <col min="6151" max="6151" width="18.54296875" style="52" customWidth="1"/>
    <col min="6152" max="6152" width="14.1796875" style="52" customWidth="1"/>
    <col min="6153" max="6153" width="17.54296875" style="52" customWidth="1"/>
    <col min="6154" max="6154" width="19.54296875" style="52" customWidth="1"/>
    <col min="6155" max="6155" width="12.453125" style="52" customWidth="1"/>
    <col min="6156" max="6156" width="10.26953125" style="52" customWidth="1"/>
    <col min="6157" max="6157" width="17.54296875" style="52" customWidth="1"/>
    <col min="6158" max="6158" width="17.453125" style="52" customWidth="1"/>
    <col min="6159" max="6159" width="15.54296875" style="52" customWidth="1"/>
    <col min="6160" max="6160" width="21" style="52" customWidth="1"/>
    <col min="6161" max="6161" width="24" style="52" customWidth="1"/>
    <col min="6162" max="6162" width="18.453125" style="52" customWidth="1"/>
    <col min="6163" max="6163" width="21.7265625" style="52" customWidth="1"/>
    <col min="6164" max="6164" width="14.7265625" style="52" customWidth="1"/>
    <col min="6165" max="6165" width="0" style="52" hidden="1" customWidth="1"/>
    <col min="6166" max="6166" width="18.81640625" style="52" customWidth="1"/>
    <col min="6167" max="6175" width="14.7265625" style="52"/>
    <col min="6176" max="6176" width="16.26953125" style="52" customWidth="1"/>
    <col min="6177" max="6177" width="12.81640625" style="52" customWidth="1"/>
    <col min="6178" max="6400" width="14.7265625" style="52"/>
    <col min="6401" max="6402" width="0" style="52" hidden="1" customWidth="1"/>
    <col min="6403" max="6403" width="11.54296875" style="52" customWidth="1"/>
    <col min="6404" max="6405" width="22.26953125" style="52" customWidth="1"/>
    <col min="6406" max="6406" width="21.453125" style="52" customWidth="1"/>
    <col min="6407" max="6407" width="18.54296875" style="52" customWidth="1"/>
    <col min="6408" max="6408" width="14.1796875" style="52" customWidth="1"/>
    <col min="6409" max="6409" width="17.54296875" style="52" customWidth="1"/>
    <col min="6410" max="6410" width="19.54296875" style="52" customWidth="1"/>
    <col min="6411" max="6411" width="12.453125" style="52" customWidth="1"/>
    <col min="6412" max="6412" width="10.26953125" style="52" customWidth="1"/>
    <col min="6413" max="6413" width="17.54296875" style="52" customWidth="1"/>
    <col min="6414" max="6414" width="17.453125" style="52" customWidth="1"/>
    <col min="6415" max="6415" width="15.54296875" style="52" customWidth="1"/>
    <col min="6416" max="6416" width="21" style="52" customWidth="1"/>
    <col min="6417" max="6417" width="24" style="52" customWidth="1"/>
    <col min="6418" max="6418" width="18.453125" style="52" customWidth="1"/>
    <col min="6419" max="6419" width="21.7265625" style="52" customWidth="1"/>
    <col min="6420" max="6420" width="14.7265625" style="52" customWidth="1"/>
    <col min="6421" max="6421" width="0" style="52" hidden="1" customWidth="1"/>
    <col min="6422" max="6422" width="18.81640625" style="52" customWidth="1"/>
    <col min="6423" max="6431" width="14.7265625" style="52"/>
    <col min="6432" max="6432" width="16.26953125" style="52" customWidth="1"/>
    <col min="6433" max="6433" width="12.81640625" style="52" customWidth="1"/>
    <col min="6434" max="6656" width="14.7265625" style="52"/>
    <col min="6657" max="6658" width="0" style="52" hidden="1" customWidth="1"/>
    <col min="6659" max="6659" width="11.54296875" style="52" customWidth="1"/>
    <col min="6660" max="6661" width="22.26953125" style="52" customWidth="1"/>
    <col min="6662" max="6662" width="21.453125" style="52" customWidth="1"/>
    <col min="6663" max="6663" width="18.54296875" style="52" customWidth="1"/>
    <col min="6664" max="6664" width="14.1796875" style="52" customWidth="1"/>
    <col min="6665" max="6665" width="17.54296875" style="52" customWidth="1"/>
    <col min="6666" max="6666" width="19.54296875" style="52" customWidth="1"/>
    <col min="6667" max="6667" width="12.453125" style="52" customWidth="1"/>
    <col min="6668" max="6668" width="10.26953125" style="52" customWidth="1"/>
    <col min="6669" max="6669" width="17.54296875" style="52" customWidth="1"/>
    <col min="6670" max="6670" width="17.453125" style="52" customWidth="1"/>
    <col min="6671" max="6671" width="15.54296875" style="52" customWidth="1"/>
    <col min="6672" max="6672" width="21" style="52" customWidth="1"/>
    <col min="6673" max="6673" width="24" style="52" customWidth="1"/>
    <col min="6674" max="6674" width="18.453125" style="52" customWidth="1"/>
    <col min="6675" max="6675" width="21.7265625" style="52" customWidth="1"/>
    <col min="6676" max="6676" width="14.7265625" style="52" customWidth="1"/>
    <col min="6677" max="6677" width="0" style="52" hidden="1" customWidth="1"/>
    <col min="6678" max="6678" width="18.81640625" style="52" customWidth="1"/>
    <col min="6679" max="6687" width="14.7265625" style="52"/>
    <col min="6688" max="6688" width="16.26953125" style="52" customWidth="1"/>
    <col min="6689" max="6689" width="12.81640625" style="52" customWidth="1"/>
    <col min="6690" max="6912" width="14.7265625" style="52"/>
    <col min="6913" max="6914" width="0" style="52" hidden="1" customWidth="1"/>
    <col min="6915" max="6915" width="11.54296875" style="52" customWidth="1"/>
    <col min="6916" max="6917" width="22.26953125" style="52" customWidth="1"/>
    <col min="6918" max="6918" width="21.453125" style="52" customWidth="1"/>
    <col min="6919" max="6919" width="18.54296875" style="52" customWidth="1"/>
    <col min="6920" max="6920" width="14.1796875" style="52" customWidth="1"/>
    <col min="6921" max="6921" width="17.54296875" style="52" customWidth="1"/>
    <col min="6922" max="6922" width="19.54296875" style="52" customWidth="1"/>
    <col min="6923" max="6923" width="12.453125" style="52" customWidth="1"/>
    <col min="6924" max="6924" width="10.26953125" style="52" customWidth="1"/>
    <col min="6925" max="6925" width="17.54296875" style="52" customWidth="1"/>
    <col min="6926" max="6926" width="17.453125" style="52" customWidth="1"/>
    <col min="6927" max="6927" width="15.54296875" style="52" customWidth="1"/>
    <col min="6928" max="6928" width="21" style="52" customWidth="1"/>
    <col min="6929" max="6929" width="24" style="52" customWidth="1"/>
    <col min="6930" max="6930" width="18.453125" style="52" customWidth="1"/>
    <col min="6931" max="6931" width="21.7265625" style="52" customWidth="1"/>
    <col min="6932" max="6932" width="14.7265625" style="52" customWidth="1"/>
    <col min="6933" max="6933" width="0" style="52" hidden="1" customWidth="1"/>
    <col min="6934" max="6934" width="18.81640625" style="52" customWidth="1"/>
    <col min="6935" max="6943" width="14.7265625" style="52"/>
    <col min="6944" max="6944" width="16.26953125" style="52" customWidth="1"/>
    <col min="6945" max="6945" width="12.81640625" style="52" customWidth="1"/>
    <col min="6946" max="7168" width="14.7265625" style="52"/>
    <col min="7169" max="7170" width="0" style="52" hidden="1" customWidth="1"/>
    <col min="7171" max="7171" width="11.54296875" style="52" customWidth="1"/>
    <col min="7172" max="7173" width="22.26953125" style="52" customWidth="1"/>
    <col min="7174" max="7174" width="21.453125" style="52" customWidth="1"/>
    <col min="7175" max="7175" width="18.54296875" style="52" customWidth="1"/>
    <col min="7176" max="7176" width="14.1796875" style="52" customWidth="1"/>
    <col min="7177" max="7177" width="17.54296875" style="52" customWidth="1"/>
    <col min="7178" max="7178" width="19.54296875" style="52" customWidth="1"/>
    <col min="7179" max="7179" width="12.453125" style="52" customWidth="1"/>
    <col min="7180" max="7180" width="10.26953125" style="52" customWidth="1"/>
    <col min="7181" max="7181" width="17.54296875" style="52" customWidth="1"/>
    <col min="7182" max="7182" width="17.453125" style="52" customWidth="1"/>
    <col min="7183" max="7183" width="15.54296875" style="52" customWidth="1"/>
    <col min="7184" max="7184" width="21" style="52" customWidth="1"/>
    <col min="7185" max="7185" width="24" style="52" customWidth="1"/>
    <col min="7186" max="7186" width="18.453125" style="52" customWidth="1"/>
    <col min="7187" max="7187" width="21.7265625" style="52" customWidth="1"/>
    <col min="7188" max="7188" width="14.7265625" style="52" customWidth="1"/>
    <col min="7189" max="7189" width="0" style="52" hidden="1" customWidth="1"/>
    <col min="7190" max="7190" width="18.81640625" style="52" customWidth="1"/>
    <col min="7191" max="7199" width="14.7265625" style="52"/>
    <col min="7200" max="7200" width="16.26953125" style="52" customWidth="1"/>
    <col min="7201" max="7201" width="12.81640625" style="52" customWidth="1"/>
    <col min="7202" max="7424" width="14.7265625" style="52"/>
    <col min="7425" max="7426" width="0" style="52" hidden="1" customWidth="1"/>
    <col min="7427" max="7427" width="11.54296875" style="52" customWidth="1"/>
    <col min="7428" max="7429" width="22.26953125" style="52" customWidth="1"/>
    <col min="7430" max="7430" width="21.453125" style="52" customWidth="1"/>
    <col min="7431" max="7431" width="18.54296875" style="52" customWidth="1"/>
    <col min="7432" max="7432" width="14.1796875" style="52" customWidth="1"/>
    <col min="7433" max="7433" width="17.54296875" style="52" customWidth="1"/>
    <col min="7434" max="7434" width="19.54296875" style="52" customWidth="1"/>
    <col min="7435" max="7435" width="12.453125" style="52" customWidth="1"/>
    <col min="7436" max="7436" width="10.26953125" style="52" customWidth="1"/>
    <col min="7437" max="7437" width="17.54296875" style="52" customWidth="1"/>
    <col min="7438" max="7438" width="17.453125" style="52" customWidth="1"/>
    <col min="7439" max="7439" width="15.54296875" style="52" customWidth="1"/>
    <col min="7440" max="7440" width="21" style="52" customWidth="1"/>
    <col min="7441" max="7441" width="24" style="52" customWidth="1"/>
    <col min="7442" max="7442" width="18.453125" style="52" customWidth="1"/>
    <col min="7443" max="7443" width="21.7265625" style="52" customWidth="1"/>
    <col min="7444" max="7444" width="14.7265625" style="52" customWidth="1"/>
    <col min="7445" max="7445" width="0" style="52" hidden="1" customWidth="1"/>
    <col min="7446" max="7446" width="18.81640625" style="52" customWidth="1"/>
    <col min="7447" max="7455" width="14.7265625" style="52"/>
    <col min="7456" max="7456" width="16.26953125" style="52" customWidth="1"/>
    <col min="7457" max="7457" width="12.81640625" style="52" customWidth="1"/>
    <col min="7458" max="7680" width="14.7265625" style="52"/>
    <col min="7681" max="7682" width="0" style="52" hidden="1" customWidth="1"/>
    <col min="7683" max="7683" width="11.54296875" style="52" customWidth="1"/>
    <col min="7684" max="7685" width="22.26953125" style="52" customWidth="1"/>
    <col min="7686" max="7686" width="21.453125" style="52" customWidth="1"/>
    <col min="7687" max="7687" width="18.54296875" style="52" customWidth="1"/>
    <col min="7688" max="7688" width="14.1796875" style="52" customWidth="1"/>
    <col min="7689" max="7689" width="17.54296875" style="52" customWidth="1"/>
    <col min="7690" max="7690" width="19.54296875" style="52" customWidth="1"/>
    <col min="7691" max="7691" width="12.453125" style="52" customWidth="1"/>
    <col min="7692" max="7692" width="10.26953125" style="52" customWidth="1"/>
    <col min="7693" max="7693" width="17.54296875" style="52" customWidth="1"/>
    <col min="7694" max="7694" width="17.453125" style="52" customWidth="1"/>
    <col min="7695" max="7695" width="15.54296875" style="52" customWidth="1"/>
    <col min="7696" max="7696" width="21" style="52" customWidth="1"/>
    <col min="7697" max="7697" width="24" style="52" customWidth="1"/>
    <col min="7698" max="7698" width="18.453125" style="52" customWidth="1"/>
    <col min="7699" max="7699" width="21.7265625" style="52" customWidth="1"/>
    <col min="7700" max="7700" width="14.7265625" style="52" customWidth="1"/>
    <col min="7701" max="7701" width="0" style="52" hidden="1" customWidth="1"/>
    <col min="7702" max="7702" width="18.81640625" style="52" customWidth="1"/>
    <col min="7703" max="7711" width="14.7265625" style="52"/>
    <col min="7712" max="7712" width="16.26953125" style="52" customWidth="1"/>
    <col min="7713" max="7713" width="12.81640625" style="52" customWidth="1"/>
    <col min="7714" max="7936" width="14.7265625" style="52"/>
    <col min="7937" max="7938" width="0" style="52" hidden="1" customWidth="1"/>
    <col min="7939" max="7939" width="11.54296875" style="52" customWidth="1"/>
    <col min="7940" max="7941" width="22.26953125" style="52" customWidth="1"/>
    <col min="7942" max="7942" width="21.453125" style="52" customWidth="1"/>
    <col min="7943" max="7943" width="18.54296875" style="52" customWidth="1"/>
    <col min="7944" max="7944" width="14.1796875" style="52" customWidth="1"/>
    <col min="7945" max="7945" width="17.54296875" style="52" customWidth="1"/>
    <col min="7946" max="7946" width="19.54296875" style="52" customWidth="1"/>
    <col min="7947" max="7947" width="12.453125" style="52" customWidth="1"/>
    <col min="7948" max="7948" width="10.26953125" style="52" customWidth="1"/>
    <col min="7949" max="7949" width="17.54296875" style="52" customWidth="1"/>
    <col min="7950" max="7950" width="17.453125" style="52" customWidth="1"/>
    <col min="7951" max="7951" width="15.54296875" style="52" customWidth="1"/>
    <col min="7952" max="7952" width="21" style="52" customWidth="1"/>
    <col min="7953" max="7953" width="24" style="52" customWidth="1"/>
    <col min="7954" max="7954" width="18.453125" style="52" customWidth="1"/>
    <col min="7955" max="7955" width="21.7265625" style="52" customWidth="1"/>
    <col min="7956" max="7956" width="14.7265625" style="52" customWidth="1"/>
    <col min="7957" max="7957" width="0" style="52" hidden="1" customWidth="1"/>
    <col min="7958" max="7958" width="18.81640625" style="52" customWidth="1"/>
    <col min="7959" max="7967" width="14.7265625" style="52"/>
    <col min="7968" max="7968" width="16.26953125" style="52" customWidth="1"/>
    <col min="7969" max="7969" width="12.81640625" style="52" customWidth="1"/>
    <col min="7970" max="8192" width="14.7265625" style="52"/>
    <col min="8193" max="8194" width="0" style="52" hidden="1" customWidth="1"/>
    <col min="8195" max="8195" width="11.54296875" style="52" customWidth="1"/>
    <col min="8196" max="8197" width="22.26953125" style="52" customWidth="1"/>
    <col min="8198" max="8198" width="21.453125" style="52" customWidth="1"/>
    <col min="8199" max="8199" width="18.54296875" style="52" customWidth="1"/>
    <col min="8200" max="8200" width="14.1796875" style="52" customWidth="1"/>
    <col min="8201" max="8201" width="17.54296875" style="52" customWidth="1"/>
    <col min="8202" max="8202" width="19.54296875" style="52" customWidth="1"/>
    <col min="8203" max="8203" width="12.453125" style="52" customWidth="1"/>
    <col min="8204" max="8204" width="10.26953125" style="52" customWidth="1"/>
    <col min="8205" max="8205" width="17.54296875" style="52" customWidth="1"/>
    <col min="8206" max="8206" width="17.453125" style="52" customWidth="1"/>
    <col min="8207" max="8207" width="15.54296875" style="52" customWidth="1"/>
    <col min="8208" max="8208" width="21" style="52" customWidth="1"/>
    <col min="8209" max="8209" width="24" style="52" customWidth="1"/>
    <col min="8210" max="8210" width="18.453125" style="52" customWidth="1"/>
    <col min="8211" max="8211" width="21.7265625" style="52" customWidth="1"/>
    <col min="8212" max="8212" width="14.7265625" style="52" customWidth="1"/>
    <col min="8213" max="8213" width="0" style="52" hidden="1" customWidth="1"/>
    <col min="8214" max="8214" width="18.81640625" style="52" customWidth="1"/>
    <col min="8215" max="8223" width="14.7265625" style="52"/>
    <col min="8224" max="8224" width="16.26953125" style="52" customWidth="1"/>
    <col min="8225" max="8225" width="12.81640625" style="52" customWidth="1"/>
    <col min="8226" max="8448" width="14.7265625" style="52"/>
    <col min="8449" max="8450" width="0" style="52" hidden="1" customWidth="1"/>
    <col min="8451" max="8451" width="11.54296875" style="52" customWidth="1"/>
    <col min="8452" max="8453" width="22.26953125" style="52" customWidth="1"/>
    <col min="8454" max="8454" width="21.453125" style="52" customWidth="1"/>
    <col min="8455" max="8455" width="18.54296875" style="52" customWidth="1"/>
    <col min="8456" max="8456" width="14.1796875" style="52" customWidth="1"/>
    <col min="8457" max="8457" width="17.54296875" style="52" customWidth="1"/>
    <col min="8458" max="8458" width="19.54296875" style="52" customWidth="1"/>
    <col min="8459" max="8459" width="12.453125" style="52" customWidth="1"/>
    <col min="8460" max="8460" width="10.26953125" style="52" customWidth="1"/>
    <col min="8461" max="8461" width="17.54296875" style="52" customWidth="1"/>
    <col min="8462" max="8462" width="17.453125" style="52" customWidth="1"/>
    <col min="8463" max="8463" width="15.54296875" style="52" customWidth="1"/>
    <col min="8464" max="8464" width="21" style="52" customWidth="1"/>
    <col min="8465" max="8465" width="24" style="52" customWidth="1"/>
    <col min="8466" max="8466" width="18.453125" style="52" customWidth="1"/>
    <col min="8467" max="8467" width="21.7265625" style="52" customWidth="1"/>
    <col min="8468" max="8468" width="14.7265625" style="52" customWidth="1"/>
    <col min="8469" max="8469" width="0" style="52" hidden="1" customWidth="1"/>
    <col min="8470" max="8470" width="18.81640625" style="52" customWidth="1"/>
    <col min="8471" max="8479" width="14.7265625" style="52"/>
    <col min="8480" max="8480" width="16.26953125" style="52" customWidth="1"/>
    <col min="8481" max="8481" width="12.81640625" style="52" customWidth="1"/>
    <col min="8482" max="8704" width="14.7265625" style="52"/>
    <col min="8705" max="8706" width="0" style="52" hidden="1" customWidth="1"/>
    <col min="8707" max="8707" width="11.54296875" style="52" customWidth="1"/>
    <col min="8708" max="8709" width="22.26953125" style="52" customWidth="1"/>
    <col min="8710" max="8710" width="21.453125" style="52" customWidth="1"/>
    <col min="8711" max="8711" width="18.54296875" style="52" customWidth="1"/>
    <col min="8712" max="8712" width="14.1796875" style="52" customWidth="1"/>
    <col min="8713" max="8713" width="17.54296875" style="52" customWidth="1"/>
    <col min="8714" max="8714" width="19.54296875" style="52" customWidth="1"/>
    <col min="8715" max="8715" width="12.453125" style="52" customWidth="1"/>
    <col min="8716" max="8716" width="10.26953125" style="52" customWidth="1"/>
    <col min="8717" max="8717" width="17.54296875" style="52" customWidth="1"/>
    <col min="8718" max="8718" width="17.453125" style="52" customWidth="1"/>
    <col min="8719" max="8719" width="15.54296875" style="52" customWidth="1"/>
    <col min="8720" max="8720" width="21" style="52" customWidth="1"/>
    <col min="8721" max="8721" width="24" style="52" customWidth="1"/>
    <col min="8722" max="8722" width="18.453125" style="52" customWidth="1"/>
    <col min="8723" max="8723" width="21.7265625" style="52" customWidth="1"/>
    <col min="8724" max="8724" width="14.7265625" style="52" customWidth="1"/>
    <col min="8725" max="8725" width="0" style="52" hidden="1" customWidth="1"/>
    <col min="8726" max="8726" width="18.81640625" style="52" customWidth="1"/>
    <col min="8727" max="8735" width="14.7265625" style="52"/>
    <col min="8736" max="8736" width="16.26953125" style="52" customWidth="1"/>
    <col min="8737" max="8737" width="12.81640625" style="52" customWidth="1"/>
    <col min="8738" max="8960" width="14.7265625" style="52"/>
    <col min="8961" max="8962" width="0" style="52" hidden="1" customWidth="1"/>
    <col min="8963" max="8963" width="11.54296875" style="52" customWidth="1"/>
    <col min="8964" max="8965" width="22.26953125" style="52" customWidth="1"/>
    <col min="8966" max="8966" width="21.453125" style="52" customWidth="1"/>
    <col min="8967" max="8967" width="18.54296875" style="52" customWidth="1"/>
    <col min="8968" max="8968" width="14.1796875" style="52" customWidth="1"/>
    <col min="8969" max="8969" width="17.54296875" style="52" customWidth="1"/>
    <col min="8970" max="8970" width="19.54296875" style="52" customWidth="1"/>
    <col min="8971" max="8971" width="12.453125" style="52" customWidth="1"/>
    <col min="8972" max="8972" width="10.26953125" style="52" customWidth="1"/>
    <col min="8973" max="8973" width="17.54296875" style="52" customWidth="1"/>
    <col min="8974" max="8974" width="17.453125" style="52" customWidth="1"/>
    <col min="8975" max="8975" width="15.54296875" style="52" customWidth="1"/>
    <col min="8976" max="8976" width="21" style="52" customWidth="1"/>
    <col min="8977" max="8977" width="24" style="52" customWidth="1"/>
    <col min="8978" max="8978" width="18.453125" style="52" customWidth="1"/>
    <col min="8979" max="8979" width="21.7265625" style="52" customWidth="1"/>
    <col min="8980" max="8980" width="14.7265625" style="52" customWidth="1"/>
    <col min="8981" max="8981" width="0" style="52" hidden="1" customWidth="1"/>
    <col min="8982" max="8982" width="18.81640625" style="52" customWidth="1"/>
    <col min="8983" max="8991" width="14.7265625" style="52"/>
    <col min="8992" max="8992" width="16.26953125" style="52" customWidth="1"/>
    <col min="8993" max="8993" width="12.81640625" style="52" customWidth="1"/>
    <col min="8994" max="9216" width="14.7265625" style="52"/>
    <col min="9217" max="9218" width="0" style="52" hidden="1" customWidth="1"/>
    <col min="9219" max="9219" width="11.54296875" style="52" customWidth="1"/>
    <col min="9220" max="9221" width="22.26953125" style="52" customWidth="1"/>
    <col min="9222" max="9222" width="21.453125" style="52" customWidth="1"/>
    <col min="9223" max="9223" width="18.54296875" style="52" customWidth="1"/>
    <col min="9224" max="9224" width="14.1796875" style="52" customWidth="1"/>
    <col min="9225" max="9225" width="17.54296875" style="52" customWidth="1"/>
    <col min="9226" max="9226" width="19.54296875" style="52" customWidth="1"/>
    <col min="9227" max="9227" width="12.453125" style="52" customWidth="1"/>
    <col min="9228" max="9228" width="10.26953125" style="52" customWidth="1"/>
    <col min="9229" max="9229" width="17.54296875" style="52" customWidth="1"/>
    <col min="9230" max="9230" width="17.453125" style="52" customWidth="1"/>
    <col min="9231" max="9231" width="15.54296875" style="52" customWidth="1"/>
    <col min="9232" max="9232" width="21" style="52" customWidth="1"/>
    <col min="9233" max="9233" width="24" style="52" customWidth="1"/>
    <col min="9234" max="9234" width="18.453125" style="52" customWidth="1"/>
    <col min="9235" max="9235" width="21.7265625" style="52" customWidth="1"/>
    <col min="9236" max="9236" width="14.7265625" style="52" customWidth="1"/>
    <col min="9237" max="9237" width="0" style="52" hidden="1" customWidth="1"/>
    <col min="9238" max="9238" width="18.81640625" style="52" customWidth="1"/>
    <col min="9239" max="9247" width="14.7265625" style="52"/>
    <col min="9248" max="9248" width="16.26953125" style="52" customWidth="1"/>
    <col min="9249" max="9249" width="12.81640625" style="52" customWidth="1"/>
    <col min="9250" max="9472" width="14.7265625" style="52"/>
    <col min="9473" max="9474" width="0" style="52" hidden="1" customWidth="1"/>
    <col min="9475" max="9475" width="11.54296875" style="52" customWidth="1"/>
    <col min="9476" max="9477" width="22.26953125" style="52" customWidth="1"/>
    <col min="9478" max="9478" width="21.453125" style="52" customWidth="1"/>
    <col min="9479" max="9479" width="18.54296875" style="52" customWidth="1"/>
    <col min="9480" max="9480" width="14.1796875" style="52" customWidth="1"/>
    <col min="9481" max="9481" width="17.54296875" style="52" customWidth="1"/>
    <col min="9482" max="9482" width="19.54296875" style="52" customWidth="1"/>
    <col min="9483" max="9483" width="12.453125" style="52" customWidth="1"/>
    <col min="9484" max="9484" width="10.26953125" style="52" customWidth="1"/>
    <col min="9485" max="9485" width="17.54296875" style="52" customWidth="1"/>
    <col min="9486" max="9486" width="17.453125" style="52" customWidth="1"/>
    <col min="9487" max="9487" width="15.54296875" style="52" customWidth="1"/>
    <col min="9488" max="9488" width="21" style="52" customWidth="1"/>
    <col min="9489" max="9489" width="24" style="52" customWidth="1"/>
    <col min="9490" max="9490" width="18.453125" style="52" customWidth="1"/>
    <col min="9491" max="9491" width="21.7265625" style="52" customWidth="1"/>
    <col min="9492" max="9492" width="14.7265625" style="52" customWidth="1"/>
    <col min="9493" max="9493" width="0" style="52" hidden="1" customWidth="1"/>
    <col min="9494" max="9494" width="18.81640625" style="52" customWidth="1"/>
    <col min="9495" max="9503" width="14.7265625" style="52"/>
    <col min="9504" max="9504" width="16.26953125" style="52" customWidth="1"/>
    <col min="9505" max="9505" width="12.81640625" style="52" customWidth="1"/>
    <col min="9506" max="9728" width="14.7265625" style="52"/>
    <col min="9729" max="9730" width="0" style="52" hidden="1" customWidth="1"/>
    <col min="9731" max="9731" width="11.54296875" style="52" customWidth="1"/>
    <col min="9732" max="9733" width="22.26953125" style="52" customWidth="1"/>
    <col min="9734" max="9734" width="21.453125" style="52" customWidth="1"/>
    <col min="9735" max="9735" width="18.54296875" style="52" customWidth="1"/>
    <col min="9736" max="9736" width="14.1796875" style="52" customWidth="1"/>
    <col min="9737" max="9737" width="17.54296875" style="52" customWidth="1"/>
    <col min="9738" max="9738" width="19.54296875" style="52" customWidth="1"/>
    <col min="9739" max="9739" width="12.453125" style="52" customWidth="1"/>
    <col min="9740" max="9740" width="10.26953125" style="52" customWidth="1"/>
    <col min="9741" max="9741" width="17.54296875" style="52" customWidth="1"/>
    <col min="9742" max="9742" width="17.453125" style="52" customWidth="1"/>
    <col min="9743" max="9743" width="15.54296875" style="52" customWidth="1"/>
    <col min="9744" max="9744" width="21" style="52" customWidth="1"/>
    <col min="9745" max="9745" width="24" style="52" customWidth="1"/>
    <col min="9746" max="9746" width="18.453125" style="52" customWidth="1"/>
    <col min="9747" max="9747" width="21.7265625" style="52" customWidth="1"/>
    <col min="9748" max="9748" width="14.7265625" style="52" customWidth="1"/>
    <col min="9749" max="9749" width="0" style="52" hidden="1" customWidth="1"/>
    <col min="9750" max="9750" width="18.81640625" style="52" customWidth="1"/>
    <col min="9751" max="9759" width="14.7265625" style="52"/>
    <col min="9760" max="9760" width="16.26953125" style="52" customWidth="1"/>
    <col min="9761" max="9761" width="12.81640625" style="52" customWidth="1"/>
    <col min="9762" max="9984" width="14.7265625" style="52"/>
    <col min="9985" max="9986" width="0" style="52" hidden="1" customWidth="1"/>
    <col min="9987" max="9987" width="11.54296875" style="52" customWidth="1"/>
    <col min="9988" max="9989" width="22.26953125" style="52" customWidth="1"/>
    <col min="9990" max="9990" width="21.453125" style="52" customWidth="1"/>
    <col min="9991" max="9991" width="18.54296875" style="52" customWidth="1"/>
    <col min="9992" max="9992" width="14.1796875" style="52" customWidth="1"/>
    <col min="9993" max="9993" width="17.54296875" style="52" customWidth="1"/>
    <col min="9994" max="9994" width="19.54296875" style="52" customWidth="1"/>
    <col min="9995" max="9995" width="12.453125" style="52" customWidth="1"/>
    <col min="9996" max="9996" width="10.26953125" style="52" customWidth="1"/>
    <col min="9997" max="9997" width="17.54296875" style="52" customWidth="1"/>
    <col min="9998" max="9998" width="17.453125" style="52" customWidth="1"/>
    <col min="9999" max="9999" width="15.54296875" style="52" customWidth="1"/>
    <col min="10000" max="10000" width="21" style="52" customWidth="1"/>
    <col min="10001" max="10001" width="24" style="52" customWidth="1"/>
    <col min="10002" max="10002" width="18.453125" style="52" customWidth="1"/>
    <col min="10003" max="10003" width="21.7265625" style="52" customWidth="1"/>
    <col min="10004" max="10004" width="14.7265625" style="52" customWidth="1"/>
    <col min="10005" max="10005" width="0" style="52" hidden="1" customWidth="1"/>
    <col min="10006" max="10006" width="18.81640625" style="52" customWidth="1"/>
    <col min="10007" max="10015" width="14.7265625" style="52"/>
    <col min="10016" max="10016" width="16.26953125" style="52" customWidth="1"/>
    <col min="10017" max="10017" width="12.81640625" style="52" customWidth="1"/>
    <col min="10018" max="10240" width="14.7265625" style="52"/>
    <col min="10241" max="10242" width="0" style="52" hidden="1" customWidth="1"/>
    <col min="10243" max="10243" width="11.54296875" style="52" customWidth="1"/>
    <col min="10244" max="10245" width="22.26953125" style="52" customWidth="1"/>
    <col min="10246" max="10246" width="21.453125" style="52" customWidth="1"/>
    <col min="10247" max="10247" width="18.54296875" style="52" customWidth="1"/>
    <col min="10248" max="10248" width="14.1796875" style="52" customWidth="1"/>
    <col min="10249" max="10249" width="17.54296875" style="52" customWidth="1"/>
    <col min="10250" max="10250" width="19.54296875" style="52" customWidth="1"/>
    <col min="10251" max="10251" width="12.453125" style="52" customWidth="1"/>
    <col min="10252" max="10252" width="10.26953125" style="52" customWidth="1"/>
    <col min="10253" max="10253" width="17.54296875" style="52" customWidth="1"/>
    <col min="10254" max="10254" width="17.453125" style="52" customWidth="1"/>
    <col min="10255" max="10255" width="15.54296875" style="52" customWidth="1"/>
    <col min="10256" max="10256" width="21" style="52" customWidth="1"/>
    <col min="10257" max="10257" width="24" style="52" customWidth="1"/>
    <col min="10258" max="10258" width="18.453125" style="52" customWidth="1"/>
    <col min="10259" max="10259" width="21.7265625" style="52" customWidth="1"/>
    <col min="10260" max="10260" width="14.7265625" style="52" customWidth="1"/>
    <col min="10261" max="10261" width="0" style="52" hidden="1" customWidth="1"/>
    <col min="10262" max="10262" width="18.81640625" style="52" customWidth="1"/>
    <col min="10263" max="10271" width="14.7265625" style="52"/>
    <col min="10272" max="10272" width="16.26953125" style="52" customWidth="1"/>
    <col min="10273" max="10273" width="12.81640625" style="52" customWidth="1"/>
    <col min="10274" max="10496" width="14.7265625" style="52"/>
    <col min="10497" max="10498" width="0" style="52" hidden="1" customWidth="1"/>
    <col min="10499" max="10499" width="11.54296875" style="52" customWidth="1"/>
    <col min="10500" max="10501" width="22.26953125" style="52" customWidth="1"/>
    <col min="10502" max="10502" width="21.453125" style="52" customWidth="1"/>
    <col min="10503" max="10503" width="18.54296875" style="52" customWidth="1"/>
    <col min="10504" max="10504" width="14.1796875" style="52" customWidth="1"/>
    <col min="10505" max="10505" width="17.54296875" style="52" customWidth="1"/>
    <col min="10506" max="10506" width="19.54296875" style="52" customWidth="1"/>
    <col min="10507" max="10507" width="12.453125" style="52" customWidth="1"/>
    <col min="10508" max="10508" width="10.26953125" style="52" customWidth="1"/>
    <col min="10509" max="10509" width="17.54296875" style="52" customWidth="1"/>
    <col min="10510" max="10510" width="17.453125" style="52" customWidth="1"/>
    <col min="10511" max="10511" width="15.54296875" style="52" customWidth="1"/>
    <col min="10512" max="10512" width="21" style="52" customWidth="1"/>
    <col min="10513" max="10513" width="24" style="52" customWidth="1"/>
    <col min="10514" max="10514" width="18.453125" style="52" customWidth="1"/>
    <col min="10515" max="10515" width="21.7265625" style="52" customWidth="1"/>
    <col min="10516" max="10516" width="14.7265625" style="52" customWidth="1"/>
    <col min="10517" max="10517" width="0" style="52" hidden="1" customWidth="1"/>
    <col min="10518" max="10518" width="18.81640625" style="52" customWidth="1"/>
    <col min="10519" max="10527" width="14.7265625" style="52"/>
    <col min="10528" max="10528" width="16.26953125" style="52" customWidth="1"/>
    <col min="10529" max="10529" width="12.81640625" style="52" customWidth="1"/>
    <col min="10530" max="10752" width="14.7265625" style="52"/>
    <col min="10753" max="10754" width="0" style="52" hidden="1" customWidth="1"/>
    <col min="10755" max="10755" width="11.54296875" style="52" customWidth="1"/>
    <col min="10756" max="10757" width="22.26953125" style="52" customWidth="1"/>
    <col min="10758" max="10758" width="21.453125" style="52" customWidth="1"/>
    <col min="10759" max="10759" width="18.54296875" style="52" customWidth="1"/>
    <col min="10760" max="10760" width="14.1796875" style="52" customWidth="1"/>
    <col min="10761" max="10761" width="17.54296875" style="52" customWidth="1"/>
    <col min="10762" max="10762" width="19.54296875" style="52" customWidth="1"/>
    <col min="10763" max="10763" width="12.453125" style="52" customWidth="1"/>
    <col min="10764" max="10764" width="10.26953125" style="52" customWidth="1"/>
    <col min="10765" max="10765" width="17.54296875" style="52" customWidth="1"/>
    <col min="10766" max="10766" width="17.453125" style="52" customWidth="1"/>
    <col min="10767" max="10767" width="15.54296875" style="52" customWidth="1"/>
    <col min="10768" max="10768" width="21" style="52" customWidth="1"/>
    <col min="10769" max="10769" width="24" style="52" customWidth="1"/>
    <col min="10770" max="10770" width="18.453125" style="52" customWidth="1"/>
    <col min="10771" max="10771" width="21.7265625" style="52" customWidth="1"/>
    <col min="10772" max="10772" width="14.7265625" style="52" customWidth="1"/>
    <col min="10773" max="10773" width="0" style="52" hidden="1" customWidth="1"/>
    <col min="10774" max="10774" width="18.81640625" style="52" customWidth="1"/>
    <col min="10775" max="10783" width="14.7265625" style="52"/>
    <col min="10784" max="10784" width="16.26953125" style="52" customWidth="1"/>
    <col min="10785" max="10785" width="12.81640625" style="52" customWidth="1"/>
    <col min="10786" max="11008" width="14.7265625" style="52"/>
    <col min="11009" max="11010" width="0" style="52" hidden="1" customWidth="1"/>
    <col min="11011" max="11011" width="11.54296875" style="52" customWidth="1"/>
    <col min="11012" max="11013" width="22.26953125" style="52" customWidth="1"/>
    <col min="11014" max="11014" width="21.453125" style="52" customWidth="1"/>
    <col min="11015" max="11015" width="18.54296875" style="52" customWidth="1"/>
    <col min="11016" max="11016" width="14.1796875" style="52" customWidth="1"/>
    <col min="11017" max="11017" width="17.54296875" style="52" customWidth="1"/>
    <col min="11018" max="11018" width="19.54296875" style="52" customWidth="1"/>
    <col min="11019" max="11019" width="12.453125" style="52" customWidth="1"/>
    <col min="11020" max="11020" width="10.26953125" style="52" customWidth="1"/>
    <col min="11021" max="11021" width="17.54296875" style="52" customWidth="1"/>
    <col min="11022" max="11022" width="17.453125" style="52" customWidth="1"/>
    <col min="11023" max="11023" width="15.54296875" style="52" customWidth="1"/>
    <col min="11024" max="11024" width="21" style="52" customWidth="1"/>
    <col min="11025" max="11025" width="24" style="52" customWidth="1"/>
    <col min="11026" max="11026" width="18.453125" style="52" customWidth="1"/>
    <col min="11027" max="11027" width="21.7265625" style="52" customWidth="1"/>
    <col min="11028" max="11028" width="14.7265625" style="52" customWidth="1"/>
    <col min="11029" max="11029" width="0" style="52" hidden="1" customWidth="1"/>
    <col min="11030" max="11030" width="18.81640625" style="52" customWidth="1"/>
    <col min="11031" max="11039" width="14.7265625" style="52"/>
    <col min="11040" max="11040" width="16.26953125" style="52" customWidth="1"/>
    <col min="11041" max="11041" width="12.81640625" style="52" customWidth="1"/>
    <col min="11042" max="11264" width="14.7265625" style="52"/>
    <col min="11265" max="11266" width="0" style="52" hidden="1" customWidth="1"/>
    <col min="11267" max="11267" width="11.54296875" style="52" customWidth="1"/>
    <col min="11268" max="11269" width="22.26953125" style="52" customWidth="1"/>
    <col min="11270" max="11270" width="21.453125" style="52" customWidth="1"/>
    <col min="11271" max="11271" width="18.54296875" style="52" customWidth="1"/>
    <col min="11272" max="11272" width="14.1796875" style="52" customWidth="1"/>
    <col min="11273" max="11273" width="17.54296875" style="52" customWidth="1"/>
    <col min="11274" max="11274" width="19.54296875" style="52" customWidth="1"/>
    <col min="11275" max="11275" width="12.453125" style="52" customWidth="1"/>
    <col min="11276" max="11276" width="10.26953125" style="52" customWidth="1"/>
    <col min="11277" max="11277" width="17.54296875" style="52" customWidth="1"/>
    <col min="11278" max="11278" width="17.453125" style="52" customWidth="1"/>
    <col min="11279" max="11279" width="15.54296875" style="52" customWidth="1"/>
    <col min="11280" max="11280" width="21" style="52" customWidth="1"/>
    <col min="11281" max="11281" width="24" style="52" customWidth="1"/>
    <col min="11282" max="11282" width="18.453125" style="52" customWidth="1"/>
    <col min="11283" max="11283" width="21.7265625" style="52" customWidth="1"/>
    <col min="11284" max="11284" width="14.7265625" style="52" customWidth="1"/>
    <col min="11285" max="11285" width="0" style="52" hidden="1" customWidth="1"/>
    <col min="11286" max="11286" width="18.81640625" style="52" customWidth="1"/>
    <col min="11287" max="11295" width="14.7265625" style="52"/>
    <col min="11296" max="11296" width="16.26953125" style="52" customWidth="1"/>
    <col min="11297" max="11297" width="12.81640625" style="52" customWidth="1"/>
    <col min="11298" max="11520" width="14.7265625" style="52"/>
    <col min="11521" max="11522" width="0" style="52" hidden="1" customWidth="1"/>
    <col min="11523" max="11523" width="11.54296875" style="52" customWidth="1"/>
    <col min="11524" max="11525" width="22.26953125" style="52" customWidth="1"/>
    <col min="11526" max="11526" width="21.453125" style="52" customWidth="1"/>
    <col min="11527" max="11527" width="18.54296875" style="52" customWidth="1"/>
    <col min="11528" max="11528" width="14.1796875" style="52" customWidth="1"/>
    <col min="11529" max="11529" width="17.54296875" style="52" customWidth="1"/>
    <col min="11530" max="11530" width="19.54296875" style="52" customWidth="1"/>
    <col min="11531" max="11531" width="12.453125" style="52" customWidth="1"/>
    <col min="11532" max="11532" width="10.26953125" style="52" customWidth="1"/>
    <col min="11533" max="11533" width="17.54296875" style="52" customWidth="1"/>
    <col min="11534" max="11534" width="17.453125" style="52" customWidth="1"/>
    <col min="11535" max="11535" width="15.54296875" style="52" customWidth="1"/>
    <col min="11536" max="11536" width="21" style="52" customWidth="1"/>
    <col min="11537" max="11537" width="24" style="52" customWidth="1"/>
    <col min="11538" max="11538" width="18.453125" style="52" customWidth="1"/>
    <col min="11539" max="11539" width="21.7265625" style="52" customWidth="1"/>
    <col min="11540" max="11540" width="14.7265625" style="52" customWidth="1"/>
    <col min="11541" max="11541" width="0" style="52" hidden="1" customWidth="1"/>
    <col min="11542" max="11542" width="18.81640625" style="52" customWidth="1"/>
    <col min="11543" max="11551" width="14.7265625" style="52"/>
    <col min="11552" max="11552" width="16.26953125" style="52" customWidth="1"/>
    <col min="11553" max="11553" width="12.81640625" style="52" customWidth="1"/>
    <col min="11554" max="11776" width="14.7265625" style="52"/>
    <col min="11777" max="11778" width="0" style="52" hidden="1" customWidth="1"/>
    <col min="11779" max="11779" width="11.54296875" style="52" customWidth="1"/>
    <col min="11780" max="11781" width="22.26953125" style="52" customWidth="1"/>
    <col min="11782" max="11782" width="21.453125" style="52" customWidth="1"/>
    <col min="11783" max="11783" width="18.54296875" style="52" customWidth="1"/>
    <col min="11784" max="11784" width="14.1796875" style="52" customWidth="1"/>
    <col min="11785" max="11785" width="17.54296875" style="52" customWidth="1"/>
    <col min="11786" max="11786" width="19.54296875" style="52" customWidth="1"/>
    <col min="11787" max="11787" width="12.453125" style="52" customWidth="1"/>
    <col min="11788" max="11788" width="10.26953125" style="52" customWidth="1"/>
    <col min="11789" max="11789" width="17.54296875" style="52" customWidth="1"/>
    <col min="11790" max="11790" width="17.453125" style="52" customWidth="1"/>
    <col min="11791" max="11791" width="15.54296875" style="52" customWidth="1"/>
    <col min="11792" max="11792" width="21" style="52" customWidth="1"/>
    <col min="11793" max="11793" width="24" style="52" customWidth="1"/>
    <col min="11794" max="11794" width="18.453125" style="52" customWidth="1"/>
    <col min="11795" max="11795" width="21.7265625" style="52" customWidth="1"/>
    <col min="11796" max="11796" width="14.7265625" style="52" customWidth="1"/>
    <col min="11797" max="11797" width="0" style="52" hidden="1" customWidth="1"/>
    <col min="11798" max="11798" width="18.81640625" style="52" customWidth="1"/>
    <col min="11799" max="11807" width="14.7265625" style="52"/>
    <col min="11808" max="11808" width="16.26953125" style="52" customWidth="1"/>
    <col min="11809" max="11809" width="12.81640625" style="52" customWidth="1"/>
    <col min="11810" max="12032" width="14.7265625" style="52"/>
    <col min="12033" max="12034" width="0" style="52" hidden="1" customWidth="1"/>
    <col min="12035" max="12035" width="11.54296875" style="52" customWidth="1"/>
    <col min="12036" max="12037" width="22.26953125" style="52" customWidth="1"/>
    <col min="12038" max="12038" width="21.453125" style="52" customWidth="1"/>
    <col min="12039" max="12039" width="18.54296875" style="52" customWidth="1"/>
    <col min="12040" max="12040" width="14.1796875" style="52" customWidth="1"/>
    <col min="12041" max="12041" width="17.54296875" style="52" customWidth="1"/>
    <col min="12042" max="12042" width="19.54296875" style="52" customWidth="1"/>
    <col min="12043" max="12043" width="12.453125" style="52" customWidth="1"/>
    <col min="12044" max="12044" width="10.26953125" style="52" customWidth="1"/>
    <col min="12045" max="12045" width="17.54296875" style="52" customWidth="1"/>
    <col min="12046" max="12046" width="17.453125" style="52" customWidth="1"/>
    <col min="12047" max="12047" width="15.54296875" style="52" customWidth="1"/>
    <col min="12048" max="12048" width="21" style="52" customWidth="1"/>
    <col min="12049" max="12049" width="24" style="52" customWidth="1"/>
    <col min="12050" max="12050" width="18.453125" style="52" customWidth="1"/>
    <col min="12051" max="12051" width="21.7265625" style="52" customWidth="1"/>
    <col min="12052" max="12052" width="14.7265625" style="52" customWidth="1"/>
    <col min="12053" max="12053" width="0" style="52" hidden="1" customWidth="1"/>
    <col min="12054" max="12054" width="18.81640625" style="52" customWidth="1"/>
    <col min="12055" max="12063" width="14.7265625" style="52"/>
    <col min="12064" max="12064" width="16.26953125" style="52" customWidth="1"/>
    <col min="12065" max="12065" width="12.81640625" style="52" customWidth="1"/>
    <col min="12066" max="12288" width="14.7265625" style="52"/>
    <col min="12289" max="12290" width="0" style="52" hidden="1" customWidth="1"/>
    <col min="12291" max="12291" width="11.54296875" style="52" customWidth="1"/>
    <col min="12292" max="12293" width="22.26953125" style="52" customWidth="1"/>
    <col min="12294" max="12294" width="21.453125" style="52" customWidth="1"/>
    <col min="12295" max="12295" width="18.54296875" style="52" customWidth="1"/>
    <col min="12296" max="12296" width="14.1796875" style="52" customWidth="1"/>
    <col min="12297" max="12297" width="17.54296875" style="52" customWidth="1"/>
    <col min="12298" max="12298" width="19.54296875" style="52" customWidth="1"/>
    <col min="12299" max="12299" width="12.453125" style="52" customWidth="1"/>
    <col min="12300" max="12300" width="10.26953125" style="52" customWidth="1"/>
    <col min="12301" max="12301" width="17.54296875" style="52" customWidth="1"/>
    <col min="12302" max="12302" width="17.453125" style="52" customWidth="1"/>
    <col min="12303" max="12303" width="15.54296875" style="52" customWidth="1"/>
    <col min="12304" max="12304" width="21" style="52" customWidth="1"/>
    <col min="12305" max="12305" width="24" style="52" customWidth="1"/>
    <col min="12306" max="12306" width="18.453125" style="52" customWidth="1"/>
    <col min="12307" max="12307" width="21.7265625" style="52" customWidth="1"/>
    <col min="12308" max="12308" width="14.7265625" style="52" customWidth="1"/>
    <col min="12309" max="12309" width="0" style="52" hidden="1" customWidth="1"/>
    <col min="12310" max="12310" width="18.81640625" style="52" customWidth="1"/>
    <col min="12311" max="12319" width="14.7265625" style="52"/>
    <col min="12320" max="12320" width="16.26953125" style="52" customWidth="1"/>
    <col min="12321" max="12321" width="12.81640625" style="52" customWidth="1"/>
    <col min="12322" max="12544" width="14.7265625" style="52"/>
    <col min="12545" max="12546" width="0" style="52" hidden="1" customWidth="1"/>
    <col min="12547" max="12547" width="11.54296875" style="52" customWidth="1"/>
    <col min="12548" max="12549" width="22.26953125" style="52" customWidth="1"/>
    <col min="12550" max="12550" width="21.453125" style="52" customWidth="1"/>
    <col min="12551" max="12551" width="18.54296875" style="52" customWidth="1"/>
    <col min="12552" max="12552" width="14.1796875" style="52" customWidth="1"/>
    <col min="12553" max="12553" width="17.54296875" style="52" customWidth="1"/>
    <col min="12554" max="12554" width="19.54296875" style="52" customWidth="1"/>
    <col min="12555" max="12555" width="12.453125" style="52" customWidth="1"/>
    <col min="12556" max="12556" width="10.26953125" style="52" customWidth="1"/>
    <col min="12557" max="12557" width="17.54296875" style="52" customWidth="1"/>
    <col min="12558" max="12558" width="17.453125" style="52" customWidth="1"/>
    <col min="12559" max="12559" width="15.54296875" style="52" customWidth="1"/>
    <col min="12560" max="12560" width="21" style="52" customWidth="1"/>
    <col min="12561" max="12561" width="24" style="52" customWidth="1"/>
    <col min="12562" max="12562" width="18.453125" style="52" customWidth="1"/>
    <col min="12563" max="12563" width="21.7265625" style="52" customWidth="1"/>
    <col min="12564" max="12564" width="14.7265625" style="52" customWidth="1"/>
    <col min="12565" max="12565" width="0" style="52" hidden="1" customWidth="1"/>
    <col min="12566" max="12566" width="18.81640625" style="52" customWidth="1"/>
    <col min="12567" max="12575" width="14.7265625" style="52"/>
    <col min="12576" max="12576" width="16.26953125" style="52" customWidth="1"/>
    <col min="12577" max="12577" width="12.81640625" style="52" customWidth="1"/>
    <col min="12578" max="12800" width="14.7265625" style="52"/>
    <col min="12801" max="12802" width="0" style="52" hidden="1" customWidth="1"/>
    <col min="12803" max="12803" width="11.54296875" style="52" customWidth="1"/>
    <col min="12804" max="12805" width="22.26953125" style="52" customWidth="1"/>
    <col min="12806" max="12806" width="21.453125" style="52" customWidth="1"/>
    <col min="12807" max="12807" width="18.54296875" style="52" customWidth="1"/>
    <col min="12808" max="12808" width="14.1796875" style="52" customWidth="1"/>
    <col min="12809" max="12809" width="17.54296875" style="52" customWidth="1"/>
    <col min="12810" max="12810" width="19.54296875" style="52" customWidth="1"/>
    <col min="12811" max="12811" width="12.453125" style="52" customWidth="1"/>
    <col min="12812" max="12812" width="10.26953125" style="52" customWidth="1"/>
    <col min="12813" max="12813" width="17.54296875" style="52" customWidth="1"/>
    <col min="12814" max="12814" width="17.453125" style="52" customWidth="1"/>
    <col min="12815" max="12815" width="15.54296875" style="52" customWidth="1"/>
    <col min="12816" max="12816" width="21" style="52" customWidth="1"/>
    <col min="12817" max="12817" width="24" style="52" customWidth="1"/>
    <col min="12818" max="12818" width="18.453125" style="52" customWidth="1"/>
    <col min="12819" max="12819" width="21.7265625" style="52" customWidth="1"/>
    <col min="12820" max="12820" width="14.7265625" style="52" customWidth="1"/>
    <col min="12821" max="12821" width="0" style="52" hidden="1" customWidth="1"/>
    <col min="12822" max="12822" width="18.81640625" style="52" customWidth="1"/>
    <col min="12823" max="12831" width="14.7265625" style="52"/>
    <col min="12832" max="12832" width="16.26953125" style="52" customWidth="1"/>
    <col min="12833" max="12833" width="12.81640625" style="52" customWidth="1"/>
    <col min="12834" max="13056" width="14.7265625" style="52"/>
    <col min="13057" max="13058" width="0" style="52" hidden="1" customWidth="1"/>
    <col min="13059" max="13059" width="11.54296875" style="52" customWidth="1"/>
    <col min="13060" max="13061" width="22.26953125" style="52" customWidth="1"/>
    <col min="13062" max="13062" width="21.453125" style="52" customWidth="1"/>
    <col min="13063" max="13063" width="18.54296875" style="52" customWidth="1"/>
    <col min="13064" max="13064" width="14.1796875" style="52" customWidth="1"/>
    <col min="13065" max="13065" width="17.54296875" style="52" customWidth="1"/>
    <col min="13066" max="13066" width="19.54296875" style="52" customWidth="1"/>
    <col min="13067" max="13067" width="12.453125" style="52" customWidth="1"/>
    <col min="13068" max="13068" width="10.26953125" style="52" customWidth="1"/>
    <col min="13069" max="13069" width="17.54296875" style="52" customWidth="1"/>
    <col min="13070" max="13070" width="17.453125" style="52" customWidth="1"/>
    <col min="13071" max="13071" width="15.54296875" style="52" customWidth="1"/>
    <col min="13072" max="13072" width="21" style="52" customWidth="1"/>
    <col min="13073" max="13073" width="24" style="52" customWidth="1"/>
    <col min="13074" max="13074" width="18.453125" style="52" customWidth="1"/>
    <col min="13075" max="13075" width="21.7265625" style="52" customWidth="1"/>
    <col min="13076" max="13076" width="14.7265625" style="52" customWidth="1"/>
    <col min="13077" max="13077" width="0" style="52" hidden="1" customWidth="1"/>
    <col min="13078" max="13078" width="18.81640625" style="52" customWidth="1"/>
    <col min="13079" max="13087" width="14.7265625" style="52"/>
    <col min="13088" max="13088" width="16.26953125" style="52" customWidth="1"/>
    <col min="13089" max="13089" width="12.81640625" style="52" customWidth="1"/>
    <col min="13090" max="13312" width="14.7265625" style="52"/>
    <col min="13313" max="13314" width="0" style="52" hidden="1" customWidth="1"/>
    <col min="13315" max="13315" width="11.54296875" style="52" customWidth="1"/>
    <col min="13316" max="13317" width="22.26953125" style="52" customWidth="1"/>
    <col min="13318" max="13318" width="21.453125" style="52" customWidth="1"/>
    <col min="13319" max="13319" width="18.54296875" style="52" customWidth="1"/>
    <col min="13320" max="13320" width="14.1796875" style="52" customWidth="1"/>
    <col min="13321" max="13321" width="17.54296875" style="52" customWidth="1"/>
    <col min="13322" max="13322" width="19.54296875" style="52" customWidth="1"/>
    <col min="13323" max="13323" width="12.453125" style="52" customWidth="1"/>
    <col min="13324" max="13324" width="10.26953125" style="52" customWidth="1"/>
    <col min="13325" max="13325" width="17.54296875" style="52" customWidth="1"/>
    <col min="13326" max="13326" width="17.453125" style="52" customWidth="1"/>
    <col min="13327" max="13327" width="15.54296875" style="52" customWidth="1"/>
    <col min="13328" max="13328" width="21" style="52" customWidth="1"/>
    <col min="13329" max="13329" width="24" style="52" customWidth="1"/>
    <col min="13330" max="13330" width="18.453125" style="52" customWidth="1"/>
    <col min="13331" max="13331" width="21.7265625" style="52" customWidth="1"/>
    <col min="13332" max="13332" width="14.7265625" style="52" customWidth="1"/>
    <col min="13333" max="13333" width="0" style="52" hidden="1" customWidth="1"/>
    <col min="13334" max="13334" width="18.81640625" style="52" customWidth="1"/>
    <col min="13335" max="13343" width="14.7265625" style="52"/>
    <col min="13344" max="13344" width="16.26953125" style="52" customWidth="1"/>
    <col min="13345" max="13345" width="12.81640625" style="52" customWidth="1"/>
    <col min="13346" max="13568" width="14.7265625" style="52"/>
    <col min="13569" max="13570" width="0" style="52" hidden="1" customWidth="1"/>
    <col min="13571" max="13571" width="11.54296875" style="52" customWidth="1"/>
    <col min="13572" max="13573" width="22.26953125" style="52" customWidth="1"/>
    <col min="13574" max="13574" width="21.453125" style="52" customWidth="1"/>
    <col min="13575" max="13575" width="18.54296875" style="52" customWidth="1"/>
    <col min="13576" max="13576" width="14.1796875" style="52" customWidth="1"/>
    <col min="13577" max="13577" width="17.54296875" style="52" customWidth="1"/>
    <col min="13578" max="13578" width="19.54296875" style="52" customWidth="1"/>
    <col min="13579" max="13579" width="12.453125" style="52" customWidth="1"/>
    <col min="13580" max="13580" width="10.26953125" style="52" customWidth="1"/>
    <col min="13581" max="13581" width="17.54296875" style="52" customWidth="1"/>
    <col min="13582" max="13582" width="17.453125" style="52" customWidth="1"/>
    <col min="13583" max="13583" width="15.54296875" style="52" customWidth="1"/>
    <col min="13584" max="13584" width="21" style="52" customWidth="1"/>
    <col min="13585" max="13585" width="24" style="52" customWidth="1"/>
    <col min="13586" max="13586" width="18.453125" style="52" customWidth="1"/>
    <col min="13587" max="13587" width="21.7265625" style="52" customWidth="1"/>
    <col min="13588" max="13588" width="14.7265625" style="52" customWidth="1"/>
    <col min="13589" max="13589" width="0" style="52" hidden="1" customWidth="1"/>
    <col min="13590" max="13590" width="18.81640625" style="52" customWidth="1"/>
    <col min="13591" max="13599" width="14.7265625" style="52"/>
    <col min="13600" max="13600" width="16.26953125" style="52" customWidth="1"/>
    <col min="13601" max="13601" width="12.81640625" style="52" customWidth="1"/>
    <col min="13602" max="13824" width="14.7265625" style="52"/>
    <col min="13825" max="13826" width="0" style="52" hidden="1" customWidth="1"/>
    <col min="13827" max="13827" width="11.54296875" style="52" customWidth="1"/>
    <col min="13828" max="13829" width="22.26953125" style="52" customWidth="1"/>
    <col min="13830" max="13830" width="21.453125" style="52" customWidth="1"/>
    <col min="13831" max="13831" width="18.54296875" style="52" customWidth="1"/>
    <col min="13832" max="13832" width="14.1796875" style="52" customWidth="1"/>
    <col min="13833" max="13833" width="17.54296875" style="52" customWidth="1"/>
    <col min="13834" max="13834" width="19.54296875" style="52" customWidth="1"/>
    <col min="13835" max="13835" width="12.453125" style="52" customWidth="1"/>
    <col min="13836" max="13836" width="10.26953125" style="52" customWidth="1"/>
    <col min="13837" max="13837" width="17.54296875" style="52" customWidth="1"/>
    <col min="13838" max="13838" width="17.453125" style="52" customWidth="1"/>
    <col min="13839" max="13839" width="15.54296875" style="52" customWidth="1"/>
    <col min="13840" max="13840" width="21" style="52" customWidth="1"/>
    <col min="13841" max="13841" width="24" style="52" customWidth="1"/>
    <col min="13842" max="13842" width="18.453125" style="52" customWidth="1"/>
    <col min="13843" max="13843" width="21.7265625" style="52" customWidth="1"/>
    <col min="13844" max="13844" width="14.7265625" style="52" customWidth="1"/>
    <col min="13845" max="13845" width="0" style="52" hidden="1" customWidth="1"/>
    <col min="13846" max="13846" width="18.81640625" style="52" customWidth="1"/>
    <col min="13847" max="13855" width="14.7265625" style="52"/>
    <col min="13856" max="13856" width="16.26953125" style="52" customWidth="1"/>
    <col min="13857" max="13857" width="12.81640625" style="52" customWidth="1"/>
    <col min="13858" max="14080" width="14.7265625" style="52"/>
    <col min="14081" max="14082" width="0" style="52" hidden="1" customWidth="1"/>
    <col min="14083" max="14083" width="11.54296875" style="52" customWidth="1"/>
    <col min="14084" max="14085" width="22.26953125" style="52" customWidth="1"/>
    <col min="14086" max="14086" width="21.453125" style="52" customWidth="1"/>
    <col min="14087" max="14087" width="18.54296875" style="52" customWidth="1"/>
    <col min="14088" max="14088" width="14.1796875" style="52" customWidth="1"/>
    <col min="14089" max="14089" width="17.54296875" style="52" customWidth="1"/>
    <col min="14090" max="14090" width="19.54296875" style="52" customWidth="1"/>
    <col min="14091" max="14091" width="12.453125" style="52" customWidth="1"/>
    <col min="14092" max="14092" width="10.26953125" style="52" customWidth="1"/>
    <col min="14093" max="14093" width="17.54296875" style="52" customWidth="1"/>
    <col min="14094" max="14094" width="17.453125" style="52" customWidth="1"/>
    <col min="14095" max="14095" width="15.54296875" style="52" customWidth="1"/>
    <col min="14096" max="14096" width="21" style="52" customWidth="1"/>
    <col min="14097" max="14097" width="24" style="52" customWidth="1"/>
    <col min="14098" max="14098" width="18.453125" style="52" customWidth="1"/>
    <col min="14099" max="14099" width="21.7265625" style="52" customWidth="1"/>
    <col min="14100" max="14100" width="14.7265625" style="52" customWidth="1"/>
    <col min="14101" max="14101" width="0" style="52" hidden="1" customWidth="1"/>
    <col min="14102" max="14102" width="18.81640625" style="52" customWidth="1"/>
    <col min="14103" max="14111" width="14.7265625" style="52"/>
    <col min="14112" max="14112" width="16.26953125" style="52" customWidth="1"/>
    <col min="14113" max="14113" width="12.81640625" style="52" customWidth="1"/>
    <col min="14114" max="14336" width="14.7265625" style="52"/>
    <col min="14337" max="14338" width="0" style="52" hidden="1" customWidth="1"/>
    <col min="14339" max="14339" width="11.54296875" style="52" customWidth="1"/>
    <col min="14340" max="14341" width="22.26953125" style="52" customWidth="1"/>
    <col min="14342" max="14342" width="21.453125" style="52" customWidth="1"/>
    <col min="14343" max="14343" width="18.54296875" style="52" customWidth="1"/>
    <col min="14344" max="14344" width="14.1796875" style="52" customWidth="1"/>
    <col min="14345" max="14345" width="17.54296875" style="52" customWidth="1"/>
    <col min="14346" max="14346" width="19.54296875" style="52" customWidth="1"/>
    <col min="14347" max="14347" width="12.453125" style="52" customWidth="1"/>
    <col min="14348" max="14348" width="10.26953125" style="52" customWidth="1"/>
    <col min="14349" max="14349" width="17.54296875" style="52" customWidth="1"/>
    <col min="14350" max="14350" width="17.453125" style="52" customWidth="1"/>
    <col min="14351" max="14351" width="15.54296875" style="52" customWidth="1"/>
    <col min="14352" max="14352" width="21" style="52" customWidth="1"/>
    <col min="14353" max="14353" width="24" style="52" customWidth="1"/>
    <col min="14354" max="14354" width="18.453125" style="52" customWidth="1"/>
    <col min="14355" max="14355" width="21.7265625" style="52" customWidth="1"/>
    <col min="14356" max="14356" width="14.7265625" style="52" customWidth="1"/>
    <col min="14357" max="14357" width="0" style="52" hidden="1" customWidth="1"/>
    <col min="14358" max="14358" width="18.81640625" style="52" customWidth="1"/>
    <col min="14359" max="14367" width="14.7265625" style="52"/>
    <col min="14368" max="14368" width="16.26953125" style="52" customWidth="1"/>
    <col min="14369" max="14369" width="12.81640625" style="52" customWidth="1"/>
    <col min="14370" max="14592" width="14.7265625" style="52"/>
    <col min="14593" max="14594" width="0" style="52" hidden="1" customWidth="1"/>
    <col min="14595" max="14595" width="11.54296875" style="52" customWidth="1"/>
    <col min="14596" max="14597" width="22.26953125" style="52" customWidth="1"/>
    <col min="14598" max="14598" width="21.453125" style="52" customWidth="1"/>
    <col min="14599" max="14599" width="18.54296875" style="52" customWidth="1"/>
    <col min="14600" max="14600" width="14.1796875" style="52" customWidth="1"/>
    <col min="14601" max="14601" width="17.54296875" style="52" customWidth="1"/>
    <col min="14602" max="14602" width="19.54296875" style="52" customWidth="1"/>
    <col min="14603" max="14603" width="12.453125" style="52" customWidth="1"/>
    <col min="14604" max="14604" width="10.26953125" style="52" customWidth="1"/>
    <col min="14605" max="14605" width="17.54296875" style="52" customWidth="1"/>
    <col min="14606" max="14606" width="17.453125" style="52" customWidth="1"/>
    <col min="14607" max="14607" width="15.54296875" style="52" customWidth="1"/>
    <col min="14608" max="14608" width="21" style="52" customWidth="1"/>
    <col min="14609" max="14609" width="24" style="52" customWidth="1"/>
    <col min="14610" max="14610" width="18.453125" style="52" customWidth="1"/>
    <col min="14611" max="14611" width="21.7265625" style="52" customWidth="1"/>
    <col min="14612" max="14612" width="14.7265625" style="52" customWidth="1"/>
    <col min="14613" max="14613" width="0" style="52" hidden="1" customWidth="1"/>
    <col min="14614" max="14614" width="18.81640625" style="52" customWidth="1"/>
    <col min="14615" max="14623" width="14.7265625" style="52"/>
    <col min="14624" max="14624" width="16.26953125" style="52" customWidth="1"/>
    <col min="14625" max="14625" width="12.81640625" style="52" customWidth="1"/>
    <col min="14626" max="14848" width="14.7265625" style="52"/>
    <col min="14849" max="14850" width="0" style="52" hidden="1" customWidth="1"/>
    <col min="14851" max="14851" width="11.54296875" style="52" customWidth="1"/>
    <col min="14852" max="14853" width="22.26953125" style="52" customWidth="1"/>
    <col min="14854" max="14854" width="21.453125" style="52" customWidth="1"/>
    <col min="14855" max="14855" width="18.54296875" style="52" customWidth="1"/>
    <col min="14856" max="14856" width="14.1796875" style="52" customWidth="1"/>
    <col min="14857" max="14857" width="17.54296875" style="52" customWidth="1"/>
    <col min="14858" max="14858" width="19.54296875" style="52" customWidth="1"/>
    <col min="14859" max="14859" width="12.453125" style="52" customWidth="1"/>
    <col min="14860" max="14860" width="10.26953125" style="52" customWidth="1"/>
    <col min="14861" max="14861" width="17.54296875" style="52" customWidth="1"/>
    <col min="14862" max="14862" width="17.453125" style="52" customWidth="1"/>
    <col min="14863" max="14863" width="15.54296875" style="52" customWidth="1"/>
    <col min="14864" max="14864" width="21" style="52" customWidth="1"/>
    <col min="14865" max="14865" width="24" style="52" customWidth="1"/>
    <col min="14866" max="14866" width="18.453125" style="52" customWidth="1"/>
    <col min="14867" max="14867" width="21.7265625" style="52" customWidth="1"/>
    <col min="14868" max="14868" width="14.7265625" style="52" customWidth="1"/>
    <col min="14869" max="14869" width="0" style="52" hidden="1" customWidth="1"/>
    <col min="14870" max="14870" width="18.81640625" style="52" customWidth="1"/>
    <col min="14871" max="14879" width="14.7265625" style="52"/>
    <col min="14880" max="14880" width="16.26953125" style="52" customWidth="1"/>
    <col min="14881" max="14881" width="12.81640625" style="52" customWidth="1"/>
    <col min="14882" max="15104" width="14.7265625" style="52"/>
    <col min="15105" max="15106" width="0" style="52" hidden="1" customWidth="1"/>
    <col min="15107" max="15107" width="11.54296875" style="52" customWidth="1"/>
    <col min="15108" max="15109" width="22.26953125" style="52" customWidth="1"/>
    <col min="15110" max="15110" width="21.453125" style="52" customWidth="1"/>
    <col min="15111" max="15111" width="18.54296875" style="52" customWidth="1"/>
    <col min="15112" max="15112" width="14.1796875" style="52" customWidth="1"/>
    <col min="15113" max="15113" width="17.54296875" style="52" customWidth="1"/>
    <col min="15114" max="15114" width="19.54296875" style="52" customWidth="1"/>
    <col min="15115" max="15115" width="12.453125" style="52" customWidth="1"/>
    <col min="15116" max="15116" width="10.26953125" style="52" customWidth="1"/>
    <col min="15117" max="15117" width="17.54296875" style="52" customWidth="1"/>
    <col min="15118" max="15118" width="17.453125" style="52" customWidth="1"/>
    <col min="15119" max="15119" width="15.54296875" style="52" customWidth="1"/>
    <col min="15120" max="15120" width="21" style="52" customWidth="1"/>
    <col min="15121" max="15121" width="24" style="52" customWidth="1"/>
    <col min="15122" max="15122" width="18.453125" style="52" customWidth="1"/>
    <col min="15123" max="15123" width="21.7265625" style="52" customWidth="1"/>
    <col min="15124" max="15124" width="14.7265625" style="52" customWidth="1"/>
    <col min="15125" max="15125" width="0" style="52" hidden="1" customWidth="1"/>
    <col min="15126" max="15126" width="18.81640625" style="52" customWidth="1"/>
    <col min="15127" max="15135" width="14.7265625" style="52"/>
    <col min="15136" max="15136" width="16.26953125" style="52" customWidth="1"/>
    <col min="15137" max="15137" width="12.81640625" style="52" customWidth="1"/>
    <col min="15138" max="15360" width="14.7265625" style="52"/>
    <col min="15361" max="15362" width="0" style="52" hidden="1" customWidth="1"/>
    <col min="15363" max="15363" width="11.54296875" style="52" customWidth="1"/>
    <col min="15364" max="15365" width="22.26953125" style="52" customWidth="1"/>
    <col min="15366" max="15366" width="21.453125" style="52" customWidth="1"/>
    <col min="15367" max="15367" width="18.54296875" style="52" customWidth="1"/>
    <col min="15368" max="15368" width="14.1796875" style="52" customWidth="1"/>
    <col min="15369" max="15369" width="17.54296875" style="52" customWidth="1"/>
    <col min="15370" max="15370" width="19.54296875" style="52" customWidth="1"/>
    <col min="15371" max="15371" width="12.453125" style="52" customWidth="1"/>
    <col min="15372" max="15372" width="10.26953125" style="52" customWidth="1"/>
    <col min="15373" max="15373" width="17.54296875" style="52" customWidth="1"/>
    <col min="15374" max="15374" width="17.453125" style="52" customWidth="1"/>
    <col min="15375" max="15375" width="15.54296875" style="52" customWidth="1"/>
    <col min="15376" max="15376" width="21" style="52" customWidth="1"/>
    <col min="15377" max="15377" width="24" style="52" customWidth="1"/>
    <col min="15378" max="15378" width="18.453125" style="52" customWidth="1"/>
    <col min="15379" max="15379" width="21.7265625" style="52" customWidth="1"/>
    <col min="15380" max="15380" width="14.7265625" style="52" customWidth="1"/>
    <col min="15381" max="15381" width="0" style="52" hidden="1" customWidth="1"/>
    <col min="15382" max="15382" width="18.81640625" style="52" customWidth="1"/>
    <col min="15383" max="15391" width="14.7265625" style="52"/>
    <col min="15392" max="15392" width="16.26953125" style="52" customWidth="1"/>
    <col min="15393" max="15393" width="12.81640625" style="52" customWidth="1"/>
    <col min="15394" max="15616" width="14.7265625" style="52"/>
    <col min="15617" max="15618" width="0" style="52" hidden="1" customWidth="1"/>
    <col min="15619" max="15619" width="11.54296875" style="52" customWidth="1"/>
    <col min="15620" max="15621" width="22.26953125" style="52" customWidth="1"/>
    <col min="15622" max="15622" width="21.453125" style="52" customWidth="1"/>
    <col min="15623" max="15623" width="18.54296875" style="52" customWidth="1"/>
    <col min="15624" max="15624" width="14.1796875" style="52" customWidth="1"/>
    <col min="15625" max="15625" width="17.54296875" style="52" customWidth="1"/>
    <col min="15626" max="15626" width="19.54296875" style="52" customWidth="1"/>
    <col min="15627" max="15627" width="12.453125" style="52" customWidth="1"/>
    <col min="15628" max="15628" width="10.26953125" style="52" customWidth="1"/>
    <col min="15629" max="15629" width="17.54296875" style="52" customWidth="1"/>
    <col min="15630" max="15630" width="17.453125" style="52" customWidth="1"/>
    <col min="15631" max="15631" width="15.54296875" style="52" customWidth="1"/>
    <col min="15632" max="15632" width="21" style="52" customWidth="1"/>
    <col min="15633" max="15633" width="24" style="52" customWidth="1"/>
    <col min="15634" max="15634" width="18.453125" style="52" customWidth="1"/>
    <col min="15635" max="15635" width="21.7265625" style="52" customWidth="1"/>
    <col min="15636" max="15636" width="14.7265625" style="52" customWidth="1"/>
    <col min="15637" max="15637" width="0" style="52" hidden="1" customWidth="1"/>
    <col min="15638" max="15638" width="18.81640625" style="52" customWidth="1"/>
    <col min="15639" max="15647" width="14.7265625" style="52"/>
    <col min="15648" max="15648" width="16.26953125" style="52" customWidth="1"/>
    <col min="15649" max="15649" width="12.81640625" style="52" customWidth="1"/>
    <col min="15650" max="15872" width="14.7265625" style="52"/>
    <col min="15873" max="15874" width="0" style="52" hidden="1" customWidth="1"/>
    <col min="15875" max="15875" width="11.54296875" style="52" customWidth="1"/>
    <col min="15876" max="15877" width="22.26953125" style="52" customWidth="1"/>
    <col min="15878" max="15878" width="21.453125" style="52" customWidth="1"/>
    <col min="15879" max="15879" width="18.54296875" style="52" customWidth="1"/>
    <col min="15880" max="15880" width="14.1796875" style="52" customWidth="1"/>
    <col min="15881" max="15881" width="17.54296875" style="52" customWidth="1"/>
    <col min="15882" max="15882" width="19.54296875" style="52" customWidth="1"/>
    <col min="15883" max="15883" width="12.453125" style="52" customWidth="1"/>
    <col min="15884" max="15884" width="10.26953125" style="52" customWidth="1"/>
    <col min="15885" max="15885" width="17.54296875" style="52" customWidth="1"/>
    <col min="15886" max="15886" width="17.453125" style="52" customWidth="1"/>
    <col min="15887" max="15887" width="15.54296875" style="52" customWidth="1"/>
    <col min="15888" max="15888" width="21" style="52" customWidth="1"/>
    <col min="15889" max="15889" width="24" style="52" customWidth="1"/>
    <col min="15890" max="15890" width="18.453125" style="52" customWidth="1"/>
    <col min="15891" max="15891" width="21.7265625" style="52" customWidth="1"/>
    <col min="15892" max="15892" width="14.7265625" style="52" customWidth="1"/>
    <col min="15893" max="15893" width="0" style="52" hidden="1" customWidth="1"/>
    <col min="15894" max="15894" width="18.81640625" style="52" customWidth="1"/>
    <col min="15895" max="15903" width="14.7265625" style="52"/>
    <col min="15904" max="15904" width="16.26953125" style="52" customWidth="1"/>
    <col min="15905" max="15905" width="12.81640625" style="52" customWidth="1"/>
    <col min="15906" max="16128" width="14.7265625" style="52"/>
    <col min="16129" max="16130" width="0" style="52" hidden="1" customWidth="1"/>
    <col min="16131" max="16131" width="11.54296875" style="52" customWidth="1"/>
    <col min="16132" max="16133" width="22.26953125" style="52" customWidth="1"/>
    <col min="16134" max="16134" width="21.453125" style="52" customWidth="1"/>
    <col min="16135" max="16135" width="18.54296875" style="52" customWidth="1"/>
    <col min="16136" max="16136" width="14.1796875" style="52" customWidth="1"/>
    <col min="16137" max="16137" width="17.54296875" style="52" customWidth="1"/>
    <col min="16138" max="16138" width="19.54296875" style="52" customWidth="1"/>
    <col min="16139" max="16139" width="12.453125" style="52" customWidth="1"/>
    <col min="16140" max="16140" width="10.26953125" style="52" customWidth="1"/>
    <col min="16141" max="16141" width="17.54296875" style="52" customWidth="1"/>
    <col min="16142" max="16142" width="17.453125" style="52" customWidth="1"/>
    <col min="16143" max="16143" width="15.54296875" style="52" customWidth="1"/>
    <col min="16144" max="16144" width="21" style="52" customWidth="1"/>
    <col min="16145" max="16145" width="24" style="52" customWidth="1"/>
    <col min="16146" max="16146" width="18.453125" style="52" customWidth="1"/>
    <col min="16147" max="16147" width="21.7265625" style="52" customWidth="1"/>
    <col min="16148" max="16148" width="14.7265625" style="52" customWidth="1"/>
    <col min="16149" max="16149" width="0" style="52" hidden="1" customWidth="1"/>
    <col min="16150" max="16150" width="18.81640625" style="52" customWidth="1"/>
    <col min="16151" max="16159" width="14.7265625" style="52"/>
    <col min="16160" max="16160" width="16.26953125" style="52" customWidth="1"/>
    <col min="16161" max="16161" width="12.81640625" style="52" customWidth="1"/>
    <col min="16162" max="16384" width="14.7265625" style="52"/>
  </cols>
  <sheetData>
    <row r="1" spans="1:41" ht="14.25" customHeight="1" x14ac:dyDescent="0.35">
      <c r="B1" s="53"/>
      <c r="C1" s="54"/>
      <c r="D1" s="55"/>
      <c r="E1" s="55"/>
      <c r="F1" s="55"/>
      <c r="G1" s="55"/>
      <c r="H1" s="55"/>
      <c r="I1" s="55"/>
      <c r="J1" s="55"/>
      <c r="K1" s="55"/>
      <c r="L1" s="55"/>
      <c r="M1" s="55"/>
      <c r="N1" s="55"/>
      <c r="O1" s="55"/>
      <c r="P1" s="55"/>
      <c r="Q1" s="55"/>
      <c r="R1" s="55"/>
      <c r="S1" s="56"/>
    </row>
    <row r="2" spans="1:41" s="58" customFormat="1" ht="18" customHeight="1" x14ac:dyDescent="0.35">
      <c r="A2" s="58" t="s">
        <v>56</v>
      </c>
      <c r="C2" s="523" t="s">
        <v>57</v>
      </c>
      <c r="D2" s="523"/>
      <c r="E2" s="523"/>
      <c r="F2" s="523"/>
      <c r="G2" s="523"/>
      <c r="H2" s="523"/>
      <c r="I2" s="523"/>
      <c r="J2" s="523"/>
      <c r="K2" s="523"/>
      <c r="L2" s="523"/>
      <c r="M2" s="523"/>
      <c r="N2" s="523"/>
      <c r="O2" s="523"/>
      <c r="P2" s="523"/>
      <c r="Q2" s="523"/>
      <c r="R2" s="523"/>
      <c r="S2" s="523"/>
    </row>
    <row r="3" spans="1:41" s="58" customFormat="1" ht="18" customHeight="1" x14ac:dyDescent="0.35">
      <c r="C3" s="523"/>
      <c r="D3" s="523"/>
      <c r="E3" s="523"/>
      <c r="F3" s="523"/>
      <c r="G3" s="523"/>
      <c r="H3" s="523"/>
      <c r="I3" s="523"/>
      <c r="J3" s="523"/>
      <c r="K3" s="523"/>
      <c r="L3" s="523"/>
      <c r="M3" s="523"/>
      <c r="N3" s="523"/>
      <c r="O3" s="523"/>
      <c r="P3" s="523"/>
      <c r="Q3" s="523"/>
      <c r="R3" s="523"/>
      <c r="S3" s="523"/>
    </row>
    <row r="4" spans="1:41" s="58" customFormat="1" ht="18" customHeight="1" x14ac:dyDescent="0.35">
      <c r="C4" s="523"/>
      <c r="D4" s="523"/>
      <c r="E4" s="523"/>
      <c r="F4" s="523"/>
      <c r="G4" s="523"/>
      <c r="H4" s="523"/>
      <c r="I4" s="523"/>
      <c r="J4" s="523"/>
      <c r="K4" s="523"/>
      <c r="L4" s="523"/>
      <c r="M4" s="523"/>
      <c r="N4" s="523"/>
      <c r="O4" s="523"/>
      <c r="P4" s="523"/>
      <c r="Q4" s="523"/>
      <c r="R4" s="523"/>
      <c r="S4" s="523"/>
    </row>
    <row r="5" spans="1:41" ht="20.25" customHeight="1" x14ac:dyDescent="0.5">
      <c r="B5" s="59"/>
      <c r="C5" s="401" t="s">
        <v>58</v>
      </c>
      <c r="D5" s="401"/>
      <c r="E5" s="401"/>
      <c r="F5" s="401"/>
      <c r="G5" s="401"/>
      <c r="H5" s="401"/>
      <c r="I5" s="401"/>
      <c r="J5" s="401"/>
      <c r="K5" s="401"/>
      <c r="L5" s="401"/>
      <c r="M5" s="401"/>
      <c r="N5" s="401"/>
      <c r="O5" s="401"/>
      <c r="P5" s="401"/>
      <c r="Q5" s="401"/>
      <c r="R5" s="401"/>
      <c r="S5" s="524"/>
    </row>
    <row r="6" spans="1:41" ht="20.25" customHeight="1" x14ac:dyDescent="0.5">
      <c r="B6" s="59"/>
      <c r="C6" s="401" t="s">
        <v>432</v>
      </c>
      <c r="D6" s="401"/>
      <c r="E6" s="401"/>
      <c r="F6" s="401"/>
      <c r="G6" s="401"/>
      <c r="H6" s="401"/>
      <c r="I6" s="401"/>
      <c r="J6" s="401"/>
      <c r="K6" s="401"/>
      <c r="L6" s="401"/>
      <c r="M6" s="401"/>
      <c r="N6" s="401"/>
      <c r="O6" s="401"/>
      <c r="P6" s="401"/>
      <c r="Q6" s="401"/>
      <c r="R6" s="401"/>
      <c r="S6" s="524"/>
    </row>
    <row r="7" spans="1:41" ht="20" x14ac:dyDescent="0.4">
      <c r="B7" s="59"/>
      <c r="C7" s="60"/>
      <c r="D7" s="60"/>
      <c r="E7" s="60"/>
      <c r="F7" s="60"/>
      <c r="G7" s="60"/>
      <c r="H7" s="60"/>
      <c r="I7" s="60"/>
      <c r="J7" s="60"/>
      <c r="K7" s="60"/>
      <c r="L7" s="60"/>
      <c r="M7" s="60"/>
      <c r="N7" s="60"/>
      <c r="O7" s="60"/>
      <c r="P7" s="60"/>
      <c r="Q7" s="60"/>
      <c r="R7" s="60"/>
      <c r="S7" s="61"/>
    </row>
    <row r="8" spans="1:41" ht="20" x14ac:dyDescent="0.4">
      <c r="B8" s="59"/>
      <c r="C8" s="525" t="s">
        <v>59</v>
      </c>
      <c r="D8" s="525"/>
      <c r="E8" s="525"/>
      <c r="F8" s="525"/>
      <c r="G8" s="525"/>
      <c r="H8" s="525"/>
      <c r="I8" s="525"/>
      <c r="J8" s="525"/>
      <c r="K8" s="525"/>
      <c r="L8" s="525"/>
      <c r="M8" s="525"/>
      <c r="N8" s="525"/>
      <c r="O8" s="525"/>
      <c r="P8" s="525"/>
      <c r="Q8" s="525"/>
      <c r="R8" s="525"/>
      <c r="S8" s="525"/>
    </row>
    <row r="9" spans="1:41" ht="18" x14ac:dyDescent="0.4">
      <c r="B9" s="59"/>
      <c r="C9" s="62"/>
      <c r="D9" s="62"/>
      <c r="E9" s="62"/>
      <c r="F9" s="62"/>
      <c r="G9" s="62"/>
      <c r="H9" s="62"/>
      <c r="I9" s="62"/>
      <c r="J9" s="62"/>
      <c r="K9" s="62"/>
      <c r="L9" s="62"/>
      <c r="M9" s="62"/>
      <c r="N9" s="62"/>
      <c r="O9" s="62"/>
      <c r="P9" s="62"/>
      <c r="Q9" s="62"/>
      <c r="R9" s="62"/>
      <c r="S9" s="63"/>
      <c r="Y9" s="64"/>
      <c r="Z9" s="64"/>
      <c r="AA9" s="526"/>
      <c r="AB9" s="526"/>
      <c r="AC9" s="526"/>
      <c r="AD9" s="526"/>
      <c r="AE9" s="526"/>
    </row>
    <row r="10" spans="1:41" ht="39.75" customHeight="1" x14ac:dyDescent="0.4">
      <c r="B10" s="59"/>
      <c r="C10" s="527" t="s">
        <v>60</v>
      </c>
      <c r="D10" s="528"/>
      <c r="E10" s="65"/>
      <c r="F10" s="66"/>
      <c r="G10" s="62"/>
      <c r="H10" s="529" t="s">
        <v>61</v>
      </c>
      <c r="I10" s="530"/>
      <c r="J10" s="67"/>
      <c r="K10" s="68"/>
      <c r="L10" s="68"/>
      <c r="M10" s="68"/>
      <c r="N10" s="68"/>
      <c r="O10" s="527" t="s">
        <v>62</v>
      </c>
      <c r="P10" s="527"/>
      <c r="Q10" s="528"/>
      <c r="R10" s="69"/>
      <c r="S10" s="63"/>
      <c r="Y10" s="64"/>
      <c r="Z10" s="64"/>
      <c r="AA10" s="70"/>
      <c r="AB10" s="70"/>
      <c r="AC10" s="70"/>
      <c r="AD10" s="70"/>
      <c r="AE10" s="70"/>
    </row>
    <row r="11" spans="1:41" ht="18" thickBot="1" x14ac:dyDescent="0.4">
      <c r="B11" s="59"/>
      <c r="C11" s="62"/>
      <c r="D11" s="62"/>
      <c r="E11" s="62"/>
      <c r="F11" s="62"/>
      <c r="G11" s="62"/>
      <c r="H11" s="62"/>
      <c r="I11" s="62"/>
      <c r="J11" s="62"/>
      <c r="K11" s="62"/>
      <c r="L11" s="62"/>
      <c r="M11" s="62"/>
      <c r="N11" s="62"/>
      <c r="O11" s="62"/>
      <c r="P11" s="62"/>
      <c r="Q11" s="62"/>
      <c r="R11" s="62"/>
      <c r="S11" s="63"/>
      <c r="Z11" s="62"/>
      <c r="AA11" s="71"/>
      <c r="AB11" s="71"/>
      <c r="AC11" s="71"/>
      <c r="AD11" s="71"/>
      <c r="AE11" s="71"/>
    </row>
    <row r="12" spans="1:41" ht="18" x14ac:dyDescent="0.4">
      <c r="B12" s="59"/>
      <c r="C12" s="510" t="s">
        <v>63</v>
      </c>
      <c r="D12" s="511"/>
      <c r="E12" s="511"/>
      <c r="F12" s="511"/>
      <c r="G12" s="511"/>
      <c r="H12" s="511"/>
      <c r="I12" s="511"/>
      <c r="J12" s="72"/>
      <c r="K12" s="72"/>
      <c r="L12" s="72"/>
      <c r="M12" s="72"/>
      <c r="N12" s="72"/>
      <c r="O12" s="512" t="s">
        <v>64</v>
      </c>
      <c r="P12" s="512"/>
      <c r="Q12" s="512"/>
      <c r="R12" s="513"/>
      <c r="S12" s="73"/>
      <c r="Y12" s="62"/>
      <c r="Z12" s="62"/>
      <c r="AA12" s="71"/>
      <c r="AB12" s="71"/>
      <c r="AC12" s="71"/>
      <c r="AD12" s="71"/>
      <c r="AE12" s="71"/>
    </row>
    <row r="13" spans="1:41" s="74" customFormat="1" ht="20.149999999999999" customHeight="1" x14ac:dyDescent="0.35">
      <c r="B13" s="75"/>
      <c r="C13" s="76" t="s">
        <v>65</v>
      </c>
      <c r="D13" s="514"/>
      <c r="E13" s="515"/>
      <c r="F13" s="515"/>
      <c r="G13" s="516"/>
      <c r="H13" s="517"/>
      <c r="I13" s="518"/>
      <c r="J13" s="77"/>
      <c r="K13" s="77"/>
      <c r="L13" s="77"/>
      <c r="M13" s="77"/>
      <c r="N13" s="78"/>
      <c r="O13" s="506" t="s">
        <v>66</v>
      </c>
      <c r="P13" s="507"/>
      <c r="Q13" s="519"/>
      <c r="R13" s="520"/>
      <c r="S13" s="79"/>
      <c r="T13" s="80"/>
      <c r="Y13" s="81"/>
      <c r="Z13" s="81"/>
      <c r="AA13" s="82"/>
      <c r="AB13" s="82"/>
      <c r="AC13" s="82"/>
      <c r="AD13" s="82"/>
      <c r="AE13" s="82"/>
    </row>
    <row r="14" spans="1:41" s="74" customFormat="1" ht="39" customHeight="1" x14ac:dyDescent="0.35">
      <c r="B14" s="75"/>
      <c r="C14" s="76"/>
      <c r="D14" s="531" t="s">
        <v>67</v>
      </c>
      <c r="E14" s="532"/>
      <c r="F14" s="532"/>
      <c r="G14" s="533"/>
      <c r="H14" s="531" t="s">
        <v>68</v>
      </c>
      <c r="I14" s="533"/>
      <c r="J14" s="83"/>
      <c r="K14" s="77"/>
      <c r="L14" s="77"/>
      <c r="M14" s="77"/>
      <c r="N14" s="78"/>
      <c r="O14" s="534" t="s">
        <v>69</v>
      </c>
      <c r="P14" s="535"/>
      <c r="Q14" s="508"/>
      <c r="R14" s="509"/>
      <c r="S14" s="84"/>
      <c r="T14" s="80"/>
      <c r="Y14" s="81"/>
      <c r="Z14" s="81"/>
      <c r="AA14" s="82"/>
      <c r="AB14" s="82"/>
      <c r="AC14" s="82"/>
      <c r="AD14" s="82"/>
      <c r="AE14" s="82"/>
    </row>
    <row r="15" spans="1:41" s="74" customFormat="1" ht="20.149999999999999" customHeight="1" x14ac:dyDescent="0.35">
      <c r="B15" s="75"/>
      <c r="C15" s="76"/>
      <c r="D15" s="85"/>
      <c r="E15" s="85"/>
      <c r="F15" s="85"/>
      <c r="G15" s="85"/>
      <c r="H15" s="85"/>
      <c r="I15" s="85"/>
      <c r="J15" s="77"/>
      <c r="K15" s="77"/>
      <c r="L15" s="77"/>
      <c r="M15" s="77"/>
      <c r="N15" s="78"/>
      <c r="O15" s="506" t="s">
        <v>70</v>
      </c>
      <c r="P15" s="507"/>
      <c r="Q15" s="508"/>
      <c r="R15" s="509"/>
      <c r="S15" s="79"/>
      <c r="T15" s="80"/>
      <c r="Y15" s="81"/>
      <c r="Z15" s="81"/>
      <c r="AA15" s="71" t="s">
        <v>71</v>
      </c>
      <c r="AB15" s="82"/>
      <c r="AC15" s="82"/>
      <c r="AD15" s="82"/>
      <c r="AE15" s="52" t="s">
        <v>72</v>
      </c>
      <c r="AJ15" s="39" t="s">
        <v>17</v>
      </c>
      <c r="AK15" s="39" t="s">
        <v>25</v>
      </c>
      <c r="AL15" s="39" t="s">
        <v>28</v>
      </c>
      <c r="AM15" s="52" t="s">
        <v>13</v>
      </c>
      <c r="AN15" s="52"/>
      <c r="AO15" s="74" t="s">
        <v>426</v>
      </c>
    </row>
    <row r="16" spans="1:41" ht="18" x14ac:dyDescent="0.4">
      <c r="B16" s="59"/>
      <c r="C16" s="86"/>
      <c r="D16" s="62"/>
      <c r="E16" s="62"/>
      <c r="F16" s="62"/>
      <c r="G16" s="62"/>
      <c r="H16" s="62"/>
      <c r="I16" s="62"/>
      <c r="J16" s="72"/>
      <c r="K16" s="72"/>
      <c r="L16" s="72"/>
      <c r="M16" s="72"/>
      <c r="N16" s="87"/>
      <c r="O16" s="483" t="s">
        <v>73</v>
      </c>
      <c r="P16" s="484"/>
      <c r="Q16" s="521"/>
      <c r="R16" s="522"/>
      <c r="S16" s="87"/>
      <c r="Y16" s="88">
        <v>41306</v>
      </c>
      <c r="AA16" s="71" t="s">
        <v>74</v>
      </c>
      <c r="AB16" s="71"/>
      <c r="AC16" s="71" t="s">
        <v>75</v>
      </c>
      <c r="AD16" s="71"/>
      <c r="AE16" s="89" t="s">
        <v>76</v>
      </c>
      <c r="AJ16" t="s">
        <v>15</v>
      </c>
      <c r="AK16" t="s">
        <v>26</v>
      </c>
      <c r="AL16" t="s">
        <v>29</v>
      </c>
      <c r="AM16" s="52" t="s">
        <v>12</v>
      </c>
      <c r="AO16" s="52" t="s">
        <v>86</v>
      </c>
    </row>
    <row r="17" spans="2:41" ht="18" customHeight="1" x14ac:dyDescent="0.4">
      <c r="B17" s="59"/>
      <c r="C17" s="90" t="s">
        <v>77</v>
      </c>
      <c r="D17" s="72"/>
      <c r="E17" s="480"/>
      <c r="F17" s="481"/>
      <c r="G17" s="481"/>
      <c r="H17" s="482"/>
      <c r="I17" s="72"/>
      <c r="J17" s="72"/>
      <c r="K17" s="72"/>
      <c r="L17" s="72"/>
      <c r="M17" s="72"/>
      <c r="N17" s="87"/>
      <c r="O17" s="483" t="s">
        <v>78</v>
      </c>
      <c r="P17" s="484"/>
      <c r="Q17" s="485" t="str">
        <f>IF((DAYS360(E18,Q16))&lt;30,"CBC REQUIRED","CBC Cleared")</f>
        <v>CBC REQUIRED</v>
      </c>
      <c r="R17" s="486"/>
      <c r="S17" s="87"/>
      <c r="Y17" s="88">
        <v>41015</v>
      </c>
      <c r="Z17" s="62"/>
      <c r="AA17" s="82" t="s">
        <v>79</v>
      </c>
      <c r="AB17" s="71"/>
      <c r="AC17" s="71" t="s">
        <v>80</v>
      </c>
      <c r="AD17" s="71"/>
      <c r="AE17" s="52" t="s">
        <v>81</v>
      </c>
      <c r="AJ17" t="s">
        <v>16</v>
      </c>
      <c r="AK17" t="s">
        <v>27</v>
      </c>
      <c r="AL17" t="s">
        <v>30</v>
      </c>
      <c r="AM17" s="52" t="s">
        <v>48</v>
      </c>
      <c r="AN17" s="64"/>
      <c r="AO17" s="52" t="s">
        <v>431</v>
      </c>
    </row>
    <row r="18" spans="2:41" ht="21" customHeight="1" x14ac:dyDescent="0.4">
      <c r="B18" s="59"/>
      <c r="C18" s="90" t="s">
        <v>82</v>
      </c>
      <c r="D18" s="72"/>
      <c r="E18" s="487"/>
      <c r="F18" s="488"/>
      <c r="G18" s="91" t="s">
        <v>83</v>
      </c>
      <c r="H18" s="487"/>
      <c r="I18" s="488"/>
      <c r="J18" s="92"/>
      <c r="K18" s="92"/>
      <c r="L18" s="92"/>
      <c r="M18" s="92"/>
      <c r="N18" s="93"/>
      <c r="O18" s="483" t="s">
        <v>84</v>
      </c>
      <c r="P18" s="484"/>
      <c r="Q18" s="485" t="str">
        <f>IF((DAYS360(E18,Q16))&lt;15,"Close Proximity","CPCleared")</f>
        <v>Close Proximity</v>
      </c>
      <c r="R18" s="486"/>
      <c r="S18" s="87"/>
      <c r="Y18" s="62"/>
      <c r="AA18" s="82" t="s">
        <v>85</v>
      </c>
      <c r="AB18" s="71"/>
      <c r="AC18" s="71" t="s">
        <v>86</v>
      </c>
      <c r="AD18" s="71"/>
      <c r="AE18" s="52" t="s">
        <v>87</v>
      </c>
      <c r="AJ18" t="s">
        <v>22</v>
      </c>
      <c r="AN18" s="178"/>
    </row>
    <row r="19" spans="2:41" ht="18.75" customHeight="1" x14ac:dyDescent="0.4">
      <c r="B19" s="59"/>
      <c r="C19" s="483" t="s">
        <v>88</v>
      </c>
      <c r="D19" s="489"/>
      <c r="E19" s="489"/>
      <c r="F19" s="382"/>
      <c r="G19" s="394"/>
      <c r="H19" s="490"/>
      <c r="I19" s="490"/>
      <c r="J19" s="395"/>
      <c r="K19" s="94"/>
      <c r="L19" s="94"/>
      <c r="M19" s="94"/>
      <c r="N19" s="95"/>
      <c r="O19" s="444" t="s">
        <v>89</v>
      </c>
      <c r="P19" s="491"/>
      <c r="Q19" s="445"/>
      <c r="R19" s="96" t="s">
        <v>90</v>
      </c>
      <c r="S19" s="87"/>
      <c r="Y19" s="62">
        <v>250</v>
      </c>
      <c r="AA19" s="71" t="s">
        <v>91</v>
      </c>
      <c r="AB19" s="71"/>
      <c r="AC19" s="97" t="s">
        <v>92</v>
      </c>
      <c r="AD19" s="71"/>
      <c r="AE19" s="89" t="s">
        <v>93</v>
      </c>
      <c r="AJ19" t="s">
        <v>18</v>
      </c>
      <c r="AN19" s="179"/>
    </row>
    <row r="20" spans="2:41" ht="15" customHeight="1" x14ac:dyDescent="0.4">
      <c r="B20" s="59"/>
      <c r="C20" s="86"/>
      <c r="D20" s="62"/>
      <c r="E20" s="98"/>
      <c r="F20" s="98"/>
      <c r="G20" s="99"/>
      <c r="H20" s="99"/>
      <c r="I20" s="100"/>
      <c r="J20" s="101"/>
      <c r="K20" s="101"/>
      <c r="L20" s="101"/>
      <c r="M20" s="101"/>
      <c r="N20" s="101"/>
      <c r="O20" s="102"/>
      <c r="P20" s="102"/>
      <c r="Q20" s="103"/>
      <c r="R20" s="104"/>
      <c r="S20" s="87"/>
      <c r="Y20" s="62"/>
      <c r="Z20" s="62"/>
      <c r="AA20" s="71" t="s">
        <v>94</v>
      </c>
      <c r="AB20" s="71"/>
      <c r="AC20" s="71"/>
      <c r="AD20" s="71"/>
      <c r="AE20" s="105" t="s">
        <v>95</v>
      </c>
      <c r="AJ20" t="s">
        <v>19</v>
      </c>
      <c r="AN20" s="64"/>
    </row>
    <row r="21" spans="2:41" ht="20.25" customHeight="1" thickBot="1" x14ac:dyDescent="0.45">
      <c r="B21" s="59"/>
      <c r="C21" s="496" t="s">
        <v>96</v>
      </c>
      <c r="D21" s="497"/>
      <c r="E21" s="497"/>
      <c r="F21" s="497"/>
      <c r="G21" s="497"/>
      <c r="H21" s="497"/>
      <c r="I21" s="497"/>
      <c r="J21" s="101"/>
      <c r="K21" s="101"/>
      <c r="L21" s="101"/>
      <c r="M21" s="101"/>
      <c r="N21" s="106"/>
      <c r="O21" s="498" t="s">
        <v>97</v>
      </c>
      <c r="P21" s="498"/>
      <c r="Q21" s="498"/>
      <c r="R21" s="498"/>
      <c r="S21" s="499"/>
      <c r="U21" s="107">
        <v>41015</v>
      </c>
      <c r="Y21" s="62"/>
      <c r="Z21" s="62"/>
      <c r="AA21" s="71" t="s">
        <v>98</v>
      </c>
      <c r="AB21" s="71"/>
      <c r="AC21" s="71"/>
      <c r="AD21" s="71"/>
      <c r="AE21" s="89" t="s">
        <v>76</v>
      </c>
      <c r="AJ21" t="s">
        <v>20</v>
      </c>
    </row>
    <row r="22" spans="2:41" ht="22.5" customHeight="1" x14ac:dyDescent="0.45">
      <c r="B22" s="59"/>
      <c r="C22" s="500" t="s">
        <v>99</v>
      </c>
      <c r="D22" s="501"/>
      <c r="E22" s="108"/>
      <c r="F22" s="502"/>
      <c r="G22" s="503"/>
      <c r="H22" s="109" t="s">
        <v>80</v>
      </c>
      <c r="I22" s="110"/>
      <c r="J22" s="111"/>
      <c r="K22" s="111"/>
      <c r="L22" s="111"/>
      <c r="M22" s="111"/>
      <c r="N22" s="483" t="s">
        <v>100</v>
      </c>
      <c r="O22" s="484"/>
      <c r="P22" s="504"/>
      <c r="Q22" s="505"/>
      <c r="R22" s="112" t="s">
        <v>101</v>
      </c>
      <c r="S22" s="372"/>
      <c r="Y22" s="113"/>
      <c r="Z22" s="114"/>
      <c r="AA22" s="71" t="s">
        <v>102</v>
      </c>
      <c r="AE22" s="52" t="s">
        <v>103</v>
      </c>
      <c r="AJ22" t="s">
        <v>21</v>
      </c>
    </row>
    <row r="23" spans="2:41" ht="18" x14ac:dyDescent="0.4">
      <c r="B23" s="59"/>
      <c r="C23" s="434" t="s">
        <v>104</v>
      </c>
      <c r="D23" s="435"/>
      <c r="E23" s="115"/>
      <c r="F23" s="116"/>
      <c r="G23" s="117"/>
      <c r="H23" s="118" t="s">
        <v>105</v>
      </c>
      <c r="I23" s="119"/>
      <c r="J23" s="120"/>
      <c r="K23" s="120"/>
      <c r="L23" s="120"/>
      <c r="M23" s="120"/>
      <c r="N23" s="483" t="s">
        <v>106</v>
      </c>
      <c r="O23" s="484"/>
      <c r="P23" s="492"/>
      <c r="Q23" s="493"/>
      <c r="R23" s="121" t="s">
        <v>107</v>
      </c>
      <c r="S23" s="122"/>
      <c r="Y23" s="113"/>
      <c r="Z23" s="114"/>
      <c r="AA23" s="71" t="s">
        <v>25</v>
      </c>
      <c r="AB23" s="70"/>
      <c r="AE23" s="123">
        <f>(Q70+R70+S70)</f>
        <v>0</v>
      </c>
      <c r="AJ23"/>
    </row>
    <row r="24" spans="2:41" ht="18.5" thickBot="1" x14ac:dyDescent="0.45">
      <c r="B24" s="59"/>
      <c r="C24" s="434" t="s">
        <v>108</v>
      </c>
      <c r="D24" s="435"/>
      <c r="E24" s="108"/>
      <c r="F24" s="436" t="s">
        <v>109</v>
      </c>
      <c r="G24" s="437"/>
      <c r="H24" s="438"/>
      <c r="I24" s="439"/>
      <c r="J24" s="124"/>
      <c r="K24" s="124"/>
      <c r="L24" s="124"/>
      <c r="M24" s="124"/>
      <c r="N24" s="483" t="s">
        <v>110</v>
      </c>
      <c r="O24" s="484"/>
      <c r="P24" s="494"/>
      <c r="Q24" s="495"/>
      <c r="R24" s="125" t="s">
        <v>111</v>
      </c>
      <c r="S24" s="126"/>
      <c r="Y24" s="113"/>
      <c r="Z24" s="114"/>
      <c r="AA24" s="127" t="s">
        <v>112</v>
      </c>
      <c r="AB24" s="128"/>
      <c r="AE24" s="52">
        <f>IF(C82=AE15,0,IF(C82=AE16,0,IF(C82=AE17,AE23*70%,IF(C82=AE18,AE23*75%,IF(C82=AE20,0,IF(C82=AE22,0,IF(C82=AE21,AE23*25%,IF(C82=AE19,0))))))))</f>
        <v>0</v>
      </c>
      <c r="AF24" s="52">
        <f>IF(H26&lt;350,250,0)</f>
        <v>250</v>
      </c>
      <c r="AJ24"/>
    </row>
    <row r="25" spans="2:41" ht="18" x14ac:dyDescent="0.4">
      <c r="B25" s="59"/>
      <c r="C25" s="434" t="s">
        <v>113</v>
      </c>
      <c r="D25" s="435"/>
      <c r="E25" s="129"/>
      <c r="F25" s="436" t="s">
        <v>114</v>
      </c>
      <c r="G25" s="437"/>
      <c r="H25" s="438"/>
      <c r="I25" s="439"/>
      <c r="J25" s="130"/>
      <c r="K25" s="130"/>
      <c r="L25" s="130"/>
      <c r="M25" s="130"/>
      <c r="N25" s="130"/>
      <c r="O25" s="131"/>
      <c r="P25" s="131"/>
      <c r="Q25" s="62"/>
      <c r="R25" s="121" t="s">
        <v>115</v>
      </c>
      <c r="S25" s="373"/>
      <c r="Y25" s="113"/>
      <c r="Z25" s="114"/>
      <c r="AA25" s="127" t="s">
        <v>25</v>
      </c>
      <c r="AB25" s="120"/>
      <c r="AE25" s="52">
        <f>IF(C82=AE15,0,IF(C82=AE16,0,IF(C82=AE17,AE24*H35%,IF(C82=AE18,AE24*H35%,IF(C82=AE20,0,IF(C82=AE22,0,IF(C82=AE21,AE24*50%,IF(C82=AE19,0))))))))</f>
        <v>0</v>
      </c>
      <c r="AF25" s="52">
        <f>IF(P84=AA24,AF24,IF(P84=AA23,AG24))</f>
        <v>250</v>
      </c>
      <c r="AJ25"/>
    </row>
    <row r="26" spans="2:41" ht="22.5" customHeight="1" x14ac:dyDescent="0.4">
      <c r="B26" s="59"/>
      <c r="C26" s="434" t="s">
        <v>116</v>
      </c>
      <c r="D26" s="435"/>
      <c r="E26" s="340"/>
      <c r="F26" s="436" t="s">
        <v>117</v>
      </c>
      <c r="G26" s="437"/>
      <c r="H26" s="479">
        <v>0</v>
      </c>
      <c r="I26" s="439"/>
      <c r="J26" s="132"/>
      <c r="K26" s="132"/>
      <c r="L26" s="132"/>
      <c r="M26" s="132"/>
      <c r="N26" s="132"/>
      <c r="O26" s="469" t="s">
        <v>118</v>
      </c>
      <c r="P26" s="470"/>
      <c r="Q26" s="133" t="s">
        <v>80</v>
      </c>
      <c r="R26" s="134"/>
      <c r="S26" s="135"/>
      <c r="Y26" s="113"/>
      <c r="Z26" s="114"/>
      <c r="AA26" s="127" t="s">
        <v>119</v>
      </c>
      <c r="AB26" s="120"/>
      <c r="AE26" s="123">
        <f>(S70*25%*50%)</f>
        <v>0</v>
      </c>
      <c r="AF26" s="123">
        <f>(S70*75%)*H35%</f>
        <v>0</v>
      </c>
    </row>
    <row r="27" spans="2:41" ht="18" customHeight="1" x14ac:dyDescent="0.4">
      <c r="B27" s="59"/>
      <c r="C27" s="446" t="s">
        <v>120</v>
      </c>
      <c r="D27" s="435"/>
      <c r="E27" s="108"/>
      <c r="F27" s="116"/>
      <c r="G27" s="136"/>
      <c r="H27" s="137"/>
      <c r="I27" s="137"/>
      <c r="J27" s="138"/>
      <c r="K27" s="138"/>
      <c r="L27" s="138"/>
      <c r="M27" s="138"/>
      <c r="N27" s="138"/>
      <c r="O27" s="139"/>
      <c r="P27" s="140"/>
      <c r="Q27" s="141"/>
      <c r="R27" s="142"/>
      <c r="S27" s="142"/>
      <c r="Y27" s="62"/>
      <c r="AA27" s="127" t="s">
        <v>121</v>
      </c>
    </row>
    <row r="28" spans="2:41" ht="20" x14ac:dyDescent="0.4">
      <c r="B28" s="59"/>
      <c r="C28" s="381"/>
      <c r="D28" s="381"/>
      <c r="E28" s="143" t="s">
        <v>122</v>
      </c>
      <c r="F28" s="471"/>
      <c r="G28" s="472"/>
      <c r="H28" s="138"/>
      <c r="I28" s="138"/>
      <c r="J28" s="138"/>
      <c r="K28" s="138"/>
      <c r="L28" s="138"/>
      <c r="M28" s="138"/>
      <c r="N28" s="138"/>
      <c r="O28" s="144"/>
      <c r="P28" s="144"/>
      <c r="Q28" s="145" t="s">
        <v>123</v>
      </c>
      <c r="R28" s="142"/>
      <c r="S28" s="142"/>
      <c r="Y28" s="62"/>
    </row>
    <row r="29" spans="2:41" ht="21" customHeight="1" x14ac:dyDescent="0.4">
      <c r="B29" s="59"/>
      <c r="C29" s="381"/>
      <c r="D29" s="381" t="s">
        <v>124</v>
      </c>
      <c r="E29" s="146">
        <f>E22</f>
        <v>0</v>
      </c>
      <c r="F29" s="473"/>
      <c r="G29" s="474"/>
      <c r="H29" s="138"/>
      <c r="I29" s="369"/>
      <c r="J29" s="138"/>
      <c r="K29" s="138"/>
      <c r="L29" s="138"/>
      <c r="M29" s="138"/>
      <c r="N29" s="138"/>
      <c r="O29" s="475" t="s">
        <v>125</v>
      </c>
      <c r="P29" s="476"/>
      <c r="Q29" s="133" t="s">
        <v>86</v>
      </c>
      <c r="R29" s="147"/>
      <c r="S29" s="148"/>
      <c r="Y29" s="62"/>
      <c r="AA29" s="52">
        <f>G37</f>
        <v>0</v>
      </c>
    </row>
    <row r="30" spans="2:41" ht="22.5" customHeight="1" x14ac:dyDescent="0.4">
      <c r="B30" s="59"/>
      <c r="C30" s="381"/>
      <c r="D30" s="381" t="s">
        <v>126</v>
      </c>
      <c r="E30" s="149">
        <f>H24</f>
        <v>0</v>
      </c>
      <c r="F30" s="450"/>
      <c r="G30" s="451"/>
      <c r="H30" s="138"/>
      <c r="I30" s="138"/>
      <c r="J30" s="138"/>
      <c r="K30" s="138"/>
      <c r="L30" s="138"/>
      <c r="M30" s="138"/>
      <c r="N30" s="138"/>
      <c r="O30" s="477" t="s">
        <v>127</v>
      </c>
      <c r="P30" s="478"/>
      <c r="Q30" s="133" t="s">
        <v>86</v>
      </c>
      <c r="R30" s="134"/>
      <c r="S30" s="135"/>
      <c r="Y30" s="62"/>
      <c r="AA30" s="52" t="s">
        <v>128</v>
      </c>
    </row>
    <row r="31" spans="2:41" ht="18" x14ac:dyDescent="0.4">
      <c r="B31" s="59"/>
      <c r="C31" s="381"/>
      <c r="D31" s="381" t="s">
        <v>129</v>
      </c>
      <c r="E31" s="150">
        <f>H25</f>
        <v>0</v>
      </c>
      <c r="F31" s="450"/>
      <c r="G31" s="451"/>
      <c r="H31" s="151"/>
      <c r="I31" s="151"/>
      <c r="J31" s="151"/>
      <c r="K31" s="138"/>
      <c r="L31" s="138"/>
      <c r="M31" s="138"/>
      <c r="N31" s="138"/>
      <c r="O31" s="62"/>
      <c r="P31" s="62"/>
      <c r="Q31" s="131"/>
      <c r="R31" s="62"/>
      <c r="S31" s="87"/>
      <c r="Y31" s="62"/>
    </row>
    <row r="32" spans="2:41" ht="54.75" customHeight="1" x14ac:dyDescent="0.35">
      <c r="B32" s="59"/>
      <c r="C32" s="452" t="s">
        <v>436</v>
      </c>
      <c r="D32" s="453"/>
      <c r="E32" s="453"/>
      <c r="F32" s="453"/>
      <c r="G32" s="453"/>
      <c r="H32" s="453"/>
      <c r="I32" s="453"/>
      <c r="J32" s="454"/>
      <c r="K32" s="152"/>
      <c r="L32" s="152"/>
      <c r="M32" s="152"/>
      <c r="N32" s="152"/>
      <c r="O32" s="455" t="s">
        <v>130</v>
      </c>
      <c r="P32" s="456"/>
      <c r="Q32" s="456"/>
      <c r="R32" s="456"/>
      <c r="S32" s="457"/>
      <c r="Y32" s="62"/>
    </row>
    <row r="33" spans="2:25" ht="18" x14ac:dyDescent="0.4">
      <c r="B33" s="59"/>
      <c r="C33" s="153"/>
      <c r="D33" s="153"/>
      <c r="E33" s="153"/>
      <c r="F33" s="153"/>
      <c r="G33" s="153"/>
      <c r="H33" s="153"/>
      <c r="I33" s="153"/>
      <c r="J33" s="154"/>
      <c r="K33" s="154"/>
      <c r="L33" s="154"/>
      <c r="M33" s="154"/>
      <c r="N33" s="154"/>
      <c r="O33" s="62"/>
      <c r="P33" s="62"/>
      <c r="Q33" s="62"/>
      <c r="R33" s="62"/>
      <c r="S33" s="87"/>
      <c r="Y33" s="62"/>
    </row>
    <row r="34" spans="2:25" ht="18" x14ac:dyDescent="0.4">
      <c r="B34" s="59"/>
      <c r="C34" s="458" t="s">
        <v>131</v>
      </c>
      <c r="D34" s="459"/>
      <c r="E34" s="459"/>
      <c r="F34" s="459"/>
      <c r="G34" s="459"/>
      <c r="H34" s="460" t="s">
        <v>132</v>
      </c>
      <c r="I34" s="461"/>
      <c r="J34" s="381"/>
      <c r="K34" s="381"/>
      <c r="L34" s="381"/>
      <c r="M34" s="381"/>
      <c r="N34" s="381"/>
      <c r="O34" s="62"/>
      <c r="P34" s="62"/>
      <c r="Q34" s="62"/>
      <c r="R34" s="62"/>
      <c r="S34" s="87"/>
    </row>
    <row r="35" spans="2:25" ht="18.5" thickBot="1" x14ac:dyDescent="0.45">
      <c r="B35" s="59"/>
      <c r="C35" s="462" t="s">
        <v>74</v>
      </c>
      <c r="D35" s="463"/>
      <c r="E35" s="463"/>
      <c r="F35" s="463"/>
      <c r="G35" s="464"/>
      <c r="H35" s="465">
        <f>IF(C35=AA15,0,IF(C35=AA16,5,IF(C35=AA17,10,IF(C35=AA18,15,IF(C35=AA19,25,IF(C35=AA20,35,IF(C35=AA21,40,IF(C35=AA22,50))))))))</f>
        <v>5</v>
      </c>
      <c r="I35" s="466"/>
      <c r="J35" s="341" t="str">
        <f>DATEDIF(E26,Q16,"Y")&amp;"Years"""&amp;DATEDIF(E26,Q16,"YM")&amp;"Months"</f>
        <v>0Years"0Months</v>
      </c>
      <c r="K35" s="381"/>
      <c r="L35" s="381"/>
      <c r="M35" s="381"/>
      <c r="N35" s="381"/>
      <c r="O35" s="62"/>
      <c r="P35" s="387" t="s">
        <v>133</v>
      </c>
      <c r="Q35" s="467"/>
      <c r="R35" s="468"/>
      <c r="S35" s="87"/>
    </row>
    <row r="36" spans="2:25" ht="18" x14ac:dyDescent="0.4">
      <c r="B36" s="59"/>
      <c r="C36" s="380"/>
      <c r="D36" s="381"/>
      <c r="E36" s="381"/>
      <c r="F36" s="381"/>
      <c r="G36" s="381"/>
      <c r="H36" s="381"/>
      <c r="I36" s="381"/>
      <c r="J36" s="381"/>
      <c r="K36" s="381"/>
      <c r="L36" s="381"/>
      <c r="M36" s="381"/>
      <c r="N36" s="381"/>
      <c r="O36" s="131"/>
      <c r="P36" s="62"/>
      <c r="Q36" s="155"/>
      <c r="R36" s="131"/>
      <c r="S36" s="87"/>
    </row>
    <row r="37" spans="2:25" ht="18" x14ac:dyDescent="0.4">
      <c r="B37" s="59"/>
      <c r="C37" s="434" t="s">
        <v>134</v>
      </c>
      <c r="D37" s="446"/>
      <c r="E37" s="435"/>
      <c r="F37" s="381"/>
      <c r="G37" s="447">
        <f>Q15</f>
        <v>0</v>
      </c>
      <c r="H37" s="448"/>
      <c r="I37" s="449"/>
      <c r="J37" s="62"/>
      <c r="K37" s="62"/>
      <c r="L37" s="62"/>
      <c r="M37" s="62"/>
      <c r="N37" s="62"/>
      <c r="O37" s="131"/>
      <c r="P37" s="424" t="s">
        <v>135</v>
      </c>
      <c r="Q37" s="425"/>
      <c r="R37" s="156"/>
      <c r="S37" s="87"/>
    </row>
    <row r="38" spans="2:25" ht="18" x14ac:dyDescent="0.4">
      <c r="B38" s="59"/>
      <c r="C38" s="380"/>
      <c r="D38" s="381"/>
      <c r="E38" s="381"/>
      <c r="F38" s="381"/>
      <c r="G38" s="381"/>
      <c r="H38" s="381"/>
      <c r="I38" s="381"/>
      <c r="J38" s="381"/>
      <c r="K38" s="381"/>
      <c r="L38" s="381"/>
      <c r="M38" s="381"/>
      <c r="N38" s="381"/>
      <c r="O38" s="381"/>
      <c r="P38" s="381"/>
      <c r="Q38" s="381"/>
      <c r="R38" s="72"/>
      <c r="S38" s="87"/>
    </row>
    <row r="39" spans="2:25" ht="18.5" thickBot="1" x14ac:dyDescent="0.45">
      <c r="B39" s="59"/>
      <c r="C39" s="426" t="s">
        <v>136</v>
      </c>
      <c r="D39" s="427"/>
      <c r="E39" s="157"/>
      <c r="F39" s="157"/>
      <c r="G39" s="428" t="s">
        <v>137</v>
      </c>
      <c r="H39" s="429"/>
      <c r="I39" s="430"/>
      <c r="J39" s="388"/>
      <c r="K39" s="388"/>
      <c r="L39" s="388"/>
      <c r="M39" s="388"/>
      <c r="N39" s="388"/>
      <c r="O39" s="427" t="s">
        <v>138</v>
      </c>
      <c r="P39" s="431"/>
      <c r="Q39" s="432" t="str">
        <f>G39</f>
        <v xml:space="preserve">MOHD YAMIN </v>
      </c>
      <c r="R39" s="433"/>
      <c r="S39" s="158"/>
    </row>
    <row r="40" spans="2:25" ht="18.5" thickBot="1" x14ac:dyDescent="0.45">
      <c r="B40" s="59"/>
      <c r="C40" s="159"/>
      <c r="D40" s="160"/>
      <c r="E40" s="160"/>
      <c r="F40" s="160"/>
      <c r="G40" s="160"/>
      <c r="H40" s="160"/>
      <c r="I40" s="160"/>
      <c r="J40" s="160"/>
      <c r="K40" s="160"/>
      <c r="L40" s="160"/>
      <c r="M40" s="160"/>
      <c r="N40" s="160"/>
      <c r="O40" s="160"/>
      <c r="P40" s="160"/>
      <c r="Q40" s="160"/>
      <c r="R40" s="160"/>
      <c r="S40" s="161"/>
    </row>
    <row r="41" spans="2:25" ht="19" thickTop="1" thickBot="1" x14ac:dyDescent="0.45">
      <c r="B41" s="162"/>
      <c r="C41" s="131"/>
      <c r="D41" s="131"/>
      <c r="E41" s="440"/>
      <c r="F41" s="440"/>
      <c r="G41" s="440"/>
      <c r="H41" s="163"/>
      <c r="I41" s="163"/>
      <c r="J41" s="163"/>
      <c r="K41" s="163"/>
      <c r="L41" s="163"/>
      <c r="M41" s="163"/>
      <c r="N41" s="163"/>
      <c r="O41" s="163"/>
      <c r="P41" s="163"/>
      <c r="Q41" s="163"/>
      <c r="R41" s="163"/>
      <c r="S41" s="63"/>
    </row>
    <row r="42" spans="2:25" ht="36" x14ac:dyDescent="0.35">
      <c r="B42" s="59"/>
      <c r="C42" s="164" t="s">
        <v>139</v>
      </c>
      <c r="D42" s="165" t="s">
        <v>140</v>
      </c>
      <c r="E42" s="441" t="s">
        <v>141</v>
      </c>
      <c r="F42" s="442"/>
      <c r="G42" s="442"/>
      <c r="H42" s="442"/>
      <c r="I42" s="443"/>
      <c r="J42" s="166" t="s">
        <v>142</v>
      </c>
      <c r="K42" s="166" t="s">
        <v>143</v>
      </c>
      <c r="L42" s="166" t="s">
        <v>144</v>
      </c>
      <c r="M42" s="166" t="s">
        <v>145</v>
      </c>
      <c r="N42" s="166" t="s">
        <v>146</v>
      </c>
      <c r="O42" s="165" t="s">
        <v>147</v>
      </c>
      <c r="P42" s="165" t="s">
        <v>148</v>
      </c>
      <c r="Q42" s="165" t="s">
        <v>149</v>
      </c>
      <c r="R42" s="165" t="s">
        <v>150</v>
      </c>
      <c r="S42" s="385" t="s">
        <v>36</v>
      </c>
      <c r="T42" s="392" t="s">
        <v>268</v>
      </c>
      <c r="W42" s="114"/>
      <c r="X42" s="114"/>
    </row>
    <row r="43" spans="2:25" ht="18.5" thickBot="1" x14ac:dyDescent="0.45">
      <c r="B43" s="59"/>
      <c r="C43" s="167"/>
      <c r="D43" s="384"/>
      <c r="E43" s="384" t="s">
        <v>14</v>
      </c>
      <c r="F43" s="168"/>
      <c r="G43" s="384" t="s">
        <v>24</v>
      </c>
      <c r="H43" s="444" t="s">
        <v>151</v>
      </c>
      <c r="I43" s="445"/>
      <c r="J43" s="383"/>
      <c r="K43" s="383"/>
      <c r="L43" s="383"/>
      <c r="M43" s="383"/>
      <c r="N43" s="383"/>
      <c r="O43" s="384"/>
      <c r="P43" s="384"/>
      <c r="Q43" s="103"/>
      <c r="R43" s="384"/>
      <c r="S43" s="386"/>
      <c r="T43" s="393"/>
      <c r="W43" s="114"/>
      <c r="X43" s="114"/>
    </row>
    <row r="44" spans="2:25" ht="20" x14ac:dyDescent="0.4">
      <c r="B44" s="59"/>
      <c r="C44" s="169">
        <v>1</v>
      </c>
      <c r="D44" s="170"/>
      <c r="E44" s="170"/>
      <c r="F44" s="171"/>
      <c r="G44" s="170"/>
      <c r="H44" s="394"/>
      <c r="I44" s="395"/>
      <c r="J44" s="172"/>
      <c r="K44" s="173">
        <v>0</v>
      </c>
      <c r="L44" s="173">
        <f>K44</f>
        <v>0</v>
      </c>
      <c r="M44" s="174">
        <f>J44*K44</f>
        <v>0</v>
      </c>
      <c r="N44" s="175">
        <f>J44*L44</f>
        <v>0</v>
      </c>
      <c r="O44" s="176">
        <f>IF(E44=AA$43,0,IF(E44=AJ$16,H$35,IF(E44=AJ$17,0,IF(E44=AJ$15,50, IF(E44=AJ$18,0,IF(E44=AJ$19,0))))))</f>
        <v>0</v>
      </c>
      <c r="P44" s="177">
        <f>J44+M44+N44-(J44+M44+N44)*O44%</f>
        <v>0</v>
      </c>
      <c r="Q44" s="177"/>
      <c r="R44" s="177"/>
      <c r="S44" s="177"/>
      <c r="T44" s="367">
        <f>[1]Sheet1!E2</f>
        <v>85072000</v>
      </c>
      <c r="V44" s="375">
        <f>[1]Sheet1!L2</f>
        <v>0.28000000000000003</v>
      </c>
      <c r="W44" s="114"/>
      <c r="X44" s="114"/>
    </row>
    <row r="45" spans="2:25" ht="20" x14ac:dyDescent="0.4">
      <c r="B45" s="59"/>
      <c r="C45" s="169">
        <v>2</v>
      </c>
      <c r="D45" s="170"/>
      <c r="E45" s="170"/>
      <c r="F45" s="171"/>
      <c r="G45" s="170"/>
      <c r="H45" s="394"/>
      <c r="I45" s="395"/>
      <c r="J45" s="172"/>
      <c r="K45" s="173">
        <v>0</v>
      </c>
      <c r="L45" s="173">
        <f t="shared" ref="L45:L67" si="0">K45</f>
        <v>0</v>
      </c>
      <c r="M45" s="174">
        <f t="shared" ref="M45:M69" si="1">J45*K45</f>
        <v>0</v>
      </c>
      <c r="N45" s="175">
        <f t="shared" ref="N45:N69" si="2">J45*L45</f>
        <v>0</v>
      </c>
      <c r="O45" s="176">
        <f t="shared" ref="O45:O67" si="3">IF(E45=AA$43,0,IF(E45=AJ$16,H$35,IF(E45=AJ$17,0,IF(E45=AJ$15,50, IF(E45=AJ$18,0,IF(E45=AJ$19,0))))))</f>
        <v>0</v>
      </c>
      <c r="P45" s="177">
        <f t="shared" ref="P45:P69" si="4">J45+M45+N45-(J45+M45+N45)*O45%</f>
        <v>0</v>
      </c>
      <c r="Q45" s="177"/>
      <c r="R45" s="177"/>
      <c r="S45" s="177"/>
      <c r="T45" s="367">
        <f>[1]Sheet1!E3</f>
        <v>85443000</v>
      </c>
      <c r="V45" s="370">
        <f>[1]Sheet1!L3</f>
        <v>0.18</v>
      </c>
      <c r="W45" s="114"/>
      <c r="X45" s="114"/>
    </row>
    <row r="46" spans="2:25" ht="20" x14ac:dyDescent="0.4">
      <c r="B46" s="59"/>
      <c r="C46" s="169">
        <v>3</v>
      </c>
      <c r="D46" s="170"/>
      <c r="E46" s="170"/>
      <c r="F46" s="171"/>
      <c r="G46" s="170"/>
      <c r="H46" s="394"/>
      <c r="I46" s="395"/>
      <c r="J46" s="172"/>
      <c r="K46" s="173">
        <v>0</v>
      </c>
      <c r="L46" s="173">
        <f t="shared" si="0"/>
        <v>0</v>
      </c>
      <c r="M46" s="174">
        <f t="shared" si="1"/>
        <v>0</v>
      </c>
      <c r="N46" s="175">
        <f t="shared" si="2"/>
        <v>0</v>
      </c>
      <c r="O46" s="176">
        <f t="shared" si="3"/>
        <v>0</v>
      </c>
      <c r="P46" s="177">
        <f t="shared" si="4"/>
        <v>0</v>
      </c>
      <c r="Q46" s="177"/>
      <c r="R46" s="177"/>
      <c r="S46" s="177"/>
      <c r="T46" s="367">
        <f>[1]Sheet1!E4</f>
        <v>87089900</v>
      </c>
      <c r="V46" s="370">
        <f>[1]Sheet1!L4</f>
        <v>0.28000000000000003</v>
      </c>
      <c r="W46" s="114"/>
      <c r="X46" s="114"/>
    </row>
    <row r="47" spans="2:25" ht="20" x14ac:dyDescent="0.4">
      <c r="B47" s="59"/>
      <c r="C47" s="169">
        <v>4</v>
      </c>
      <c r="D47" s="170"/>
      <c r="E47" s="170"/>
      <c r="F47" s="171"/>
      <c r="G47" s="170"/>
      <c r="H47" s="394"/>
      <c r="I47" s="395"/>
      <c r="J47" s="172"/>
      <c r="K47" s="173">
        <v>0</v>
      </c>
      <c r="L47" s="173">
        <f t="shared" si="0"/>
        <v>0</v>
      </c>
      <c r="M47" s="174">
        <f t="shared" si="1"/>
        <v>0</v>
      </c>
      <c r="N47" s="175">
        <f t="shared" si="2"/>
        <v>0</v>
      </c>
      <c r="O47" s="176">
        <f t="shared" si="3"/>
        <v>0</v>
      </c>
      <c r="P47" s="177">
        <f t="shared" si="4"/>
        <v>0</v>
      </c>
      <c r="Q47" s="177"/>
      <c r="R47" s="177"/>
      <c r="S47" s="177"/>
      <c r="T47" s="367">
        <f>[1]Sheet1!E5</f>
        <v>40169340</v>
      </c>
      <c r="V47" s="370">
        <f>[1]Sheet1!L5</f>
        <v>0.18</v>
      </c>
      <c r="W47" s="114"/>
      <c r="X47" s="114"/>
    </row>
    <row r="48" spans="2:25" ht="20" x14ac:dyDescent="0.4">
      <c r="B48" s="59"/>
      <c r="C48" s="169">
        <v>5</v>
      </c>
      <c r="D48" s="170"/>
      <c r="E48" s="170"/>
      <c r="F48" s="171"/>
      <c r="G48" s="170"/>
      <c r="H48" s="394"/>
      <c r="I48" s="395"/>
      <c r="J48" s="172"/>
      <c r="K48" s="173">
        <v>0</v>
      </c>
      <c r="L48" s="173">
        <f t="shared" si="0"/>
        <v>0</v>
      </c>
      <c r="M48" s="174">
        <f t="shared" si="1"/>
        <v>0</v>
      </c>
      <c r="N48" s="175">
        <f t="shared" si="2"/>
        <v>0</v>
      </c>
      <c r="O48" s="176">
        <f t="shared" si="3"/>
        <v>0</v>
      </c>
      <c r="P48" s="177">
        <f t="shared" si="4"/>
        <v>0</v>
      </c>
      <c r="Q48" s="177"/>
      <c r="R48" s="177"/>
      <c r="S48" s="177"/>
      <c r="T48" s="367">
        <f>[1]Sheet1!E6</f>
        <v>40169340</v>
      </c>
      <c r="V48" s="370">
        <f>[1]Sheet1!L6</f>
        <v>0.18</v>
      </c>
      <c r="W48" s="114"/>
      <c r="X48" s="114"/>
    </row>
    <row r="49" spans="2:31" ht="20" x14ac:dyDescent="0.4">
      <c r="B49" s="59"/>
      <c r="C49" s="169">
        <v>6</v>
      </c>
      <c r="D49" s="170"/>
      <c r="E49" s="170"/>
      <c r="F49" s="171"/>
      <c r="G49" s="170"/>
      <c r="H49" s="394"/>
      <c r="I49" s="395"/>
      <c r="J49" s="172"/>
      <c r="K49" s="173">
        <v>0</v>
      </c>
      <c r="L49" s="173">
        <f t="shared" si="0"/>
        <v>0</v>
      </c>
      <c r="M49" s="174">
        <f t="shared" si="1"/>
        <v>0</v>
      </c>
      <c r="N49" s="175">
        <f t="shared" si="2"/>
        <v>0</v>
      </c>
      <c r="O49" s="176">
        <f t="shared" si="3"/>
        <v>0</v>
      </c>
      <c r="P49" s="177">
        <f t="shared" si="4"/>
        <v>0</v>
      </c>
      <c r="Q49" s="177"/>
      <c r="R49" s="177"/>
      <c r="S49" s="177"/>
      <c r="T49" s="367">
        <f>[1]Sheet1!E7</f>
        <v>40094200</v>
      </c>
      <c r="V49" s="370">
        <f>[1]Sheet1!L7</f>
        <v>0.18</v>
      </c>
      <c r="W49" s="114"/>
      <c r="X49" s="114"/>
    </row>
    <row r="50" spans="2:31" ht="20" x14ac:dyDescent="0.4">
      <c r="B50" s="59"/>
      <c r="C50" s="169">
        <v>7</v>
      </c>
      <c r="D50" s="170"/>
      <c r="E50" s="170"/>
      <c r="F50" s="171"/>
      <c r="G50" s="170"/>
      <c r="H50" s="394"/>
      <c r="I50" s="395"/>
      <c r="J50" s="172"/>
      <c r="K50" s="173">
        <v>0</v>
      </c>
      <c r="L50" s="173">
        <f t="shared" si="0"/>
        <v>0</v>
      </c>
      <c r="M50" s="174">
        <f t="shared" si="1"/>
        <v>0</v>
      </c>
      <c r="N50" s="175">
        <f t="shared" si="2"/>
        <v>0</v>
      </c>
      <c r="O50" s="176">
        <f t="shared" si="3"/>
        <v>0</v>
      </c>
      <c r="P50" s="177">
        <f t="shared" si="4"/>
        <v>0</v>
      </c>
      <c r="Q50" s="177"/>
      <c r="R50" s="177"/>
      <c r="S50" s="177"/>
      <c r="T50" s="367">
        <f>[1]Sheet1!E8</f>
        <v>40094200</v>
      </c>
      <c r="V50" s="370">
        <f>[1]Sheet1!L8</f>
        <v>0.18</v>
      </c>
      <c r="W50" s="114"/>
      <c r="X50" s="114"/>
    </row>
    <row r="51" spans="2:31" ht="20" x14ac:dyDescent="0.4">
      <c r="B51" s="59"/>
      <c r="C51" s="169">
        <v>8</v>
      </c>
      <c r="D51" s="170"/>
      <c r="E51" s="170"/>
      <c r="F51" s="171"/>
      <c r="G51" s="170"/>
      <c r="H51" s="394"/>
      <c r="I51" s="395"/>
      <c r="J51" s="172"/>
      <c r="K51" s="173">
        <v>0</v>
      </c>
      <c r="L51" s="173">
        <f t="shared" si="0"/>
        <v>0</v>
      </c>
      <c r="M51" s="174">
        <f t="shared" si="1"/>
        <v>0</v>
      </c>
      <c r="N51" s="175">
        <f t="shared" si="2"/>
        <v>0</v>
      </c>
      <c r="O51" s="176">
        <f t="shared" si="3"/>
        <v>0</v>
      </c>
      <c r="P51" s="177">
        <f t="shared" si="4"/>
        <v>0</v>
      </c>
      <c r="Q51" s="177"/>
      <c r="R51" s="177"/>
      <c r="S51" s="177"/>
      <c r="T51" s="367">
        <f>[1]Sheet1!E9</f>
        <v>84213100</v>
      </c>
      <c r="V51" s="370">
        <f>[1]Sheet1!L9</f>
        <v>0.18</v>
      </c>
      <c r="W51" s="114"/>
      <c r="X51" s="114"/>
    </row>
    <row r="52" spans="2:31" ht="20" x14ac:dyDescent="0.4">
      <c r="B52" s="59"/>
      <c r="C52" s="169">
        <v>9</v>
      </c>
      <c r="D52" s="170"/>
      <c r="E52" s="170"/>
      <c r="F52" s="171"/>
      <c r="G52" s="170"/>
      <c r="H52" s="394"/>
      <c r="I52" s="395"/>
      <c r="J52" s="172"/>
      <c r="K52" s="173">
        <v>0</v>
      </c>
      <c r="L52" s="173">
        <f t="shared" si="0"/>
        <v>0</v>
      </c>
      <c r="M52" s="174">
        <f t="shared" si="1"/>
        <v>0</v>
      </c>
      <c r="N52" s="175">
        <f t="shared" si="2"/>
        <v>0</v>
      </c>
      <c r="O52" s="176">
        <f t="shared" si="3"/>
        <v>0</v>
      </c>
      <c r="P52" s="177">
        <f t="shared" si="4"/>
        <v>0</v>
      </c>
      <c r="Q52" s="177"/>
      <c r="R52" s="177"/>
      <c r="S52" s="177"/>
      <c r="T52" s="367">
        <f>[1]Sheet1!E10</f>
        <v>40094200</v>
      </c>
      <c r="V52" s="370">
        <f>[1]Sheet1!L10</f>
        <v>0.18</v>
      </c>
      <c r="W52" s="114"/>
      <c r="X52" s="114"/>
    </row>
    <row r="53" spans="2:31" ht="20" x14ac:dyDescent="0.4">
      <c r="B53" s="59"/>
      <c r="C53" s="169">
        <v>10</v>
      </c>
      <c r="D53" s="170"/>
      <c r="E53" s="170"/>
      <c r="F53" s="171"/>
      <c r="G53" s="170"/>
      <c r="H53" s="394"/>
      <c r="I53" s="395"/>
      <c r="J53" s="172"/>
      <c r="K53" s="173">
        <v>0</v>
      </c>
      <c r="L53" s="173">
        <f t="shared" si="0"/>
        <v>0</v>
      </c>
      <c r="M53" s="174">
        <f t="shared" si="1"/>
        <v>0</v>
      </c>
      <c r="N53" s="175">
        <f t="shared" si="2"/>
        <v>0</v>
      </c>
      <c r="O53" s="176">
        <f t="shared" si="3"/>
        <v>0</v>
      </c>
      <c r="P53" s="177">
        <f t="shared" si="4"/>
        <v>0</v>
      </c>
      <c r="Q53" s="177"/>
      <c r="R53" s="177"/>
      <c r="S53" s="177"/>
      <c r="T53" s="367">
        <f>[1]Sheet1!E11</f>
        <v>84099990</v>
      </c>
      <c r="V53" s="370">
        <f>[1]Sheet1!L11</f>
        <v>0.28000000000000003</v>
      </c>
      <c r="W53" s="114"/>
      <c r="X53" s="114"/>
    </row>
    <row r="54" spans="2:31" ht="20" x14ac:dyDescent="0.4">
      <c r="B54" s="59"/>
      <c r="C54" s="169">
        <v>11</v>
      </c>
      <c r="D54" s="170"/>
      <c r="E54" s="170"/>
      <c r="F54" s="171"/>
      <c r="G54" s="170"/>
      <c r="H54" s="394"/>
      <c r="I54" s="395"/>
      <c r="J54" s="172"/>
      <c r="K54" s="173">
        <v>0</v>
      </c>
      <c r="L54" s="173">
        <f t="shared" si="0"/>
        <v>0</v>
      </c>
      <c r="M54" s="174">
        <f t="shared" si="1"/>
        <v>0</v>
      </c>
      <c r="N54" s="175">
        <f t="shared" si="2"/>
        <v>0</v>
      </c>
      <c r="O54" s="176">
        <f t="shared" si="3"/>
        <v>0</v>
      </c>
      <c r="P54" s="177">
        <f t="shared" si="4"/>
        <v>0</v>
      </c>
      <c r="Q54" s="177"/>
      <c r="R54" s="177"/>
      <c r="S54" s="177"/>
      <c r="T54" s="367">
        <f>[1]Sheet1!E12</f>
        <v>40094200</v>
      </c>
      <c r="V54" s="370">
        <f>[1]Sheet1!L12</f>
        <v>0.18</v>
      </c>
      <c r="W54" s="114"/>
      <c r="X54" s="114"/>
    </row>
    <row r="55" spans="2:31" ht="20" x14ac:dyDescent="0.4">
      <c r="B55" s="59"/>
      <c r="C55" s="169">
        <v>12</v>
      </c>
      <c r="D55" s="170"/>
      <c r="E55" s="170"/>
      <c r="F55" s="171"/>
      <c r="G55" s="170"/>
      <c r="H55" s="394"/>
      <c r="I55" s="395"/>
      <c r="J55" s="172"/>
      <c r="K55" s="173">
        <v>0</v>
      </c>
      <c r="L55" s="173">
        <f t="shared" si="0"/>
        <v>0</v>
      </c>
      <c r="M55" s="174">
        <f t="shared" si="1"/>
        <v>0</v>
      </c>
      <c r="N55" s="175">
        <f t="shared" si="2"/>
        <v>0</v>
      </c>
      <c r="O55" s="176">
        <f t="shared" si="3"/>
        <v>0</v>
      </c>
      <c r="P55" s="177">
        <f t="shared" si="4"/>
        <v>0</v>
      </c>
      <c r="Q55" s="177"/>
      <c r="R55" s="177"/>
      <c r="S55" s="177"/>
      <c r="T55" s="367">
        <f>[1]Sheet1!E13</f>
        <v>87089900</v>
      </c>
      <c r="V55" s="370">
        <f>[1]Sheet1!L13</f>
        <v>0.28000000000000003</v>
      </c>
      <c r="W55" s="114"/>
      <c r="X55" s="114"/>
    </row>
    <row r="56" spans="2:31" ht="20" x14ac:dyDescent="0.4">
      <c r="B56" s="59"/>
      <c r="C56" s="169">
        <v>13</v>
      </c>
      <c r="D56" s="170"/>
      <c r="E56" s="170"/>
      <c r="F56" s="171"/>
      <c r="G56" s="170"/>
      <c r="H56" s="394"/>
      <c r="I56" s="395"/>
      <c r="J56" s="172"/>
      <c r="K56" s="173">
        <v>0</v>
      </c>
      <c r="L56" s="173">
        <f t="shared" si="0"/>
        <v>0</v>
      </c>
      <c r="M56" s="174">
        <f t="shared" si="1"/>
        <v>0</v>
      </c>
      <c r="N56" s="175">
        <f t="shared" si="2"/>
        <v>0</v>
      </c>
      <c r="O56" s="176">
        <f t="shared" si="3"/>
        <v>0</v>
      </c>
      <c r="P56" s="177">
        <f t="shared" si="4"/>
        <v>0</v>
      </c>
      <c r="Q56" s="177"/>
      <c r="R56" s="177"/>
      <c r="S56" s="177"/>
      <c r="T56" s="367">
        <f>[1]Sheet1!E15</f>
        <v>85115000</v>
      </c>
      <c r="V56" s="370">
        <f>[1]Sheet1!L15</f>
        <v>0.28000000000000003</v>
      </c>
      <c r="W56" s="114"/>
      <c r="X56" s="114"/>
    </row>
    <row r="57" spans="2:31" ht="20" x14ac:dyDescent="0.4">
      <c r="B57" s="59"/>
      <c r="C57" s="169">
        <v>14</v>
      </c>
      <c r="D57" s="170"/>
      <c r="E57" s="170"/>
      <c r="F57" s="171"/>
      <c r="G57" s="170"/>
      <c r="H57" s="394"/>
      <c r="I57" s="395"/>
      <c r="J57" s="172"/>
      <c r="K57" s="173">
        <v>0</v>
      </c>
      <c r="L57" s="173">
        <f t="shared" si="0"/>
        <v>0</v>
      </c>
      <c r="M57" s="174">
        <f t="shared" si="1"/>
        <v>0</v>
      </c>
      <c r="N57" s="175">
        <f t="shared" si="2"/>
        <v>0</v>
      </c>
      <c r="O57" s="176">
        <f t="shared" si="3"/>
        <v>0</v>
      </c>
      <c r="P57" s="177">
        <f t="shared" si="4"/>
        <v>0</v>
      </c>
      <c r="Q57" s="177"/>
      <c r="R57" s="177"/>
      <c r="S57" s="177"/>
      <c r="T57" s="367">
        <f>[1]Sheet1!E16</f>
        <v>84818090</v>
      </c>
      <c r="V57" s="370">
        <f>[1]Sheet1!L16</f>
        <v>0.18</v>
      </c>
      <c r="W57" s="114"/>
      <c r="X57" s="114"/>
    </row>
    <row r="58" spans="2:31" ht="20" x14ac:dyDescent="0.4">
      <c r="B58" s="59"/>
      <c r="C58" s="169">
        <v>15</v>
      </c>
      <c r="D58" s="170"/>
      <c r="E58" s="170"/>
      <c r="F58" s="171"/>
      <c r="G58" s="170"/>
      <c r="H58" s="394"/>
      <c r="I58" s="395"/>
      <c r="J58" s="172"/>
      <c r="K58" s="173">
        <v>0</v>
      </c>
      <c r="L58" s="173">
        <f t="shared" si="0"/>
        <v>0</v>
      </c>
      <c r="M58" s="174">
        <f t="shared" si="1"/>
        <v>0</v>
      </c>
      <c r="N58" s="175">
        <f t="shared" si="2"/>
        <v>0</v>
      </c>
      <c r="O58" s="176">
        <f t="shared" si="3"/>
        <v>0</v>
      </c>
      <c r="P58" s="177">
        <f t="shared" si="4"/>
        <v>0</v>
      </c>
      <c r="Q58" s="177"/>
      <c r="R58" s="177"/>
      <c r="S58" s="177"/>
      <c r="T58" s="367">
        <f>[1]Sheet1!E17</f>
        <v>87089900</v>
      </c>
      <c r="V58" s="370">
        <f>[1]Sheet1!L17</f>
        <v>0.28000000000000003</v>
      </c>
      <c r="W58" s="114"/>
      <c r="X58" s="114"/>
    </row>
    <row r="59" spans="2:31" ht="20" x14ac:dyDescent="0.4">
      <c r="B59" s="59"/>
      <c r="C59" s="169">
        <v>16</v>
      </c>
      <c r="D59" s="170"/>
      <c r="E59" s="170"/>
      <c r="F59" s="171"/>
      <c r="G59" s="170"/>
      <c r="H59" s="394"/>
      <c r="I59" s="395"/>
      <c r="J59" s="172"/>
      <c r="K59" s="173">
        <v>0</v>
      </c>
      <c r="L59" s="173">
        <f t="shared" si="0"/>
        <v>0</v>
      </c>
      <c r="M59" s="174">
        <f t="shared" si="1"/>
        <v>0</v>
      </c>
      <c r="N59" s="175">
        <f t="shared" si="2"/>
        <v>0</v>
      </c>
      <c r="O59" s="176">
        <f t="shared" si="3"/>
        <v>0</v>
      </c>
      <c r="P59" s="177">
        <f t="shared" si="4"/>
        <v>0</v>
      </c>
      <c r="Q59" s="177"/>
      <c r="R59" s="177"/>
      <c r="S59" s="177"/>
      <c r="T59" s="367">
        <f>[1]Sheet1!E18</f>
        <v>84099990</v>
      </c>
      <c r="V59" s="370">
        <f>[1]Sheet1!L18</f>
        <v>0.28000000000000003</v>
      </c>
      <c r="W59" s="114"/>
      <c r="X59" s="114"/>
      <c r="AE59" s="64"/>
    </row>
    <row r="60" spans="2:31" ht="20" x14ac:dyDescent="0.4">
      <c r="B60" s="59"/>
      <c r="C60" s="169">
        <v>17</v>
      </c>
      <c r="D60" s="170"/>
      <c r="E60" s="170"/>
      <c r="F60" s="171"/>
      <c r="G60" s="170"/>
      <c r="H60" s="394"/>
      <c r="I60" s="395"/>
      <c r="J60" s="172"/>
      <c r="K60" s="173">
        <v>0</v>
      </c>
      <c r="L60" s="173">
        <f t="shared" si="0"/>
        <v>0</v>
      </c>
      <c r="M60" s="174">
        <f t="shared" si="1"/>
        <v>0</v>
      </c>
      <c r="N60" s="175">
        <f t="shared" si="2"/>
        <v>0</v>
      </c>
      <c r="O60" s="176">
        <f t="shared" si="3"/>
        <v>0</v>
      </c>
      <c r="P60" s="177">
        <f t="shared" si="4"/>
        <v>0</v>
      </c>
      <c r="Q60" s="177"/>
      <c r="R60" s="177"/>
      <c r="S60" s="177"/>
      <c r="T60" s="367">
        <f>[1]Sheet1!E19</f>
        <v>73269099</v>
      </c>
      <c r="V60" s="370">
        <f>[1]Sheet1!L19</f>
        <v>0.28000000000000003</v>
      </c>
      <c r="W60" s="114"/>
      <c r="X60" s="114"/>
      <c r="AE60" s="64"/>
    </row>
    <row r="61" spans="2:31" ht="20" x14ac:dyDescent="0.4">
      <c r="B61" s="59"/>
      <c r="C61" s="169">
        <v>18</v>
      </c>
      <c r="D61" s="170"/>
      <c r="E61" s="170"/>
      <c r="F61" s="171"/>
      <c r="G61" s="170"/>
      <c r="H61" s="394"/>
      <c r="I61" s="395"/>
      <c r="J61" s="172"/>
      <c r="K61" s="173">
        <v>0</v>
      </c>
      <c r="L61" s="173">
        <f t="shared" si="0"/>
        <v>0</v>
      </c>
      <c r="M61" s="174">
        <f t="shared" si="1"/>
        <v>0</v>
      </c>
      <c r="N61" s="175">
        <f t="shared" si="2"/>
        <v>0</v>
      </c>
      <c r="O61" s="176">
        <f t="shared" si="3"/>
        <v>0</v>
      </c>
      <c r="P61" s="177">
        <f t="shared" si="4"/>
        <v>0</v>
      </c>
      <c r="Q61" s="177"/>
      <c r="R61" s="177"/>
      <c r="S61" s="177"/>
      <c r="T61" s="367">
        <f>[1]Sheet1!E20</f>
        <v>40169990</v>
      </c>
      <c r="V61" s="370">
        <f>[1]Sheet1!L20</f>
        <v>0.18</v>
      </c>
      <c r="W61" s="114"/>
      <c r="X61" s="114"/>
      <c r="AE61" s="64"/>
    </row>
    <row r="62" spans="2:31" ht="20" x14ac:dyDescent="0.4">
      <c r="B62" s="59"/>
      <c r="C62" s="169">
        <v>19</v>
      </c>
      <c r="D62" s="170"/>
      <c r="E62" s="170"/>
      <c r="F62" s="171"/>
      <c r="G62" s="170"/>
      <c r="H62" s="394"/>
      <c r="I62" s="395"/>
      <c r="J62" s="172"/>
      <c r="K62" s="173">
        <v>0</v>
      </c>
      <c r="L62" s="173">
        <f t="shared" si="0"/>
        <v>0</v>
      </c>
      <c r="M62" s="174">
        <f t="shared" ref="M62:M68" si="5">J62*K62</f>
        <v>0</v>
      </c>
      <c r="N62" s="175">
        <f t="shared" ref="N62:N68" si="6">J62*L62</f>
        <v>0</v>
      </c>
      <c r="O62" s="176">
        <f t="shared" si="3"/>
        <v>0</v>
      </c>
      <c r="P62" s="177">
        <f t="shared" ref="P62:P68" si="7">J62+M62+N62-(J62+M62+N62)*O62%</f>
        <v>0</v>
      </c>
      <c r="Q62" s="177"/>
      <c r="R62" s="177"/>
      <c r="S62" s="177"/>
      <c r="T62" s="367">
        <f>[1]Sheet1!E21</f>
        <v>40169990</v>
      </c>
      <c r="V62" s="370">
        <f>[1]Sheet1!L21</f>
        <v>0.18</v>
      </c>
      <c r="W62" s="114"/>
      <c r="X62" s="114"/>
      <c r="AE62" s="64"/>
    </row>
    <row r="63" spans="2:31" ht="20" x14ac:dyDescent="0.4">
      <c r="B63" s="59"/>
      <c r="C63" s="169">
        <v>20</v>
      </c>
      <c r="D63" s="170"/>
      <c r="E63" s="170"/>
      <c r="F63" s="171"/>
      <c r="G63" s="170"/>
      <c r="H63" s="394"/>
      <c r="I63" s="395"/>
      <c r="J63" s="172"/>
      <c r="K63" s="173">
        <v>0</v>
      </c>
      <c r="L63" s="173">
        <f t="shared" si="0"/>
        <v>0</v>
      </c>
      <c r="M63" s="174">
        <f t="shared" si="5"/>
        <v>0</v>
      </c>
      <c r="N63" s="175">
        <f t="shared" si="6"/>
        <v>0</v>
      </c>
      <c r="O63" s="176">
        <f t="shared" si="3"/>
        <v>0</v>
      </c>
      <c r="P63" s="177">
        <f t="shared" si="7"/>
        <v>0</v>
      </c>
      <c r="Q63" s="177"/>
      <c r="R63" s="177"/>
      <c r="S63" s="177"/>
      <c r="T63" s="367">
        <f>[1]Sheet1!E22</f>
        <v>87089900</v>
      </c>
      <c r="V63" s="370">
        <f>[1]Sheet1!L22</f>
        <v>0.28000000000000003</v>
      </c>
      <c r="W63" s="114"/>
      <c r="X63" s="114"/>
      <c r="AE63" s="64"/>
    </row>
    <row r="64" spans="2:31" ht="20" x14ac:dyDescent="0.4">
      <c r="B64" s="59"/>
      <c r="C64" s="169">
        <v>21</v>
      </c>
      <c r="D64" s="170"/>
      <c r="E64" s="170"/>
      <c r="F64" s="171"/>
      <c r="G64" s="170"/>
      <c r="H64" s="394"/>
      <c r="I64" s="395"/>
      <c r="J64" s="172"/>
      <c r="K64" s="173">
        <v>0</v>
      </c>
      <c r="L64" s="173">
        <f t="shared" si="0"/>
        <v>0</v>
      </c>
      <c r="M64" s="174">
        <f t="shared" si="5"/>
        <v>0</v>
      </c>
      <c r="N64" s="175">
        <f t="shared" si="6"/>
        <v>0</v>
      </c>
      <c r="O64" s="176">
        <f t="shared" si="3"/>
        <v>0</v>
      </c>
      <c r="P64" s="177">
        <f t="shared" si="7"/>
        <v>0</v>
      </c>
      <c r="Q64" s="177"/>
      <c r="R64" s="177"/>
      <c r="S64" s="177"/>
      <c r="T64" s="367">
        <f>[1]Sheet1!E23</f>
        <v>73182200</v>
      </c>
      <c r="V64" s="370">
        <f>[1]Sheet1!L23</f>
        <v>0.28000000000000003</v>
      </c>
      <c r="W64" s="114"/>
      <c r="X64" s="114"/>
      <c r="AE64" s="64"/>
    </row>
    <row r="65" spans="2:31" ht="20" x14ac:dyDescent="0.4">
      <c r="B65" s="59"/>
      <c r="C65" s="169">
        <v>22</v>
      </c>
      <c r="D65" s="170"/>
      <c r="E65" s="170"/>
      <c r="F65" s="171"/>
      <c r="G65" s="170"/>
      <c r="H65" s="394"/>
      <c r="I65" s="395"/>
      <c r="J65" s="172"/>
      <c r="K65" s="173">
        <v>0</v>
      </c>
      <c r="L65" s="173">
        <f t="shared" si="0"/>
        <v>0</v>
      </c>
      <c r="M65" s="174">
        <f t="shared" si="5"/>
        <v>0</v>
      </c>
      <c r="N65" s="175">
        <f t="shared" si="6"/>
        <v>0</v>
      </c>
      <c r="O65" s="176">
        <f t="shared" si="3"/>
        <v>0</v>
      </c>
      <c r="P65" s="177">
        <f t="shared" si="7"/>
        <v>0</v>
      </c>
      <c r="Q65" s="177"/>
      <c r="R65" s="177"/>
      <c r="S65" s="177"/>
      <c r="T65" s="367">
        <f>[1]Sheet1!E24</f>
        <v>84133090</v>
      </c>
      <c r="V65" s="370">
        <f>[1]Sheet1!L24</f>
        <v>0.28000000000000003</v>
      </c>
      <c r="W65" s="114"/>
      <c r="X65" s="114"/>
      <c r="AE65" s="64"/>
    </row>
    <row r="66" spans="2:31" ht="20" x14ac:dyDescent="0.4">
      <c r="B66" s="59"/>
      <c r="C66" s="169">
        <v>23</v>
      </c>
      <c r="D66" s="170"/>
      <c r="E66" s="170"/>
      <c r="F66" s="171"/>
      <c r="G66" s="170"/>
      <c r="H66" s="394"/>
      <c r="I66" s="395"/>
      <c r="J66" s="172"/>
      <c r="K66" s="173">
        <v>0</v>
      </c>
      <c r="L66" s="173">
        <f t="shared" si="0"/>
        <v>0</v>
      </c>
      <c r="M66" s="174">
        <f t="shared" si="5"/>
        <v>0</v>
      </c>
      <c r="N66" s="175">
        <f t="shared" si="6"/>
        <v>0</v>
      </c>
      <c r="O66" s="176">
        <f t="shared" si="3"/>
        <v>0</v>
      </c>
      <c r="P66" s="177">
        <f t="shared" si="7"/>
        <v>0</v>
      </c>
      <c r="Q66" s="177"/>
      <c r="R66" s="177"/>
      <c r="S66" s="177"/>
      <c r="T66" s="367">
        <f>[1]Sheet1!E25</f>
        <v>73269099</v>
      </c>
      <c r="V66" s="370">
        <f>[1]Sheet1!L25</f>
        <v>0.18</v>
      </c>
      <c r="W66" s="114"/>
      <c r="X66" s="114"/>
      <c r="AE66" s="64"/>
    </row>
    <row r="67" spans="2:31" ht="20" x14ac:dyDescent="0.4">
      <c r="B67" s="59"/>
      <c r="C67" s="169">
        <v>24</v>
      </c>
      <c r="D67" s="170"/>
      <c r="E67" s="170"/>
      <c r="F67" s="171"/>
      <c r="G67" s="170"/>
      <c r="H67" s="394"/>
      <c r="I67" s="395"/>
      <c r="J67" s="172"/>
      <c r="K67" s="173">
        <v>0</v>
      </c>
      <c r="L67" s="173">
        <f t="shared" si="0"/>
        <v>0</v>
      </c>
      <c r="M67" s="174">
        <f t="shared" ref="M67" si="8">J67*K67</f>
        <v>0</v>
      </c>
      <c r="N67" s="175">
        <f t="shared" ref="N67" si="9">J67*L67</f>
        <v>0</v>
      </c>
      <c r="O67" s="176">
        <f t="shared" si="3"/>
        <v>0</v>
      </c>
      <c r="P67" s="177">
        <f t="shared" ref="P67" si="10">J67+M67+N67-(J67+M67+N67)*O67%</f>
        <v>0</v>
      </c>
      <c r="Q67" s="177"/>
      <c r="R67" s="177"/>
      <c r="S67" s="177"/>
      <c r="T67" s="367">
        <f>[1]Sheet1!E26</f>
        <v>73181900</v>
      </c>
      <c r="V67" s="370">
        <f>[1]Sheet1!L26</f>
        <v>0.18</v>
      </c>
      <c r="W67" s="114"/>
      <c r="X67" s="114"/>
      <c r="AE67" s="64"/>
    </row>
    <row r="68" spans="2:31" ht="20" x14ac:dyDescent="0.4">
      <c r="B68" s="59"/>
      <c r="C68" s="169">
        <v>25</v>
      </c>
      <c r="D68" s="170"/>
      <c r="E68" s="170"/>
      <c r="F68" s="171"/>
      <c r="G68" s="170"/>
      <c r="H68" s="394"/>
      <c r="I68" s="395"/>
      <c r="J68" s="172"/>
      <c r="K68" s="173">
        <v>0</v>
      </c>
      <c r="L68" s="173">
        <f t="shared" ref="L68:L69" si="11">K68</f>
        <v>0</v>
      </c>
      <c r="M68" s="174">
        <f t="shared" si="5"/>
        <v>0</v>
      </c>
      <c r="N68" s="175">
        <f t="shared" si="6"/>
        <v>0</v>
      </c>
      <c r="O68" s="176">
        <f t="shared" ref="O68" si="12">IF(E68=AA$43,0,IF(E68=AJ$16,H$35,IF(E68=AJ$17,0,IF(E68=AJ$15,50, IF(E68=AJ$18,0,IF(E68=AJ$19,0))))))</f>
        <v>0</v>
      </c>
      <c r="P68" s="177">
        <f t="shared" si="7"/>
        <v>0</v>
      </c>
      <c r="Q68" s="177"/>
      <c r="R68" s="177"/>
      <c r="S68" s="177"/>
      <c r="T68" s="367"/>
      <c r="V68" s="368"/>
      <c r="W68" s="114"/>
      <c r="X68" s="114"/>
      <c r="AE68" s="64"/>
    </row>
    <row r="69" spans="2:31" ht="20.5" thickBot="1" x14ac:dyDescent="0.45">
      <c r="B69" s="59"/>
      <c r="C69" s="169"/>
      <c r="D69" s="170"/>
      <c r="E69" s="170"/>
      <c r="F69" s="171"/>
      <c r="G69" s="170"/>
      <c r="H69" s="394"/>
      <c r="I69" s="395"/>
      <c r="J69" s="172">
        <v>0</v>
      </c>
      <c r="K69" s="173">
        <v>0</v>
      </c>
      <c r="L69" s="173">
        <f t="shared" si="11"/>
        <v>0</v>
      </c>
      <c r="M69" s="174">
        <f t="shared" si="1"/>
        <v>0</v>
      </c>
      <c r="N69" s="175">
        <f t="shared" si="2"/>
        <v>0</v>
      </c>
      <c r="O69" s="176">
        <f t="shared" ref="O69" si="13">IF(E69=AA$43,0,IF(E69=AJ$15,H$35,IF(E69=AJ$16,0,IF(E69=AJ$17,50, IF(E69=AJ$18,50,IF(E69=AJ$19,0))))))</f>
        <v>0</v>
      </c>
      <c r="P69" s="177">
        <f t="shared" si="4"/>
        <v>0</v>
      </c>
      <c r="Q69" s="177"/>
      <c r="R69" s="177">
        <v>0</v>
      </c>
      <c r="S69" s="177"/>
      <c r="W69" s="114"/>
      <c r="X69" s="114"/>
      <c r="AE69" s="64"/>
    </row>
    <row r="70" spans="2:31" ht="20.5" thickBot="1" x14ac:dyDescent="0.45">
      <c r="B70" s="59"/>
      <c r="C70" s="180"/>
      <c r="D70" s="181"/>
      <c r="E70" s="181"/>
      <c r="F70" s="181"/>
      <c r="G70" s="181"/>
      <c r="H70" s="181"/>
      <c r="I70" s="182" t="s">
        <v>152</v>
      </c>
      <c r="J70" s="183">
        <f>SUM(J44:J69)</f>
        <v>0</v>
      </c>
      <c r="K70" s="183"/>
      <c r="L70" s="183"/>
      <c r="M70" s="183">
        <f>SUM(M44:M69)</f>
        <v>0</v>
      </c>
      <c r="N70" s="183">
        <f>SUM(N44:N69)</f>
        <v>0</v>
      </c>
      <c r="O70" s="183"/>
      <c r="P70" s="183">
        <f>SUM(P44:P69)</f>
        <v>0</v>
      </c>
      <c r="Q70" s="184">
        <f>SUM(Q44:Q69)</f>
        <v>0</v>
      </c>
      <c r="R70" s="184">
        <f>SUM(R44:R69)</f>
        <v>0</v>
      </c>
      <c r="S70" s="185">
        <f>SUM(S44:S69)</f>
        <v>0</v>
      </c>
      <c r="T70" s="389">
        <f>SUM(Q70:S70)</f>
        <v>0</v>
      </c>
      <c r="U70" s="113"/>
      <c r="V70" s="113"/>
      <c r="W70" s="114"/>
      <c r="X70" s="114"/>
    </row>
    <row r="71" spans="2:31" x14ac:dyDescent="0.35">
      <c r="B71" s="418" t="s">
        <v>153</v>
      </c>
      <c r="C71" s="419"/>
      <c r="D71" s="419"/>
      <c r="E71" s="419"/>
      <c r="F71" s="419"/>
      <c r="G71" s="419"/>
      <c r="H71" s="419"/>
      <c r="I71" s="419"/>
      <c r="J71" s="419"/>
      <c r="K71" s="419"/>
      <c r="L71" s="419"/>
      <c r="M71" s="419"/>
      <c r="N71" s="419"/>
      <c r="O71" s="419"/>
      <c r="P71" s="419"/>
      <c r="Q71" s="419"/>
      <c r="R71" s="419"/>
      <c r="S71" s="419"/>
      <c r="T71" s="186"/>
      <c r="U71" s="113"/>
      <c r="V71" s="113"/>
      <c r="W71" s="114"/>
      <c r="X71" s="114"/>
    </row>
    <row r="72" spans="2:31" ht="18" thickBot="1" x14ac:dyDescent="0.4">
      <c r="B72" s="59"/>
      <c r="C72" s="62"/>
      <c r="D72" s="62"/>
      <c r="E72" s="62"/>
      <c r="F72" s="62"/>
      <c r="G72" s="62"/>
      <c r="H72" s="62"/>
      <c r="I72" s="62"/>
      <c r="J72" s="62"/>
      <c r="K72" s="62"/>
      <c r="L72" s="62"/>
      <c r="M72" s="62"/>
      <c r="N72" s="62"/>
      <c r="O72" s="62"/>
      <c r="P72" s="62"/>
      <c r="Q72" s="62"/>
      <c r="R72" s="62"/>
      <c r="S72" s="62"/>
      <c r="T72" s="186"/>
      <c r="U72" s="113"/>
      <c r="V72" s="113"/>
      <c r="AA72" s="62"/>
    </row>
    <row r="73" spans="2:31" ht="18" x14ac:dyDescent="0.4">
      <c r="B73" s="59"/>
      <c r="C73" s="420" t="s">
        <v>154</v>
      </c>
      <c r="D73" s="421"/>
      <c r="E73" s="421"/>
      <c r="F73" s="421"/>
      <c r="G73" s="421"/>
      <c r="H73" s="421"/>
      <c r="I73" s="421"/>
      <c r="J73" s="421"/>
      <c r="K73" s="421"/>
      <c r="L73" s="421"/>
      <c r="M73" s="421"/>
      <c r="N73" s="421"/>
      <c r="O73" s="421"/>
      <c r="P73" s="187"/>
      <c r="Q73" s="187"/>
      <c r="R73" s="187"/>
      <c r="S73" s="187"/>
      <c r="T73" s="186"/>
      <c r="U73" s="113"/>
      <c r="V73" s="113"/>
      <c r="AA73" s="62"/>
    </row>
    <row r="74" spans="2:31" ht="19.5" customHeight="1" x14ac:dyDescent="0.4">
      <c r="B74" s="59"/>
      <c r="C74" s="422" t="s">
        <v>155</v>
      </c>
      <c r="D74" s="423"/>
      <c r="E74" s="188" t="s">
        <v>156</v>
      </c>
      <c r="F74" s="189" t="s">
        <v>145</v>
      </c>
      <c r="G74" s="188" t="s">
        <v>146</v>
      </c>
      <c r="H74" s="188" t="s">
        <v>157</v>
      </c>
      <c r="I74" s="188" t="s">
        <v>158</v>
      </c>
      <c r="J74" s="188" t="s">
        <v>159</v>
      </c>
      <c r="K74" s="190"/>
      <c r="L74" s="190"/>
      <c r="M74" s="190"/>
      <c r="N74" s="190"/>
      <c r="O74" s="114"/>
      <c r="P74" s="413" t="s">
        <v>160</v>
      </c>
      <c r="Q74" s="413"/>
      <c r="R74" s="413"/>
      <c r="S74" s="413"/>
      <c r="T74" s="186"/>
      <c r="U74" s="113"/>
      <c r="V74" s="113"/>
      <c r="W74" s="52" t="e">
        <f>IF(H26&lt;351,+IF(#REF!=AA23,0,250),+IF(#REF!=AA23,0,0))</f>
        <v>#REF!</v>
      </c>
      <c r="AA74" s="191"/>
    </row>
    <row r="75" spans="2:31" ht="20.25" customHeight="1" x14ac:dyDescent="0.4">
      <c r="B75" s="59"/>
      <c r="C75" s="400" t="s">
        <v>161</v>
      </c>
      <c r="D75" s="400"/>
      <c r="E75" s="192">
        <f>J70</f>
        <v>0</v>
      </c>
      <c r="F75" s="193">
        <f>M70</f>
        <v>0</v>
      </c>
      <c r="G75" s="194">
        <f>N70</f>
        <v>0</v>
      </c>
      <c r="H75" s="195">
        <v>0</v>
      </c>
      <c r="I75" s="196">
        <f t="shared" ref="I75:I83" si="14">(E75*H75)</f>
        <v>0</v>
      </c>
      <c r="J75" s="192">
        <f>E75+F75+G75-I75</f>
        <v>0</v>
      </c>
      <c r="K75" s="197"/>
      <c r="L75" s="197"/>
      <c r="M75" s="197"/>
      <c r="N75" s="197"/>
      <c r="O75" s="114"/>
      <c r="P75" s="415" t="s">
        <v>162</v>
      </c>
      <c r="Q75" s="415"/>
      <c r="R75" s="415"/>
      <c r="S75" s="198">
        <f>J82</f>
        <v>0</v>
      </c>
      <c r="T75" s="186"/>
      <c r="U75" s="113"/>
      <c r="V75" s="113"/>
    </row>
    <row r="76" spans="2:31" ht="22.5" customHeight="1" x14ac:dyDescent="0.4">
      <c r="B76" s="59"/>
      <c r="C76" s="416" t="s">
        <v>163</v>
      </c>
      <c r="D76" s="417"/>
      <c r="E76" s="192">
        <f>J75-P70</f>
        <v>0</v>
      </c>
      <c r="F76" s="199"/>
      <c r="G76" s="200"/>
      <c r="H76" s="195">
        <v>0</v>
      </c>
      <c r="I76" s="196">
        <f t="shared" si="14"/>
        <v>0</v>
      </c>
      <c r="J76" s="192">
        <f>E76+F76+G76-I76</f>
        <v>0</v>
      </c>
      <c r="K76" s="197"/>
      <c r="L76" s="197"/>
      <c r="M76" s="197"/>
      <c r="N76" s="197"/>
      <c r="O76" s="114"/>
      <c r="P76" s="412" t="s">
        <v>164</v>
      </c>
      <c r="Q76" s="412"/>
      <c r="R76" s="412"/>
      <c r="S76" s="201">
        <f>J76</f>
        <v>0</v>
      </c>
      <c r="T76" s="186"/>
      <c r="U76" s="113"/>
      <c r="V76" s="113"/>
    </row>
    <row r="77" spans="2:31" ht="20.25" customHeight="1" x14ac:dyDescent="0.4">
      <c r="B77" s="59"/>
      <c r="C77" s="400" t="s">
        <v>165</v>
      </c>
      <c r="D77" s="400"/>
      <c r="E77" s="192">
        <f>SUMIF(E44:E69,"Consumables",J44:J69)</f>
        <v>0</v>
      </c>
      <c r="F77" s="202">
        <f>SUMIF(E44:E69,"consumables",M44:M69)</f>
        <v>0</v>
      </c>
      <c r="G77" s="202">
        <f>SUMIF(E44:E69,"consumables",N44:N69)</f>
        <v>0</v>
      </c>
      <c r="H77" s="195">
        <v>0</v>
      </c>
      <c r="I77" s="196">
        <f t="shared" si="14"/>
        <v>0</v>
      </c>
      <c r="J77" s="203">
        <f>E77+F77+G77</f>
        <v>0</v>
      </c>
      <c r="K77" s="197"/>
      <c r="L77" s="197"/>
      <c r="M77" s="197"/>
      <c r="N77" s="197"/>
      <c r="O77" s="114"/>
      <c r="P77" s="412" t="s">
        <v>166</v>
      </c>
      <c r="Q77" s="412"/>
      <c r="R77" s="412"/>
      <c r="S77" s="204">
        <f>E85</f>
        <v>0</v>
      </c>
      <c r="T77" s="186"/>
      <c r="U77" s="113"/>
      <c r="V77" s="113"/>
    </row>
    <row r="78" spans="2:31" ht="20.25" customHeight="1" x14ac:dyDescent="0.4">
      <c r="B78" s="59"/>
      <c r="C78" s="405" t="s">
        <v>167</v>
      </c>
      <c r="D78" s="405"/>
      <c r="E78" s="192">
        <f>J75-E76-J77</f>
        <v>0</v>
      </c>
      <c r="F78" s="205"/>
      <c r="G78" s="200"/>
      <c r="H78" s="195">
        <v>0</v>
      </c>
      <c r="I78" s="196">
        <f t="shared" si="14"/>
        <v>0</v>
      </c>
      <c r="J78" s="192">
        <f>J75-J76-J77</f>
        <v>0</v>
      </c>
      <c r="K78" s="197"/>
      <c r="L78" s="197"/>
      <c r="M78" s="197"/>
      <c r="N78" s="197"/>
      <c r="O78" s="114"/>
      <c r="P78" s="412" t="s">
        <v>168</v>
      </c>
      <c r="Q78" s="412"/>
      <c r="R78" s="412"/>
      <c r="S78" s="204">
        <f>E86</f>
        <v>1000</v>
      </c>
      <c r="T78" s="206"/>
    </row>
    <row r="79" spans="2:31" ht="20.25" customHeight="1" x14ac:dyDescent="0.4">
      <c r="B79" s="59"/>
      <c r="C79" s="207"/>
      <c r="D79" s="207"/>
      <c r="E79" s="208"/>
      <c r="F79" s="209" t="s">
        <v>169</v>
      </c>
      <c r="G79" s="210" t="s">
        <v>170</v>
      </c>
      <c r="H79" s="211"/>
      <c r="I79" s="212"/>
      <c r="J79" s="208"/>
      <c r="K79" s="197"/>
      <c r="L79" s="197"/>
      <c r="M79" s="197"/>
      <c r="N79" s="197"/>
      <c r="O79" s="114"/>
      <c r="P79" s="213"/>
      <c r="Q79" s="213"/>
      <c r="R79" s="213"/>
      <c r="S79" s="204"/>
      <c r="T79" s="206"/>
    </row>
    <row r="80" spans="2:31" s="221" customFormat="1" ht="20.25" customHeight="1" x14ac:dyDescent="0.4">
      <c r="B80" s="214"/>
      <c r="C80" s="405" t="s">
        <v>171</v>
      </c>
      <c r="D80" s="405"/>
      <c r="E80" s="192">
        <f>(Q70+R70)</f>
        <v>0</v>
      </c>
      <c r="F80" s="215">
        <v>9</v>
      </c>
      <c r="G80" s="216">
        <v>9</v>
      </c>
      <c r="H80" s="195">
        <v>0</v>
      </c>
      <c r="I80" s="196">
        <f t="shared" si="14"/>
        <v>0</v>
      </c>
      <c r="J80" s="217">
        <f>E80+(E80*F80%)+(E80*G80%)</f>
        <v>0</v>
      </c>
      <c r="K80" s="218"/>
      <c r="L80" s="218"/>
      <c r="M80" s="218"/>
      <c r="N80" s="218"/>
      <c r="O80" s="114"/>
      <c r="P80" s="413" t="s">
        <v>172</v>
      </c>
      <c r="Q80" s="413"/>
      <c r="R80" s="413"/>
      <c r="S80" s="219">
        <f>SUM(S75:S78)</f>
        <v>1000</v>
      </c>
      <c r="T80" s="220"/>
    </row>
    <row r="81" spans="2:22" ht="20.25" customHeight="1" x14ac:dyDescent="0.4">
      <c r="B81" s="59"/>
      <c r="C81" s="400" t="s">
        <v>47</v>
      </c>
      <c r="D81" s="400"/>
      <c r="E81" s="192">
        <f>S70</f>
        <v>0</v>
      </c>
      <c r="F81" s="215">
        <f>F80</f>
        <v>9</v>
      </c>
      <c r="G81" s="216">
        <f>G80</f>
        <v>9</v>
      </c>
      <c r="H81" s="195">
        <v>0</v>
      </c>
      <c r="I81" s="196">
        <f t="shared" si="14"/>
        <v>0</v>
      </c>
      <c r="J81" s="217">
        <f>E81+(E81*F81%)+(E81*G81%)</f>
        <v>0</v>
      </c>
      <c r="K81" s="218"/>
      <c r="L81" s="218"/>
      <c r="M81" s="218"/>
      <c r="N81" s="218"/>
      <c r="O81" s="114"/>
      <c r="P81" s="222"/>
      <c r="Q81" s="114"/>
      <c r="R81" s="114"/>
      <c r="S81" s="223"/>
      <c r="T81" s="206"/>
    </row>
    <row r="82" spans="2:22" ht="20.25" customHeight="1" x14ac:dyDescent="0.4">
      <c r="B82" s="59"/>
      <c r="C82" s="414" t="s">
        <v>87</v>
      </c>
      <c r="D82" s="414"/>
      <c r="E82" s="192">
        <f>IF(C82=AE15,0,IF(C82=AE16,(E80+E81)*12.5%,IF(C82=AE17,S70*50%,IF(C82=AE18,S70*12.5%,))))</f>
        <v>0</v>
      </c>
      <c r="F82" s="215">
        <f>F80</f>
        <v>9</v>
      </c>
      <c r="G82" s="216">
        <f>G80</f>
        <v>9</v>
      </c>
      <c r="H82" s="195">
        <v>0</v>
      </c>
      <c r="I82" s="196">
        <f t="shared" si="14"/>
        <v>0</v>
      </c>
      <c r="J82" s="217">
        <f>E82+(E82*F82%)+(E82*G82%)</f>
        <v>0</v>
      </c>
      <c r="K82" s="218"/>
      <c r="L82" s="218"/>
      <c r="M82" s="218"/>
      <c r="N82" s="218"/>
      <c r="O82" s="114"/>
      <c r="P82" s="413" t="s">
        <v>173</v>
      </c>
      <c r="Q82" s="413"/>
      <c r="R82" s="413"/>
      <c r="S82" s="413"/>
      <c r="T82" s="206"/>
    </row>
    <row r="83" spans="2:22" ht="20.25" customHeight="1" x14ac:dyDescent="0.4">
      <c r="B83" s="59"/>
      <c r="C83" s="405" t="s">
        <v>174</v>
      </c>
      <c r="D83" s="405"/>
      <c r="E83" s="192">
        <f>(E81-E82)</f>
        <v>0</v>
      </c>
      <c r="F83" s="215">
        <f>F80</f>
        <v>9</v>
      </c>
      <c r="G83" s="216">
        <f>G80</f>
        <v>9</v>
      </c>
      <c r="H83" s="195">
        <v>0</v>
      </c>
      <c r="I83" s="196">
        <f t="shared" si="14"/>
        <v>0</v>
      </c>
      <c r="J83" s="217">
        <f>E83+(E83*F83%)+(E83*G83%)</f>
        <v>0</v>
      </c>
      <c r="K83" s="218"/>
      <c r="L83" s="218"/>
      <c r="M83" s="218"/>
      <c r="N83" s="218"/>
      <c r="O83" s="114"/>
      <c r="P83" s="406" t="s">
        <v>175</v>
      </c>
      <c r="Q83" s="406"/>
      <c r="R83" s="406"/>
      <c r="S83" s="192">
        <f>(J78+J80+J83+E84)-(E86)-(E85)</f>
        <v>-1000</v>
      </c>
      <c r="T83" s="206"/>
    </row>
    <row r="84" spans="2:22" ht="20.25" customHeight="1" x14ac:dyDescent="0.4">
      <c r="B84" s="59"/>
      <c r="C84" s="224" t="s">
        <v>176</v>
      </c>
      <c r="D84" s="224"/>
      <c r="E84" s="225">
        <v>0</v>
      </c>
      <c r="F84" s="226"/>
      <c r="G84" s="226"/>
      <c r="H84" s="226"/>
      <c r="I84" s="226"/>
      <c r="J84" s="226"/>
      <c r="K84" s="153"/>
      <c r="L84" s="153"/>
      <c r="M84" s="153"/>
      <c r="N84" s="153"/>
      <c r="O84" s="114"/>
      <c r="P84" s="407" t="s">
        <v>112</v>
      </c>
      <c r="Q84" s="407"/>
      <c r="R84" s="407"/>
      <c r="S84" s="227">
        <f>IF(P84=AA23,0,IF(P84=AA24,S75+S76))</f>
        <v>0</v>
      </c>
      <c r="T84" s="206"/>
    </row>
    <row r="85" spans="2:22" ht="20.25" customHeight="1" x14ac:dyDescent="0.4">
      <c r="B85" s="59"/>
      <c r="C85" s="408" t="s">
        <v>177</v>
      </c>
      <c r="D85" s="409"/>
      <c r="E85" s="225"/>
      <c r="F85" s="153"/>
      <c r="G85" s="153"/>
      <c r="H85" s="153"/>
      <c r="I85" s="153"/>
      <c r="J85" s="153"/>
      <c r="K85" s="153"/>
      <c r="L85" s="153"/>
      <c r="M85" s="153"/>
      <c r="N85" s="153"/>
      <c r="O85" s="153"/>
      <c r="P85" s="410" t="s">
        <v>119</v>
      </c>
      <c r="Q85" s="410"/>
      <c r="R85" s="410"/>
      <c r="S85" s="227">
        <f>IF(P85=AA25,0,IF(P85=AA26,J77))</f>
        <v>0</v>
      </c>
      <c r="T85" s="206"/>
    </row>
    <row r="86" spans="2:22" ht="20.25" customHeight="1" x14ac:dyDescent="0.4">
      <c r="B86" s="59"/>
      <c r="C86" s="408" t="s">
        <v>178</v>
      </c>
      <c r="D86" s="409"/>
      <c r="E86" s="371">
        <f>IF(H26&lt;=1500,1000,2000)</f>
        <v>1000</v>
      </c>
      <c r="F86" s="153"/>
      <c r="G86" s="153"/>
      <c r="H86" s="153"/>
      <c r="I86" s="153"/>
      <c r="J86" s="153"/>
      <c r="K86" s="153"/>
      <c r="L86" s="153"/>
      <c r="M86" s="153"/>
      <c r="N86" s="153"/>
      <c r="O86" s="153"/>
      <c r="P86" s="411" t="s">
        <v>179</v>
      </c>
      <c r="Q86" s="411"/>
      <c r="R86" s="411"/>
      <c r="S86" s="228">
        <f>SUM(S83:S85)</f>
        <v>-1000</v>
      </c>
      <c r="T86" s="206"/>
      <c r="V86" s="229"/>
    </row>
    <row r="87" spans="2:22" ht="20.25" customHeight="1" x14ac:dyDescent="0.4">
      <c r="B87" s="59"/>
      <c r="C87" s="120"/>
      <c r="D87" s="120"/>
      <c r="E87" s="120"/>
      <c r="F87" s="153"/>
      <c r="G87" s="153"/>
      <c r="H87" s="153"/>
      <c r="I87" s="153"/>
      <c r="J87" s="153"/>
      <c r="K87" s="153"/>
      <c r="L87" s="153"/>
      <c r="M87" s="153"/>
      <c r="N87" s="153"/>
      <c r="O87" s="153"/>
      <c r="P87" s="153"/>
      <c r="Q87" s="230"/>
      <c r="R87" s="230" t="s">
        <v>180</v>
      </c>
      <c r="S87" s="230"/>
      <c r="T87" s="206"/>
    </row>
    <row r="88" spans="2:22" ht="20.25" customHeight="1" x14ac:dyDescent="0.4">
      <c r="B88" s="59"/>
      <c r="C88" s="120"/>
      <c r="D88" s="120"/>
      <c r="E88" s="120"/>
      <c r="F88" s="153"/>
      <c r="G88" s="153"/>
      <c r="H88" s="153"/>
      <c r="I88" s="153"/>
      <c r="J88" s="153"/>
      <c r="K88" s="153"/>
      <c r="L88" s="153"/>
      <c r="M88" s="153"/>
      <c r="N88" s="153"/>
      <c r="O88" s="153"/>
      <c r="P88" s="153"/>
      <c r="Q88" s="400" t="s">
        <v>181</v>
      </c>
      <c r="R88" s="400"/>
      <c r="S88" s="231">
        <f>J80+E84</f>
        <v>0</v>
      </c>
      <c r="T88" s="206"/>
    </row>
    <row r="89" spans="2:22" ht="21.75" customHeight="1" x14ac:dyDescent="0.4">
      <c r="B89" s="59"/>
      <c r="C89" s="120"/>
      <c r="D89" s="120"/>
      <c r="E89" s="120"/>
      <c r="F89" s="153"/>
      <c r="G89" s="153"/>
      <c r="H89" s="153"/>
      <c r="I89" s="153"/>
      <c r="J89" s="153"/>
      <c r="K89" s="153"/>
      <c r="L89" s="153"/>
      <c r="M89" s="153"/>
      <c r="N89" s="153"/>
      <c r="O89" s="153"/>
      <c r="P89" s="153"/>
      <c r="Q89" s="400" t="s">
        <v>36</v>
      </c>
      <c r="R89" s="400"/>
      <c r="S89" s="232">
        <f>J83</f>
        <v>0</v>
      </c>
      <c r="T89" s="206"/>
    </row>
    <row r="90" spans="2:22" ht="21.75" customHeight="1" x14ac:dyDescent="0.4">
      <c r="B90" s="59"/>
      <c r="C90" s="233"/>
      <c r="D90" s="234"/>
      <c r="E90" s="234"/>
      <c r="F90" s="153"/>
      <c r="G90" s="153"/>
      <c r="H90" s="235"/>
      <c r="I90" s="153"/>
      <c r="J90" s="153"/>
      <c r="K90" s="153"/>
      <c r="L90" s="153"/>
      <c r="M90" s="153"/>
      <c r="N90" s="153"/>
      <c r="O90" s="153"/>
      <c r="P90" s="153"/>
      <c r="Q90" s="400" t="s">
        <v>151</v>
      </c>
      <c r="R90" s="400"/>
      <c r="S90" s="232">
        <f>J78-E86</f>
        <v>-1000</v>
      </c>
      <c r="T90" s="206"/>
    </row>
    <row r="91" spans="2:22" ht="23" x14ac:dyDescent="0.5">
      <c r="B91" s="59"/>
      <c r="C91" s="233" t="s">
        <v>182</v>
      </c>
      <c r="D91" s="234"/>
      <c r="E91" s="234"/>
      <c r="F91" s="401" t="s">
        <v>183</v>
      </c>
      <c r="G91" s="401"/>
      <c r="H91" s="402">
        <v>0</v>
      </c>
      <c r="I91" s="403"/>
      <c r="J91" s="404"/>
      <c r="K91" s="236"/>
      <c r="L91" s="236"/>
      <c r="M91" s="236"/>
      <c r="N91" s="236"/>
      <c r="O91" s="234"/>
      <c r="P91" s="234"/>
      <c r="Q91" s="400" t="s">
        <v>184</v>
      </c>
      <c r="R91" s="400"/>
      <c r="S91" s="237">
        <f>S84-E85</f>
        <v>0</v>
      </c>
      <c r="T91" s="206"/>
    </row>
    <row r="92" spans="2:22" ht="20" x14ac:dyDescent="0.4">
      <c r="B92" s="59"/>
      <c r="C92" s="233"/>
      <c r="D92" s="234"/>
      <c r="E92" s="234"/>
      <c r="F92" s="234"/>
      <c r="G92" s="234"/>
      <c r="H92" s="234"/>
      <c r="I92" s="234"/>
      <c r="J92" s="234"/>
      <c r="K92" s="234"/>
      <c r="L92" s="234"/>
      <c r="M92" s="234"/>
      <c r="N92" s="234"/>
      <c r="O92" s="234"/>
      <c r="P92" s="234"/>
      <c r="Q92" s="396" t="s">
        <v>185</v>
      </c>
      <c r="R92" s="396"/>
      <c r="S92" s="238">
        <f>S85</f>
        <v>0</v>
      </c>
      <c r="T92" s="206"/>
    </row>
    <row r="93" spans="2:22" ht="20" x14ac:dyDescent="0.4">
      <c r="B93" s="59"/>
      <c r="C93" s="233"/>
      <c r="D93" s="234"/>
      <c r="E93" s="234"/>
      <c r="F93" s="234"/>
      <c r="G93" s="234"/>
      <c r="H93" s="234"/>
      <c r="I93" s="234"/>
      <c r="J93" s="234"/>
      <c r="K93" s="234"/>
      <c r="L93" s="234"/>
      <c r="M93" s="234"/>
      <c r="N93" s="234"/>
      <c r="O93" s="234"/>
      <c r="P93" s="234"/>
      <c r="Q93" s="234"/>
      <c r="R93" s="239" t="s">
        <v>152</v>
      </c>
      <c r="S93" s="232">
        <f>S88+S89+S90+S91+S92</f>
        <v>-1000</v>
      </c>
      <c r="T93" s="206"/>
    </row>
    <row r="94" spans="2:22" ht="20" x14ac:dyDescent="0.4">
      <c r="B94" s="59"/>
      <c r="C94" s="240" t="s">
        <v>186</v>
      </c>
      <c r="D94" s="240"/>
      <c r="E94" s="240"/>
      <c r="F94" s="64" t="s">
        <v>187</v>
      </c>
      <c r="G94" s="241"/>
      <c r="H94" s="241">
        <f>SUMIF(E44:E69,"Metal",J44:J69)</f>
        <v>0</v>
      </c>
      <c r="I94" s="234">
        <f>COUNTIF(E44:E69,"Metal")</f>
        <v>0</v>
      </c>
      <c r="J94" s="233" t="s">
        <v>188</v>
      </c>
      <c r="K94" s="233"/>
      <c r="L94" s="233"/>
      <c r="M94" s="233"/>
      <c r="N94" s="233"/>
      <c r="P94" s="234"/>
      <c r="Q94" s="234"/>
      <c r="R94" s="62"/>
      <c r="S94" s="63"/>
    </row>
    <row r="95" spans="2:22" ht="20" x14ac:dyDescent="0.4">
      <c r="B95" s="59"/>
      <c r="C95" s="234"/>
      <c r="D95" s="234"/>
      <c r="E95" s="234"/>
      <c r="F95" s="64" t="s">
        <v>189</v>
      </c>
      <c r="G95" s="233"/>
      <c r="H95" s="233">
        <f>SUMIF(E44:E69,"Glass",J44:J69)</f>
        <v>0</v>
      </c>
      <c r="I95" s="234">
        <f>COUNTIF(E44:E69,"Glass")</f>
        <v>0</v>
      </c>
      <c r="J95" s="234"/>
      <c r="K95" s="234"/>
      <c r="L95" s="234"/>
      <c r="M95" s="234"/>
      <c r="N95" s="234"/>
      <c r="O95" s="62"/>
      <c r="P95" s="234"/>
      <c r="Q95" s="242"/>
      <c r="R95" s="62"/>
      <c r="S95" s="63"/>
    </row>
    <row r="96" spans="2:22" ht="20" x14ac:dyDescent="0.4">
      <c r="B96" s="59"/>
      <c r="C96" s="233" t="s">
        <v>190</v>
      </c>
      <c r="D96" s="243"/>
      <c r="E96" s="243"/>
      <c r="F96" s="64" t="s">
        <v>191</v>
      </c>
      <c r="G96" s="244"/>
      <c r="H96" s="233">
        <f>SUMIF(E44:E69,"Plastic/Rubber",J44:J69)</f>
        <v>0</v>
      </c>
      <c r="I96" s="234">
        <f>COUNTIF(E44:E69,"Plastic/Rubber")</f>
        <v>0</v>
      </c>
      <c r="J96" s="234"/>
      <c r="K96" s="234"/>
      <c r="L96" s="234"/>
      <c r="M96" s="234"/>
      <c r="N96" s="234"/>
      <c r="O96" s="233"/>
      <c r="P96" s="233"/>
      <c r="Q96" s="233"/>
      <c r="R96" s="62"/>
      <c r="S96" s="63"/>
    </row>
    <row r="97" spans="2:19" ht="20" x14ac:dyDescent="0.4">
      <c r="B97" s="59"/>
      <c r="C97" s="62"/>
      <c r="D97" s="62"/>
      <c r="E97" s="62"/>
      <c r="F97" s="64" t="s">
        <v>254</v>
      </c>
      <c r="G97" s="131"/>
      <c r="H97" s="233">
        <f>SUMIF(E44:E69,"Consumable",J44:J69)</f>
        <v>0</v>
      </c>
      <c r="I97" s="234">
        <f>COUNTIF(E44:E69,"Consumables")</f>
        <v>0</v>
      </c>
      <c r="J97" s="62"/>
      <c r="K97" s="62"/>
      <c r="L97" s="62"/>
      <c r="M97" s="62"/>
      <c r="N97" s="62"/>
      <c r="O97" s="62"/>
      <c r="P97" s="62"/>
      <c r="Q97" s="62"/>
      <c r="R97" s="62"/>
      <c r="S97" s="63"/>
    </row>
    <row r="98" spans="2:19" x14ac:dyDescent="0.35">
      <c r="B98" s="245"/>
      <c r="C98" s="246"/>
      <c r="D98" s="246"/>
      <c r="E98" s="246"/>
      <c r="G98" s="246"/>
      <c r="H98" s="246"/>
      <c r="I98" s="246"/>
      <c r="J98" s="246"/>
      <c r="K98" s="246"/>
      <c r="L98" s="246"/>
      <c r="M98" s="246"/>
      <c r="N98" s="246"/>
      <c r="O98" s="246"/>
      <c r="P98" s="246"/>
      <c r="Q98" s="246"/>
      <c r="R98" s="246"/>
      <c r="S98" s="247"/>
    </row>
    <row r="102" spans="2:19" x14ac:dyDescent="0.35">
      <c r="E102" s="336" t="s">
        <v>255</v>
      </c>
      <c r="F102" s="335">
        <f>+SUM(K44:L69)</f>
        <v>0</v>
      </c>
      <c r="P102" s="52">
        <f>854444-852837</f>
        <v>1607</v>
      </c>
      <c r="R102" s="52">
        <v>843960.1</v>
      </c>
      <c r="S102" s="52">
        <v>852444.57</v>
      </c>
    </row>
    <row r="103" spans="2:19" ht="22.5" x14ac:dyDescent="0.45">
      <c r="E103" s="377" t="s">
        <v>425</v>
      </c>
      <c r="F103" s="378"/>
      <c r="G103" s="379" t="s">
        <v>426</v>
      </c>
      <c r="R103" s="52">
        <v>1000</v>
      </c>
      <c r="S103" s="52">
        <v>2000</v>
      </c>
    </row>
    <row r="104" spans="2:19" ht="22.5" x14ac:dyDescent="0.45">
      <c r="E104" s="377" t="s">
        <v>427</v>
      </c>
      <c r="F104" s="378"/>
      <c r="G104" s="379" t="s">
        <v>426</v>
      </c>
      <c r="R104" s="52">
        <v>1445.02</v>
      </c>
    </row>
    <row r="105" spans="2:19" ht="22.5" x14ac:dyDescent="0.45">
      <c r="E105" s="377" t="s">
        <v>428</v>
      </c>
      <c r="F105" s="378"/>
      <c r="G105" s="379" t="s">
        <v>426</v>
      </c>
      <c r="R105" s="52">
        <f>517.19+6935.5</f>
        <v>7452.6900000000005</v>
      </c>
    </row>
    <row r="106" spans="2:19" ht="22.5" x14ac:dyDescent="0.45">
      <c r="E106" s="377" t="s">
        <v>429</v>
      </c>
      <c r="F106" s="378"/>
      <c r="G106" s="379" t="s">
        <v>426</v>
      </c>
      <c r="R106" s="52">
        <f>+R105*28%</f>
        <v>2086.7532000000006</v>
      </c>
    </row>
    <row r="107" spans="2:19" ht="22.5" x14ac:dyDescent="0.45">
      <c r="E107" s="377" t="s">
        <v>430</v>
      </c>
      <c r="G107" s="379" t="s">
        <v>426</v>
      </c>
    </row>
    <row r="108" spans="2:19" hidden="1" x14ac:dyDescent="0.35"/>
    <row r="109" spans="2:19" hidden="1" x14ac:dyDescent="0.35"/>
    <row r="110" spans="2:19" hidden="1" x14ac:dyDescent="0.35"/>
    <row r="111" spans="2:19" hidden="1" x14ac:dyDescent="0.35"/>
    <row r="112" spans="2:19" hidden="1" x14ac:dyDescent="0.35">
      <c r="C112" s="248" t="s">
        <v>192</v>
      </c>
      <c r="D112" s="249" t="s">
        <v>193</v>
      </c>
      <c r="E112" s="397" t="s">
        <v>141</v>
      </c>
      <c r="F112" s="398"/>
      <c r="G112" s="398"/>
      <c r="H112" s="398"/>
      <c r="I112" s="399"/>
      <c r="J112" s="249" t="s">
        <v>194</v>
      </c>
      <c r="K112" s="249"/>
      <c r="L112" s="249"/>
      <c r="M112" s="249"/>
      <c r="N112" s="249"/>
      <c r="O112" s="249" t="s">
        <v>195</v>
      </c>
      <c r="P112" s="249" t="s">
        <v>196</v>
      </c>
      <c r="Q112" s="249" t="s">
        <v>197</v>
      </c>
      <c r="R112" s="249" t="s">
        <v>198</v>
      </c>
      <c r="S112" s="249" t="s">
        <v>36</v>
      </c>
    </row>
    <row r="113" spans="3:19" hidden="1" x14ac:dyDescent="0.35">
      <c r="C113" s="248"/>
      <c r="D113" s="250"/>
      <c r="E113" s="250" t="s">
        <v>14</v>
      </c>
      <c r="F113" s="250"/>
      <c r="G113" s="250" t="s">
        <v>23</v>
      </c>
      <c r="H113" s="250" t="s">
        <v>24</v>
      </c>
      <c r="I113" s="250" t="s">
        <v>35</v>
      </c>
      <c r="J113" s="251"/>
      <c r="K113" s="251"/>
      <c r="L113" s="251"/>
      <c r="M113" s="251"/>
      <c r="N113" s="251"/>
      <c r="O113" s="250"/>
      <c r="P113" s="250"/>
      <c r="Q113" s="252"/>
      <c r="R113" s="250"/>
      <c r="S113" s="250"/>
    </row>
    <row r="114" spans="3:19" hidden="1" x14ac:dyDescent="0.35">
      <c r="C114" s="253"/>
      <c r="D114" s="253"/>
      <c r="E114" s="253" t="s">
        <v>15</v>
      </c>
      <c r="F114" s="253"/>
      <c r="G114" s="253"/>
      <c r="H114" s="253"/>
      <c r="I114" s="253"/>
      <c r="J114" s="253"/>
      <c r="K114" s="253"/>
      <c r="L114" s="253"/>
      <c r="M114" s="253"/>
      <c r="N114" s="253"/>
      <c r="O114" s="253"/>
      <c r="P114" s="253"/>
      <c r="Q114" s="253"/>
      <c r="R114" s="253"/>
      <c r="S114" s="253"/>
    </row>
    <row r="115" spans="3:19" hidden="1" x14ac:dyDescent="0.35">
      <c r="C115" s="253"/>
      <c r="D115" s="253"/>
      <c r="E115" s="253"/>
      <c r="F115" s="253"/>
      <c r="G115" s="253"/>
      <c r="H115" s="253"/>
      <c r="I115" s="253"/>
      <c r="J115" s="253" t="e">
        <f>DSUM(C41:S69,J41,C112:S114)</f>
        <v>#VALUE!</v>
      </c>
      <c r="K115" s="253"/>
      <c r="L115" s="253"/>
      <c r="M115" s="253"/>
      <c r="N115" s="253"/>
      <c r="O115" s="253"/>
      <c r="P115" s="253" t="e">
        <f>DSUM(C41:S69,P41,C112:S114)</f>
        <v>#VALUE!</v>
      </c>
      <c r="Q115" s="253"/>
      <c r="R115" s="253"/>
      <c r="S115" s="253"/>
    </row>
    <row r="116" spans="3:19" hidden="1" x14ac:dyDescent="0.35">
      <c r="C116" s="253"/>
      <c r="D116" s="253"/>
      <c r="E116" s="253"/>
      <c r="F116" s="253"/>
      <c r="G116" s="253"/>
      <c r="H116" s="253"/>
      <c r="I116" s="253"/>
      <c r="J116" s="253"/>
      <c r="K116" s="253"/>
      <c r="L116" s="253"/>
      <c r="M116" s="253"/>
      <c r="N116" s="253"/>
      <c r="O116" s="253"/>
      <c r="P116" s="253"/>
      <c r="Q116" s="253"/>
      <c r="R116" s="253"/>
      <c r="S116" s="253"/>
    </row>
    <row r="117" spans="3:19" hidden="1" x14ac:dyDescent="0.35">
      <c r="C117" s="253"/>
      <c r="D117" s="253"/>
      <c r="E117" s="253"/>
      <c r="F117" s="253"/>
      <c r="G117" s="253"/>
      <c r="H117" s="253"/>
      <c r="I117" s="253"/>
      <c r="J117" s="253"/>
      <c r="K117" s="253"/>
      <c r="L117" s="253"/>
      <c r="M117" s="253"/>
      <c r="N117" s="253"/>
      <c r="O117" s="253"/>
      <c r="P117" s="253"/>
      <c r="Q117" s="253"/>
      <c r="R117" s="253"/>
      <c r="S117" s="253"/>
    </row>
    <row r="118" spans="3:19" hidden="1" x14ac:dyDescent="0.35">
      <c r="C118" s="253"/>
      <c r="D118" s="253"/>
      <c r="E118" s="253"/>
      <c r="F118" s="253"/>
      <c r="G118" s="253"/>
      <c r="H118" s="253"/>
      <c r="I118" s="253"/>
      <c r="J118" s="253"/>
      <c r="K118" s="253"/>
      <c r="L118" s="253"/>
      <c r="M118" s="253"/>
      <c r="N118" s="253"/>
      <c r="O118" s="253"/>
      <c r="P118" s="253"/>
      <c r="Q118" s="253"/>
      <c r="R118" s="253"/>
      <c r="S118" s="253"/>
    </row>
    <row r="119" spans="3:19" hidden="1" x14ac:dyDescent="0.35">
      <c r="C119" s="248" t="s">
        <v>192</v>
      </c>
      <c r="D119" s="249" t="s">
        <v>193</v>
      </c>
      <c r="E119" s="397" t="s">
        <v>141</v>
      </c>
      <c r="F119" s="398"/>
      <c r="G119" s="398"/>
      <c r="H119" s="398"/>
      <c r="I119" s="399"/>
      <c r="J119" s="249" t="s">
        <v>194</v>
      </c>
      <c r="K119" s="249"/>
      <c r="L119" s="249"/>
      <c r="M119" s="249"/>
      <c r="N119" s="249"/>
      <c r="O119" s="249" t="s">
        <v>195</v>
      </c>
      <c r="P119" s="249" t="s">
        <v>196</v>
      </c>
      <c r="Q119" s="249" t="s">
        <v>197</v>
      </c>
      <c r="R119" s="249" t="s">
        <v>198</v>
      </c>
      <c r="S119" s="249" t="s">
        <v>36</v>
      </c>
    </row>
    <row r="120" spans="3:19" hidden="1" x14ac:dyDescent="0.35">
      <c r="C120" s="248"/>
      <c r="D120" s="250"/>
      <c r="E120" s="250" t="s">
        <v>14</v>
      </c>
      <c r="F120" s="250"/>
      <c r="G120" s="250" t="s">
        <v>23</v>
      </c>
      <c r="H120" s="250" t="s">
        <v>24</v>
      </c>
      <c r="I120" s="250" t="s">
        <v>35</v>
      </c>
      <c r="J120" s="251"/>
      <c r="K120" s="251"/>
      <c r="L120" s="251"/>
      <c r="M120" s="251"/>
      <c r="N120" s="251"/>
      <c r="O120" s="250"/>
      <c r="P120" s="250"/>
      <c r="Q120" s="252"/>
      <c r="R120" s="250"/>
      <c r="S120" s="250"/>
    </row>
    <row r="121" spans="3:19" hidden="1" x14ac:dyDescent="0.35">
      <c r="C121" s="253"/>
      <c r="D121" s="253"/>
      <c r="E121" s="253" t="s">
        <v>16</v>
      </c>
      <c r="F121" s="253"/>
      <c r="G121" s="253"/>
      <c r="H121" s="253"/>
      <c r="I121" s="253"/>
      <c r="J121" s="253"/>
      <c r="K121" s="253"/>
      <c r="L121" s="253"/>
      <c r="M121" s="253"/>
      <c r="N121" s="253"/>
      <c r="O121" s="253"/>
      <c r="P121" s="253"/>
      <c r="Q121" s="253"/>
      <c r="R121" s="253"/>
      <c r="S121" s="253"/>
    </row>
    <row r="122" spans="3:19" hidden="1" x14ac:dyDescent="0.35">
      <c r="C122" s="253"/>
      <c r="D122" s="253"/>
      <c r="E122" s="253"/>
      <c r="F122" s="253"/>
      <c r="G122" s="253"/>
      <c r="H122" s="253"/>
      <c r="I122" s="253"/>
      <c r="J122" s="253" t="e">
        <f>DSUM(C41:S49,J41,C119:S121)</f>
        <v>#VALUE!</v>
      </c>
      <c r="K122" s="253"/>
      <c r="L122" s="253"/>
      <c r="M122" s="253"/>
      <c r="N122" s="253"/>
      <c r="O122" s="253"/>
      <c r="P122" s="253" t="e">
        <f>DSUM(E41:T49,P41,E119:T121)</f>
        <v>#VALUE!</v>
      </c>
      <c r="Q122" s="253"/>
      <c r="R122" s="253"/>
      <c r="S122" s="253"/>
    </row>
    <row r="123" spans="3:19" hidden="1" x14ac:dyDescent="0.35">
      <c r="C123" s="253"/>
      <c r="D123" s="253"/>
      <c r="E123" s="253"/>
      <c r="F123" s="253"/>
      <c r="G123" s="253"/>
      <c r="H123" s="253"/>
      <c r="I123" s="253"/>
      <c r="J123" s="253"/>
      <c r="K123" s="253"/>
      <c r="L123" s="253"/>
      <c r="M123" s="253"/>
      <c r="N123" s="253"/>
      <c r="O123" s="253"/>
      <c r="P123" s="253"/>
      <c r="Q123" s="253"/>
      <c r="R123" s="253"/>
      <c r="S123" s="253"/>
    </row>
    <row r="124" spans="3:19" hidden="1" x14ac:dyDescent="0.35">
      <c r="C124" s="253"/>
      <c r="D124" s="253"/>
      <c r="E124" s="253"/>
      <c r="F124" s="253"/>
      <c r="G124" s="253"/>
      <c r="H124" s="253"/>
      <c r="I124" s="253"/>
      <c r="J124" s="253"/>
      <c r="K124" s="253"/>
      <c r="L124" s="253"/>
      <c r="M124" s="253"/>
      <c r="N124" s="253"/>
      <c r="O124" s="253"/>
      <c r="P124" s="253"/>
      <c r="Q124" s="253"/>
      <c r="R124" s="253"/>
      <c r="S124" s="253"/>
    </row>
    <row r="125" spans="3:19" hidden="1" x14ac:dyDescent="0.35">
      <c r="C125" s="253"/>
      <c r="D125" s="253"/>
      <c r="E125" s="253"/>
      <c r="F125" s="253"/>
      <c r="G125" s="253"/>
      <c r="H125" s="253"/>
      <c r="I125" s="253"/>
      <c r="J125" s="253"/>
      <c r="K125" s="253"/>
      <c r="L125" s="253"/>
      <c r="M125" s="253"/>
      <c r="N125" s="253"/>
      <c r="O125" s="253"/>
      <c r="P125" s="253"/>
      <c r="Q125" s="253"/>
      <c r="R125" s="253"/>
      <c r="S125" s="253"/>
    </row>
    <row r="126" spans="3:19" hidden="1" x14ac:dyDescent="0.35">
      <c r="C126" s="248" t="s">
        <v>192</v>
      </c>
      <c r="D126" s="249" t="s">
        <v>193</v>
      </c>
      <c r="E126" s="397" t="s">
        <v>141</v>
      </c>
      <c r="F126" s="398"/>
      <c r="G126" s="398"/>
      <c r="H126" s="398"/>
      <c r="I126" s="399"/>
      <c r="J126" s="249" t="s">
        <v>194</v>
      </c>
      <c r="K126" s="249"/>
      <c r="L126" s="249"/>
      <c r="M126" s="249"/>
      <c r="N126" s="249"/>
      <c r="O126" s="249" t="s">
        <v>195</v>
      </c>
      <c r="P126" s="249" t="s">
        <v>196</v>
      </c>
      <c r="Q126" s="249" t="s">
        <v>197</v>
      </c>
      <c r="R126" s="249" t="s">
        <v>198</v>
      </c>
      <c r="S126" s="249" t="s">
        <v>36</v>
      </c>
    </row>
    <row r="127" spans="3:19" hidden="1" x14ac:dyDescent="0.35">
      <c r="C127" s="248"/>
      <c r="D127" s="250"/>
      <c r="E127" s="250" t="s">
        <v>14</v>
      </c>
      <c r="F127" s="250"/>
      <c r="G127" s="250" t="s">
        <v>23</v>
      </c>
      <c r="H127" s="250" t="s">
        <v>24</v>
      </c>
      <c r="I127" s="250" t="s">
        <v>35</v>
      </c>
      <c r="J127" s="251"/>
      <c r="K127" s="251"/>
      <c r="L127" s="251"/>
      <c r="M127" s="251"/>
      <c r="N127" s="251"/>
      <c r="O127" s="250"/>
      <c r="P127" s="250"/>
      <c r="Q127" s="252"/>
      <c r="R127" s="250"/>
      <c r="S127" s="250"/>
    </row>
    <row r="128" spans="3:19" hidden="1" x14ac:dyDescent="0.35">
      <c r="C128" s="253"/>
      <c r="D128" s="253"/>
      <c r="E128" s="253" t="s">
        <v>17</v>
      </c>
      <c r="F128" s="253"/>
      <c r="G128" s="253"/>
      <c r="H128" s="253"/>
      <c r="I128" s="253"/>
      <c r="J128" s="253"/>
      <c r="K128" s="253"/>
      <c r="L128" s="253"/>
      <c r="M128" s="253"/>
      <c r="N128" s="253"/>
      <c r="O128" s="253"/>
      <c r="P128" s="253"/>
      <c r="Q128" s="253"/>
      <c r="R128" s="253"/>
      <c r="S128" s="253"/>
    </row>
    <row r="129" spans="3:19" hidden="1" x14ac:dyDescent="0.35">
      <c r="C129" s="253"/>
      <c r="D129" s="253"/>
      <c r="E129" s="253"/>
      <c r="F129" s="253"/>
      <c r="G129" s="253"/>
      <c r="H129" s="253"/>
      <c r="I129" s="253" t="e">
        <f>DSUM(C41:S49,J41,C126:S128)</f>
        <v>#VALUE!</v>
      </c>
      <c r="J129" s="253"/>
      <c r="K129" s="253"/>
      <c r="L129" s="253"/>
      <c r="M129" s="253"/>
      <c r="N129" s="253"/>
      <c r="O129" s="253" t="e">
        <f>DSUM(E41:T49,P41,E126:T128)</f>
        <v>#VALUE!</v>
      </c>
      <c r="P129" s="253"/>
      <c r="Q129" s="253"/>
      <c r="R129" s="253"/>
      <c r="S129" s="253"/>
    </row>
    <row r="130" spans="3:19" hidden="1" x14ac:dyDescent="0.35"/>
    <row r="131" spans="3:19" hidden="1" x14ac:dyDescent="0.35"/>
    <row r="132" spans="3:19" hidden="1" x14ac:dyDescent="0.35"/>
    <row r="133" spans="3:19" hidden="1" x14ac:dyDescent="0.35"/>
    <row r="134" spans="3:19" hidden="1" x14ac:dyDescent="0.35"/>
    <row r="135" spans="3:19" hidden="1" x14ac:dyDescent="0.35"/>
    <row r="136" spans="3:19" hidden="1" x14ac:dyDescent="0.35"/>
    <row r="137" spans="3:19" hidden="1" x14ac:dyDescent="0.35"/>
    <row r="138" spans="3:19" hidden="1" x14ac:dyDescent="0.35"/>
    <row r="139" spans="3:19" hidden="1" x14ac:dyDescent="0.35"/>
    <row r="140" spans="3:19" hidden="1" x14ac:dyDescent="0.35"/>
    <row r="141" spans="3:19" hidden="1" x14ac:dyDescent="0.35"/>
    <row r="142" spans="3:19" hidden="1" x14ac:dyDescent="0.35"/>
    <row r="143" spans="3:19" hidden="1" x14ac:dyDescent="0.35"/>
    <row r="144" spans="3:19" hidden="1" x14ac:dyDescent="0.35"/>
    <row r="145" spans="18:18" hidden="1" x14ac:dyDescent="0.35"/>
    <row r="146" spans="18:18" hidden="1" x14ac:dyDescent="0.35"/>
    <row r="147" spans="18:18" hidden="1" x14ac:dyDescent="0.35"/>
    <row r="148" spans="18:18" hidden="1" x14ac:dyDescent="0.35"/>
    <row r="149" spans="18:18" hidden="1" x14ac:dyDescent="0.35"/>
    <row r="150" spans="18:18" hidden="1" x14ac:dyDescent="0.35"/>
    <row r="151" spans="18:18" hidden="1" x14ac:dyDescent="0.35"/>
    <row r="152" spans="18:18" hidden="1" x14ac:dyDescent="0.35"/>
    <row r="153" spans="18:18" hidden="1" x14ac:dyDescent="0.35"/>
    <row r="154" spans="18:18" hidden="1" x14ac:dyDescent="0.35"/>
    <row r="155" spans="18:18" hidden="1" x14ac:dyDescent="0.35"/>
    <row r="156" spans="18:18" hidden="1" x14ac:dyDescent="0.35"/>
    <row r="157" spans="18:18" hidden="1" x14ac:dyDescent="0.35"/>
    <row r="158" spans="18:18" hidden="1" x14ac:dyDescent="0.35"/>
    <row r="159" spans="18:18" x14ac:dyDescent="0.35">
      <c r="R159" s="52">
        <f>SUM(R101:R158)</f>
        <v>855944.56319999998</v>
      </c>
    </row>
    <row r="160" spans="18:18" x14ac:dyDescent="0.35">
      <c r="R160" s="52">
        <v>1500</v>
      </c>
    </row>
    <row r="161" spans="18:18" x14ac:dyDescent="0.35">
      <c r="R161" s="52">
        <f>+R159-R160</f>
        <v>854444.56319999998</v>
      </c>
    </row>
  </sheetData>
  <dataConsolidate/>
  <mergeCells count="138">
    <mergeCell ref="C2:S4"/>
    <mergeCell ref="C5:S5"/>
    <mergeCell ref="C6:S6"/>
    <mergeCell ref="C8:S8"/>
    <mergeCell ref="AA9:AE9"/>
    <mergeCell ref="C10:D10"/>
    <mergeCell ref="H10:I10"/>
    <mergeCell ref="O10:Q10"/>
    <mergeCell ref="D14:G14"/>
    <mergeCell ref="H14:I14"/>
    <mergeCell ref="O14:P14"/>
    <mergeCell ref="Q14:R14"/>
    <mergeCell ref="O15:P15"/>
    <mergeCell ref="Q15:R15"/>
    <mergeCell ref="C12:I12"/>
    <mergeCell ref="O12:R12"/>
    <mergeCell ref="D13:G13"/>
    <mergeCell ref="H13:I13"/>
    <mergeCell ref="O13:P13"/>
    <mergeCell ref="Q13:R13"/>
    <mergeCell ref="O16:P16"/>
    <mergeCell ref="Q16:R16"/>
    <mergeCell ref="C23:D23"/>
    <mergeCell ref="N23:O23"/>
    <mergeCell ref="P23:Q23"/>
    <mergeCell ref="C24:D24"/>
    <mergeCell ref="F24:G24"/>
    <mergeCell ref="H24:I24"/>
    <mergeCell ref="N24:O24"/>
    <mergeCell ref="P24:Q24"/>
    <mergeCell ref="C21:I21"/>
    <mergeCell ref="O21:S21"/>
    <mergeCell ref="C22:D22"/>
    <mergeCell ref="F22:G22"/>
    <mergeCell ref="N22:O22"/>
    <mergeCell ref="P22:Q22"/>
    <mergeCell ref="E17:H17"/>
    <mergeCell ref="O17:P17"/>
    <mergeCell ref="Q17:R17"/>
    <mergeCell ref="E18:F18"/>
    <mergeCell ref="H18:I18"/>
    <mergeCell ref="O18:P18"/>
    <mergeCell ref="Q18:R18"/>
    <mergeCell ref="C19:E19"/>
    <mergeCell ref="G19:J19"/>
    <mergeCell ref="O19:Q19"/>
    <mergeCell ref="O32:S32"/>
    <mergeCell ref="C34:G34"/>
    <mergeCell ref="H34:I34"/>
    <mergeCell ref="C35:G35"/>
    <mergeCell ref="H35:I35"/>
    <mergeCell ref="Q35:R35"/>
    <mergeCell ref="O26:P26"/>
    <mergeCell ref="C27:D27"/>
    <mergeCell ref="F28:G28"/>
    <mergeCell ref="F29:G29"/>
    <mergeCell ref="O29:P29"/>
    <mergeCell ref="F30:G30"/>
    <mergeCell ref="O30:P30"/>
    <mergeCell ref="C26:D26"/>
    <mergeCell ref="F26:G26"/>
    <mergeCell ref="H26:I26"/>
    <mergeCell ref="C25:D25"/>
    <mergeCell ref="F25:G25"/>
    <mergeCell ref="H25:I25"/>
    <mergeCell ref="E41:G41"/>
    <mergeCell ref="E42:I42"/>
    <mergeCell ref="H43:I43"/>
    <mergeCell ref="H44:I44"/>
    <mergeCell ref="H45:I45"/>
    <mergeCell ref="H46:I46"/>
    <mergeCell ref="C37:E37"/>
    <mergeCell ref="G37:I37"/>
    <mergeCell ref="F31:G31"/>
    <mergeCell ref="C32:J32"/>
    <mergeCell ref="H68:I68"/>
    <mergeCell ref="P37:Q37"/>
    <mergeCell ref="C39:D39"/>
    <mergeCell ref="G39:I39"/>
    <mergeCell ref="O39:P39"/>
    <mergeCell ref="Q39:R39"/>
    <mergeCell ref="H53:I53"/>
    <mergeCell ref="H54:I54"/>
    <mergeCell ref="H55:I55"/>
    <mergeCell ref="C75:D75"/>
    <mergeCell ref="P75:R75"/>
    <mergeCell ref="C76:D76"/>
    <mergeCell ref="P76:R76"/>
    <mergeCell ref="C77:D77"/>
    <mergeCell ref="P77:R77"/>
    <mergeCell ref="H69:I69"/>
    <mergeCell ref="B71:S71"/>
    <mergeCell ref="C73:O73"/>
    <mergeCell ref="C74:D74"/>
    <mergeCell ref="P74:S74"/>
    <mergeCell ref="C83:D83"/>
    <mergeCell ref="P83:R83"/>
    <mergeCell ref="P84:R84"/>
    <mergeCell ref="C85:D85"/>
    <mergeCell ref="P85:R85"/>
    <mergeCell ref="C86:D86"/>
    <mergeCell ref="P86:R86"/>
    <mergeCell ref="C78:D78"/>
    <mergeCell ref="P78:R78"/>
    <mergeCell ref="C80:D80"/>
    <mergeCell ref="P80:R80"/>
    <mergeCell ref="C81:D81"/>
    <mergeCell ref="C82:D82"/>
    <mergeCell ref="P82:S82"/>
    <mergeCell ref="Q92:R92"/>
    <mergeCell ref="E112:I112"/>
    <mergeCell ref="E119:I119"/>
    <mergeCell ref="E126:I126"/>
    <mergeCell ref="Q88:R88"/>
    <mergeCell ref="Q89:R89"/>
    <mergeCell ref="Q90:R90"/>
    <mergeCell ref="F91:G91"/>
    <mergeCell ref="H91:J91"/>
    <mergeCell ref="Q91:R91"/>
    <mergeCell ref="T42:T43"/>
    <mergeCell ref="H64:I64"/>
    <mergeCell ref="H65:I65"/>
    <mergeCell ref="H66:I66"/>
    <mergeCell ref="H67:I67"/>
    <mergeCell ref="H56:I56"/>
    <mergeCell ref="H57:I57"/>
    <mergeCell ref="H47:I47"/>
    <mergeCell ref="H48:I48"/>
    <mergeCell ref="H49:I49"/>
    <mergeCell ref="H50:I50"/>
    <mergeCell ref="H51:I51"/>
    <mergeCell ref="H52:I52"/>
    <mergeCell ref="H58:I58"/>
    <mergeCell ref="H59:I59"/>
    <mergeCell ref="H60:I60"/>
    <mergeCell ref="H61:I61"/>
    <mergeCell ref="H62:I62"/>
    <mergeCell ref="H63:I63"/>
  </mergeCells>
  <dataValidations count="14">
    <dataValidation type="list" allowBlank="1" showInputMessage="1" showErrorMessage="1" sqref="C35:G35 IY35:JC35 SU35:SY35 ACQ35:ACU35 AMM35:AMQ35 AWI35:AWM35 BGE35:BGI35 BQA35:BQE35 BZW35:CAA35 CJS35:CJW35 CTO35:CTS35 DDK35:DDO35 DNG35:DNK35 DXC35:DXG35 EGY35:EHC35 EQU35:EQY35 FAQ35:FAU35 FKM35:FKQ35 FUI35:FUM35 GEE35:GEI35 GOA35:GOE35 GXW35:GYA35 HHS35:HHW35 HRO35:HRS35 IBK35:IBO35 ILG35:ILK35 IVC35:IVG35 JEY35:JFC35 JOU35:JOY35 JYQ35:JYU35 KIM35:KIQ35 KSI35:KSM35 LCE35:LCI35 LMA35:LME35 LVW35:LWA35 MFS35:MFW35 MPO35:MPS35 MZK35:MZO35 NJG35:NJK35 NTC35:NTG35 OCY35:ODC35 OMU35:OMY35 OWQ35:OWU35 PGM35:PGQ35 PQI35:PQM35 QAE35:QAI35 QKA35:QKE35 QTW35:QUA35 RDS35:RDW35 RNO35:RNS35 RXK35:RXO35 SHG35:SHK35 SRC35:SRG35 TAY35:TBC35 TKU35:TKY35 TUQ35:TUU35 UEM35:UEQ35 UOI35:UOM35 UYE35:UYI35 VIA35:VIE35 VRW35:VSA35 WBS35:WBW35 WLO35:WLS35 WVK35:WVO35 C65568:G65568 IY65568:JC65568 SU65568:SY65568 ACQ65568:ACU65568 AMM65568:AMQ65568 AWI65568:AWM65568 BGE65568:BGI65568 BQA65568:BQE65568 BZW65568:CAA65568 CJS65568:CJW65568 CTO65568:CTS65568 DDK65568:DDO65568 DNG65568:DNK65568 DXC65568:DXG65568 EGY65568:EHC65568 EQU65568:EQY65568 FAQ65568:FAU65568 FKM65568:FKQ65568 FUI65568:FUM65568 GEE65568:GEI65568 GOA65568:GOE65568 GXW65568:GYA65568 HHS65568:HHW65568 HRO65568:HRS65568 IBK65568:IBO65568 ILG65568:ILK65568 IVC65568:IVG65568 JEY65568:JFC65568 JOU65568:JOY65568 JYQ65568:JYU65568 KIM65568:KIQ65568 KSI65568:KSM65568 LCE65568:LCI65568 LMA65568:LME65568 LVW65568:LWA65568 MFS65568:MFW65568 MPO65568:MPS65568 MZK65568:MZO65568 NJG65568:NJK65568 NTC65568:NTG65568 OCY65568:ODC65568 OMU65568:OMY65568 OWQ65568:OWU65568 PGM65568:PGQ65568 PQI65568:PQM65568 QAE65568:QAI65568 QKA65568:QKE65568 QTW65568:QUA65568 RDS65568:RDW65568 RNO65568:RNS65568 RXK65568:RXO65568 SHG65568:SHK65568 SRC65568:SRG65568 TAY65568:TBC65568 TKU65568:TKY65568 TUQ65568:TUU65568 UEM65568:UEQ65568 UOI65568:UOM65568 UYE65568:UYI65568 VIA65568:VIE65568 VRW65568:VSA65568 WBS65568:WBW65568 WLO65568:WLS65568 WVK65568:WVO65568 C131104:G131104 IY131104:JC131104 SU131104:SY131104 ACQ131104:ACU131104 AMM131104:AMQ131104 AWI131104:AWM131104 BGE131104:BGI131104 BQA131104:BQE131104 BZW131104:CAA131104 CJS131104:CJW131104 CTO131104:CTS131104 DDK131104:DDO131104 DNG131104:DNK131104 DXC131104:DXG131104 EGY131104:EHC131104 EQU131104:EQY131104 FAQ131104:FAU131104 FKM131104:FKQ131104 FUI131104:FUM131104 GEE131104:GEI131104 GOA131104:GOE131104 GXW131104:GYA131104 HHS131104:HHW131104 HRO131104:HRS131104 IBK131104:IBO131104 ILG131104:ILK131104 IVC131104:IVG131104 JEY131104:JFC131104 JOU131104:JOY131104 JYQ131104:JYU131104 KIM131104:KIQ131104 KSI131104:KSM131104 LCE131104:LCI131104 LMA131104:LME131104 LVW131104:LWA131104 MFS131104:MFW131104 MPO131104:MPS131104 MZK131104:MZO131104 NJG131104:NJK131104 NTC131104:NTG131104 OCY131104:ODC131104 OMU131104:OMY131104 OWQ131104:OWU131104 PGM131104:PGQ131104 PQI131104:PQM131104 QAE131104:QAI131104 QKA131104:QKE131104 QTW131104:QUA131104 RDS131104:RDW131104 RNO131104:RNS131104 RXK131104:RXO131104 SHG131104:SHK131104 SRC131104:SRG131104 TAY131104:TBC131104 TKU131104:TKY131104 TUQ131104:TUU131104 UEM131104:UEQ131104 UOI131104:UOM131104 UYE131104:UYI131104 VIA131104:VIE131104 VRW131104:VSA131104 WBS131104:WBW131104 WLO131104:WLS131104 WVK131104:WVO131104 C196640:G196640 IY196640:JC196640 SU196640:SY196640 ACQ196640:ACU196640 AMM196640:AMQ196640 AWI196640:AWM196640 BGE196640:BGI196640 BQA196640:BQE196640 BZW196640:CAA196640 CJS196640:CJW196640 CTO196640:CTS196640 DDK196640:DDO196640 DNG196640:DNK196640 DXC196640:DXG196640 EGY196640:EHC196640 EQU196640:EQY196640 FAQ196640:FAU196640 FKM196640:FKQ196640 FUI196640:FUM196640 GEE196640:GEI196640 GOA196640:GOE196640 GXW196640:GYA196640 HHS196640:HHW196640 HRO196640:HRS196640 IBK196640:IBO196640 ILG196640:ILK196640 IVC196640:IVG196640 JEY196640:JFC196640 JOU196640:JOY196640 JYQ196640:JYU196640 KIM196640:KIQ196640 KSI196640:KSM196640 LCE196640:LCI196640 LMA196640:LME196640 LVW196640:LWA196640 MFS196640:MFW196640 MPO196640:MPS196640 MZK196640:MZO196640 NJG196640:NJK196640 NTC196640:NTG196640 OCY196640:ODC196640 OMU196640:OMY196640 OWQ196640:OWU196640 PGM196640:PGQ196640 PQI196640:PQM196640 QAE196640:QAI196640 QKA196640:QKE196640 QTW196640:QUA196640 RDS196640:RDW196640 RNO196640:RNS196640 RXK196640:RXO196640 SHG196640:SHK196640 SRC196640:SRG196640 TAY196640:TBC196640 TKU196640:TKY196640 TUQ196640:TUU196640 UEM196640:UEQ196640 UOI196640:UOM196640 UYE196640:UYI196640 VIA196640:VIE196640 VRW196640:VSA196640 WBS196640:WBW196640 WLO196640:WLS196640 WVK196640:WVO196640 C262176:G262176 IY262176:JC262176 SU262176:SY262176 ACQ262176:ACU262176 AMM262176:AMQ262176 AWI262176:AWM262176 BGE262176:BGI262176 BQA262176:BQE262176 BZW262176:CAA262176 CJS262176:CJW262176 CTO262176:CTS262176 DDK262176:DDO262176 DNG262176:DNK262176 DXC262176:DXG262176 EGY262176:EHC262176 EQU262176:EQY262176 FAQ262176:FAU262176 FKM262176:FKQ262176 FUI262176:FUM262176 GEE262176:GEI262176 GOA262176:GOE262176 GXW262176:GYA262176 HHS262176:HHW262176 HRO262176:HRS262176 IBK262176:IBO262176 ILG262176:ILK262176 IVC262176:IVG262176 JEY262176:JFC262176 JOU262176:JOY262176 JYQ262176:JYU262176 KIM262176:KIQ262176 KSI262176:KSM262176 LCE262176:LCI262176 LMA262176:LME262176 LVW262176:LWA262176 MFS262176:MFW262176 MPO262176:MPS262176 MZK262176:MZO262176 NJG262176:NJK262176 NTC262176:NTG262176 OCY262176:ODC262176 OMU262176:OMY262176 OWQ262176:OWU262176 PGM262176:PGQ262176 PQI262176:PQM262176 QAE262176:QAI262176 QKA262176:QKE262176 QTW262176:QUA262176 RDS262176:RDW262176 RNO262176:RNS262176 RXK262176:RXO262176 SHG262176:SHK262176 SRC262176:SRG262176 TAY262176:TBC262176 TKU262176:TKY262176 TUQ262176:TUU262176 UEM262176:UEQ262176 UOI262176:UOM262176 UYE262176:UYI262176 VIA262176:VIE262176 VRW262176:VSA262176 WBS262176:WBW262176 WLO262176:WLS262176 WVK262176:WVO262176 C327712:G327712 IY327712:JC327712 SU327712:SY327712 ACQ327712:ACU327712 AMM327712:AMQ327712 AWI327712:AWM327712 BGE327712:BGI327712 BQA327712:BQE327712 BZW327712:CAA327712 CJS327712:CJW327712 CTO327712:CTS327712 DDK327712:DDO327712 DNG327712:DNK327712 DXC327712:DXG327712 EGY327712:EHC327712 EQU327712:EQY327712 FAQ327712:FAU327712 FKM327712:FKQ327712 FUI327712:FUM327712 GEE327712:GEI327712 GOA327712:GOE327712 GXW327712:GYA327712 HHS327712:HHW327712 HRO327712:HRS327712 IBK327712:IBO327712 ILG327712:ILK327712 IVC327712:IVG327712 JEY327712:JFC327712 JOU327712:JOY327712 JYQ327712:JYU327712 KIM327712:KIQ327712 KSI327712:KSM327712 LCE327712:LCI327712 LMA327712:LME327712 LVW327712:LWA327712 MFS327712:MFW327712 MPO327712:MPS327712 MZK327712:MZO327712 NJG327712:NJK327712 NTC327712:NTG327712 OCY327712:ODC327712 OMU327712:OMY327712 OWQ327712:OWU327712 PGM327712:PGQ327712 PQI327712:PQM327712 QAE327712:QAI327712 QKA327712:QKE327712 QTW327712:QUA327712 RDS327712:RDW327712 RNO327712:RNS327712 RXK327712:RXO327712 SHG327712:SHK327712 SRC327712:SRG327712 TAY327712:TBC327712 TKU327712:TKY327712 TUQ327712:TUU327712 UEM327712:UEQ327712 UOI327712:UOM327712 UYE327712:UYI327712 VIA327712:VIE327712 VRW327712:VSA327712 WBS327712:WBW327712 WLO327712:WLS327712 WVK327712:WVO327712 C393248:G393248 IY393248:JC393248 SU393248:SY393248 ACQ393248:ACU393248 AMM393248:AMQ393248 AWI393248:AWM393248 BGE393248:BGI393248 BQA393248:BQE393248 BZW393248:CAA393248 CJS393248:CJW393248 CTO393248:CTS393248 DDK393248:DDO393248 DNG393248:DNK393248 DXC393248:DXG393248 EGY393248:EHC393248 EQU393248:EQY393248 FAQ393248:FAU393248 FKM393248:FKQ393248 FUI393248:FUM393248 GEE393248:GEI393248 GOA393248:GOE393248 GXW393248:GYA393248 HHS393248:HHW393248 HRO393248:HRS393248 IBK393248:IBO393248 ILG393248:ILK393248 IVC393248:IVG393248 JEY393248:JFC393248 JOU393248:JOY393248 JYQ393248:JYU393248 KIM393248:KIQ393248 KSI393248:KSM393248 LCE393248:LCI393248 LMA393248:LME393248 LVW393248:LWA393248 MFS393248:MFW393248 MPO393248:MPS393248 MZK393248:MZO393248 NJG393248:NJK393248 NTC393248:NTG393248 OCY393248:ODC393248 OMU393248:OMY393248 OWQ393248:OWU393248 PGM393248:PGQ393248 PQI393248:PQM393248 QAE393248:QAI393248 QKA393248:QKE393248 QTW393248:QUA393248 RDS393248:RDW393248 RNO393248:RNS393248 RXK393248:RXO393248 SHG393248:SHK393248 SRC393248:SRG393248 TAY393248:TBC393248 TKU393248:TKY393248 TUQ393248:TUU393248 UEM393248:UEQ393248 UOI393248:UOM393248 UYE393248:UYI393248 VIA393248:VIE393248 VRW393248:VSA393248 WBS393248:WBW393248 WLO393248:WLS393248 WVK393248:WVO393248 C458784:G458784 IY458784:JC458784 SU458784:SY458784 ACQ458784:ACU458784 AMM458784:AMQ458784 AWI458784:AWM458784 BGE458784:BGI458784 BQA458784:BQE458784 BZW458784:CAA458784 CJS458784:CJW458784 CTO458784:CTS458784 DDK458784:DDO458784 DNG458784:DNK458784 DXC458784:DXG458784 EGY458784:EHC458784 EQU458784:EQY458784 FAQ458784:FAU458784 FKM458784:FKQ458784 FUI458784:FUM458784 GEE458784:GEI458784 GOA458784:GOE458784 GXW458784:GYA458784 HHS458784:HHW458784 HRO458784:HRS458784 IBK458784:IBO458784 ILG458784:ILK458784 IVC458784:IVG458784 JEY458784:JFC458784 JOU458784:JOY458784 JYQ458784:JYU458784 KIM458784:KIQ458784 KSI458784:KSM458784 LCE458784:LCI458784 LMA458784:LME458784 LVW458784:LWA458784 MFS458784:MFW458784 MPO458784:MPS458784 MZK458784:MZO458784 NJG458784:NJK458784 NTC458784:NTG458784 OCY458784:ODC458784 OMU458784:OMY458784 OWQ458784:OWU458784 PGM458784:PGQ458784 PQI458784:PQM458784 QAE458784:QAI458784 QKA458784:QKE458784 QTW458784:QUA458784 RDS458784:RDW458784 RNO458784:RNS458784 RXK458784:RXO458784 SHG458784:SHK458784 SRC458784:SRG458784 TAY458784:TBC458784 TKU458784:TKY458784 TUQ458784:TUU458784 UEM458784:UEQ458784 UOI458784:UOM458784 UYE458784:UYI458784 VIA458784:VIE458784 VRW458784:VSA458784 WBS458784:WBW458784 WLO458784:WLS458784 WVK458784:WVO458784 C524320:G524320 IY524320:JC524320 SU524320:SY524320 ACQ524320:ACU524320 AMM524320:AMQ524320 AWI524320:AWM524320 BGE524320:BGI524320 BQA524320:BQE524320 BZW524320:CAA524320 CJS524320:CJW524320 CTO524320:CTS524320 DDK524320:DDO524320 DNG524320:DNK524320 DXC524320:DXG524320 EGY524320:EHC524320 EQU524320:EQY524320 FAQ524320:FAU524320 FKM524320:FKQ524320 FUI524320:FUM524320 GEE524320:GEI524320 GOA524320:GOE524320 GXW524320:GYA524320 HHS524320:HHW524320 HRO524320:HRS524320 IBK524320:IBO524320 ILG524320:ILK524320 IVC524320:IVG524320 JEY524320:JFC524320 JOU524320:JOY524320 JYQ524320:JYU524320 KIM524320:KIQ524320 KSI524320:KSM524320 LCE524320:LCI524320 LMA524320:LME524320 LVW524320:LWA524320 MFS524320:MFW524320 MPO524320:MPS524320 MZK524320:MZO524320 NJG524320:NJK524320 NTC524320:NTG524320 OCY524320:ODC524320 OMU524320:OMY524320 OWQ524320:OWU524320 PGM524320:PGQ524320 PQI524320:PQM524320 QAE524320:QAI524320 QKA524320:QKE524320 QTW524320:QUA524320 RDS524320:RDW524320 RNO524320:RNS524320 RXK524320:RXO524320 SHG524320:SHK524320 SRC524320:SRG524320 TAY524320:TBC524320 TKU524320:TKY524320 TUQ524320:TUU524320 UEM524320:UEQ524320 UOI524320:UOM524320 UYE524320:UYI524320 VIA524320:VIE524320 VRW524320:VSA524320 WBS524320:WBW524320 WLO524320:WLS524320 WVK524320:WVO524320 C589856:G589856 IY589856:JC589856 SU589856:SY589856 ACQ589856:ACU589856 AMM589856:AMQ589856 AWI589856:AWM589856 BGE589856:BGI589856 BQA589856:BQE589856 BZW589856:CAA589856 CJS589856:CJW589856 CTO589856:CTS589856 DDK589856:DDO589856 DNG589856:DNK589856 DXC589856:DXG589856 EGY589856:EHC589856 EQU589856:EQY589856 FAQ589856:FAU589856 FKM589856:FKQ589856 FUI589856:FUM589856 GEE589856:GEI589856 GOA589856:GOE589856 GXW589856:GYA589856 HHS589856:HHW589856 HRO589856:HRS589856 IBK589856:IBO589856 ILG589856:ILK589856 IVC589856:IVG589856 JEY589856:JFC589856 JOU589856:JOY589856 JYQ589856:JYU589856 KIM589856:KIQ589856 KSI589856:KSM589856 LCE589856:LCI589856 LMA589856:LME589856 LVW589856:LWA589856 MFS589856:MFW589856 MPO589856:MPS589856 MZK589856:MZO589856 NJG589856:NJK589856 NTC589856:NTG589856 OCY589856:ODC589856 OMU589856:OMY589856 OWQ589856:OWU589856 PGM589856:PGQ589856 PQI589856:PQM589856 QAE589856:QAI589856 QKA589856:QKE589856 QTW589856:QUA589856 RDS589856:RDW589856 RNO589856:RNS589856 RXK589856:RXO589856 SHG589856:SHK589856 SRC589856:SRG589856 TAY589856:TBC589856 TKU589856:TKY589856 TUQ589856:TUU589856 UEM589856:UEQ589856 UOI589856:UOM589856 UYE589856:UYI589856 VIA589856:VIE589856 VRW589856:VSA589856 WBS589856:WBW589856 WLO589856:WLS589856 WVK589856:WVO589856 C655392:G655392 IY655392:JC655392 SU655392:SY655392 ACQ655392:ACU655392 AMM655392:AMQ655392 AWI655392:AWM655392 BGE655392:BGI655392 BQA655392:BQE655392 BZW655392:CAA655392 CJS655392:CJW655392 CTO655392:CTS655392 DDK655392:DDO655392 DNG655392:DNK655392 DXC655392:DXG655392 EGY655392:EHC655392 EQU655392:EQY655392 FAQ655392:FAU655392 FKM655392:FKQ655392 FUI655392:FUM655392 GEE655392:GEI655392 GOA655392:GOE655392 GXW655392:GYA655392 HHS655392:HHW655392 HRO655392:HRS655392 IBK655392:IBO655392 ILG655392:ILK655392 IVC655392:IVG655392 JEY655392:JFC655392 JOU655392:JOY655392 JYQ655392:JYU655392 KIM655392:KIQ655392 KSI655392:KSM655392 LCE655392:LCI655392 LMA655392:LME655392 LVW655392:LWA655392 MFS655392:MFW655392 MPO655392:MPS655392 MZK655392:MZO655392 NJG655392:NJK655392 NTC655392:NTG655392 OCY655392:ODC655392 OMU655392:OMY655392 OWQ655392:OWU655392 PGM655392:PGQ655392 PQI655392:PQM655392 QAE655392:QAI655392 QKA655392:QKE655392 QTW655392:QUA655392 RDS655392:RDW655392 RNO655392:RNS655392 RXK655392:RXO655392 SHG655392:SHK655392 SRC655392:SRG655392 TAY655392:TBC655392 TKU655392:TKY655392 TUQ655392:TUU655392 UEM655392:UEQ655392 UOI655392:UOM655392 UYE655392:UYI655392 VIA655392:VIE655392 VRW655392:VSA655392 WBS655392:WBW655392 WLO655392:WLS655392 WVK655392:WVO655392 C720928:G720928 IY720928:JC720928 SU720928:SY720928 ACQ720928:ACU720928 AMM720928:AMQ720928 AWI720928:AWM720928 BGE720928:BGI720928 BQA720928:BQE720928 BZW720928:CAA720928 CJS720928:CJW720928 CTO720928:CTS720928 DDK720928:DDO720928 DNG720928:DNK720928 DXC720928:DXG720928 EGY720928:EHC720928 EQU720928:EQY720928 FAQ720928:FAU720928 FKM720928:FKQ720928 FUI720928:FUM720928 GEE720928:GEI720928 GOA720928:GOE720928 GXW720928:GYA720928 HHS720928:HHW720928 HRO720928:HRS720928 IBK720928:IBO720928 ILG720928:ILK720928 IVC720928:IVG720928 JEY720928:JFC720928 JOU720928:JOY720928 JYQ720928:JYU720928 KIM720928:KIQ720928 KSI720928:KSM720928 LCE720928:LCI720928 LMA720928:LME720928 LVW720928:LWA720928 MFS720928:MFW720928 MPO720928:MPS720928 MZK720928:MZO720928 NJG720928:NJK720928 NTC720928:NTG720928 OCY720928:ODC720928 OMU720928:OMY720928 OWQ720928:OWU720928 PGM720928:PGQ720928 PQI720928:PQM720928 QAE720928:QAI720928 QKA720928:QKE720928 QTW720928:QUA720928 RDS720928:RDW720928 RNO720928:RNS720928 RXK720928:RXO720928 SHG720928:SHK720928 SRC720928:SRG720928 TAY720928:TBC720928 TKU720928:TKY720928 TUQ720928:TUU720928 UEM720928:UEQ720928 UOI720928:UOM720928 UYE720928:UYI720928 VIA720928:VIE720928 VRW720928:VSA720928 WBS720928:WBW720928 WLO720928:WLS720928 WVK720928:WVO720928 C786464:G786464 IY786464:JC786464 SU786464:SY786464 ACQ786464:ACU786464 AMM786464:AMQ786464 AWI786464:AWM786464 BGE786464:BGI786464 BQA786464:BQE786464 BZW786464:CAA786464 CJS786464:CJW786464 CTO786464:CTS786464 DDK786464:DDO786464 DNG786464:DNK786464 DXC786464:DXG786464 EGY786464:EHC786464 EQU786464:EQY786464 FAQ786464:FAU786464 FKM786464:FKQ786464 FUI786464:FUM786464 GEE786464:GEI786464 GOA786464:GOE786464 GXW786464:GYA786464 HHS786464:HHW786464 HRO786464:HRS786464 IBK786464:IBO786464 ILG786464:ILK786464 IVC786464:IVG786464 JEY786464:JFC786464 JOU786464:JOY786464 JYQ786464:JYU786464 KIM786464:KIQ786464 KSI786464:KSM786464 LCE786464:LCI786464 LMA786464:LME786464 LVW786464:LWA786464 MFS786464:MFW786464 MPO786464:MPS786464 MZK786464:MZO786464 NJG786464:NJK786464 NTC786464:NTG786464 OCY786464:ODC786464 OMU786464:OMY786464 OWQ786464:OWU786464 PGM786464:PGQ786464 PQI786464:PQM786464 QAE786464:QAI786464 QKA786464:QKE786464 QTW786464:QUA786464 RDS786464:RDW786464 RNO786464:RNS786464 RXK786464:RXO786464 SHG786464:SHK786464 SRC786464:SRG786464 TAY786464:TBC786464 TKU786464:TKY786464 TUQ786464:TUU786464 UEM786464:UEQ786464 UOI786464:UOM786464 UYE786464:UYI786464 VIA786464:VIE786464 VRW786464:VSA786464 WBS786464:WBW786464 WLO786464:WLS786464 WVK786464:WVO786464 C852000:G852000 IY852000:JC852000 SU852000:SY852000 ACQ852000:ACU852000 AMM852000:AMQ852000 AWI852000:AWM852000 BGE852000:BGI852000 BQA852000:BQE852000 BZW852000:CAA852000 CJS852000:CJW852000 CTO852000:CTS852000 DDK852000:DDO852000 DNG852000:DNK852000 DXC852000:DXG852000 EGY852000:EHC852000 EQU852000:EQY852000 FAQ852000:FAU852000 FKM852000:FKQ852000 FUI852000:FUM852000 GEE852000:GEI852000 GOA852000:GOE852000 GXW852000:GYA852000 HHS852000:HHW852000 HRO852000:HRS852000 IBK852000:IBO852000 ILG852000:ILK852000 IVC852000:IVG852000 JEY852000:JFC852000 JOU852000:JOY852000 JYQ852000:JYU852000 KIM852000:KIQ852000 KSI852000:KSM852000 LCE852000:LCI852000 LMA852000:LME852000 LVW852000:LWA852000 MFS852000:MFW852000 MPO852000:MPS852000 MZK852000:MZO852000 NJG852000:NJK852000 NTC852000:NTG852000 OCY852000:ODC852000 OMU852000:OMY852000 OWQ852000:OWU852000 PGM852000:PGQ852000 PQI852000:PQM852000 QAE852000:QAI852000 QKA852000:QKE852000 QTW852000:QUA852000 RDS852000:RDW852000 RNO852000:RNS852000 RXK852000:RXO852000 SHG852000:SHK852000 SRC852000:SRG852000 TAY852000:TBC852000 TKU852000:TKY852000 TUQ852000:TUU852000 UEM852000:UEQ852000 UOI852000:UOM852000 UYE852000:UYI852000 VIA852000:VIE852000 VRW852000:VSA852000 WBS852000:WBW852000 WLO852000:WLS852000 WVK852000:WVO852000 C917536:G917536 IY917536:JC917536 SU917536:SY917536 ACQ917536:ACU917536 AMM917536:AMQ917536 AWI917536:AWM917536 BGE917536:BGI917536 BQA917536:BQE917536 BZW917536:CAA917536 CJS917536:CJW917536 CTO917536:CTS917536 DDK917536:DDO917536 DNG917536:DNK917536 DXC917536:DXG917536 EGY917536:EHC917536 EQU917536:EQY917536 FAQ917536:FAU917536 FKM917536:FKQ917536 FUI917536:FUM917536 GEE917536:GEI917536 GOA917536:GOE917536 GXW917536:GYA917536 HHS917536:HHW917536 HRO917536:HRS917536 IBK917536:IBO917536 ILG917536:ILK917536 IVC917536:IVG917536 JEY917536:JFC917536 JOU917536:JOY917536 JYQ917536:JYU917536 KIM917536:KIQ917536 KSI917536:KSM917536 LCE917536:LCI917536 LMA917536:LME917536 LVW917536:LWA917536 MFS917536:MFW917536 MPO917536:MPS917536 MZK917536:MZO917536 NJG917536:NJK917536 NTC917536:NTG917536 OCY917536:ODC917536 OMU917536:OMY917536 OWQ917536:OWU917536 PGM917536:PGQ917536 PQI917536:PQM917536 QAE917536:QAI917536 QKA917536:QKE917536 QTW917536:QUA917536 RDS917536:RDW917536 RNO917536:RNS917536 RXK917536:RXO917536 SHG917536:SHK917536 SRC917536:SRG917536 TAY917536:TBC917536 TKU917536:TKY917536 TUQ917536:TUU917536 UEM917536:UEQ917536 UOI917536:UOM917536 UYE917536:UYI917536 VIA917536:VIE917536 VRW917536:VSA917536 WBS917536:WBW917536 WLO917536:WLS917536 WVK917536:WVO917536 C983072:G983072 IY983072:JC983072 SU983072:SY983072 ACQ983072:ACU983072 AMM983072:AMQ983072 AWI983072:AWM983072 BGE983072:BGI983072 BQA983072:BQE983072 BZW983072:CAA983072 CJS983072:CJW983072 CTO983072:CTS983072 DDK983072:DDO983072 DNG983072:DNK983072 DXC983072:DXG983072 EGY983072:EHC983072 EQU983072:EQY983072 FAQ983072:FAU983072 FKM983072:FKQ983072 FUI983072:FUM983072 GEE983072:GEI983072 GOA983072:GOE983072 GXW983072:GYA983072 HHS983072:HHW983072 HRO983072:HRS983072 IBK983072:IBO983072 ILG983072:ILK983072 IVC983072:IVG983072 JEY983072:JFC983072 JOU983072:JOY983072 JYQ983072:JYU983072 KIM983072:KIQ983072 KSI983072:KSM983072 LCE983072:LCI983072 LMA983072:LME983072 LVW983072:LWA983072 MFS983072:MFW983072 MPO983072:MPS983072 MZK983072:MZO983072 NJG983072:NJK983072 NTC983072:NTG983072 OCY983072:ODC983072 OMU983072:OMY983072 OWQ983072:OWU983072 PGM983072:PGQ983072 PQI983072:PQM983072 QAE983072:QAI983072 QKA983072:QKE983072 QTW983072:QUA983072 RDS983072:RDW983072 RNO983072:RNS983072 RXK983072:RXO983072 SHG983072:SHK983072 SRC983072:SRG983072 TAY983072:TBC983072 TKU983072:TKY983072 TUQ983072:TUU983072 UEM983072:UEQ983072 UOI983072:UOM983072 UYE983072:UYI983072 VIA983072:VIE983072 VRW983072:VSA983072 WBS983072:WBW983072 WLO983072:WLS983072 WVK983072:WVO983072">
      <formula1>$AA$15:$AA$22</formula1>
    </dataValidation>
    <dataValidation type="list" allowBlank="1" showInputMessage="1" showErrorMessage="1" sqref="Q26 JM26 TI26 ADE26 ANA26 AWW26 BGS26 BQO26 CAK26 CKG26 CUC26 DDY26 DNU26 DXQ26 EHM26 ERI26 FBE26 FLA26 FUW26 GES26 GOO26 GYK26 HIG26 HSC26 IBY26 ILU26 IVQ26 JFM26 JPI26 JZE26 KJA26 KSW26 LCS26 LMO26 LWK26 MGG26 MQC26 MZY26 NJU26 NTQ26 ODM26 ONI26 OXE26 PHA26 PQW26 QAS26 QKO26 QUK26 REG26 ROC26 RXY26 SHU26 SRQ26 TBM26 TLI26 TVE26 UFA26 UOW26 UYS26 VIO26 VSK26 WCG26 WMC26 WVY26 Q65559 JM65559 TI65559 ADE65559 ANA65559 AWW65559 BGS65559 BQO65559 CAK65559 CKG65559 CUC65559 DDY65559 DNU65559 DXQ65559 EHM65559 ERI65559 FBE65559 FLA65559 FUW65559 GES65559 GOO65559 GYK65559 HIG65559 HSC65559 IBY65559 ILU65559 IVQ65559 JFM65559 JPI65559 JZE65559 KJA65559 KSW65559 LCS65559 LMO65559 LWK65559 MGG65559 MQC65559 MZY65559 NJU65559 NTQ65559 ODM65559 ONI65559 OXE65559 PHA65559 PQW65559 QAS65559 QKO65559 QUK65559 REG65559 ROC65559 RXY65559 SHU65559 SRQ65559 TBM65559 TLI65559 TVE65559 UFA65559 UOW65559 UYS65559 VIO65559 VSK65559 WCG65559 WMC65559 WVY65559 Q131095 JM131095 TI131095 ADE131095 ANA131095 AWW131095 BGS131095 BQO131095 CAK131095 CKG131095 CUC131095 DDY131095 DNU131095 DXQ131095 EHM131095 ERI131095 FBE131095 FLA131095 FUW131095 GES131095 GOO131095 GYK131095 HIG131095 HSC131095 IBY131095 ILU131095 IVQ131095 JFM131095 JPI131095 JZE131095 KJA131095 KSW131095 LCS131095 LMO131095 LWK131095 MGG131095 MQC131095 MZY131095 NJU131095 NTQ131095 ODM131095 ONI131095 OXE131095 PHA131095 PQW131095 QAS131095 QKO131095 QUK131095 REG131095 ROC131095 RXY131095 SHU131095 SRQ131095 TBM131095 TLI131095 TVE131095 UFA131095 UOW131095 UYS131095 VIO131095 VSK131095 WCG131095 WMC131095 WVY131095 Q196631 JM196631 TI196631 ADE196631 ANA196631 AWW196631 BGS196631 BQO196631 CAK196631 CKG196631 CUC196631 DDY196631 DNU196631 DXQ196631 EHM196631 ERI196631 FBE196631 FLA196631 FUW196631 GES196631 GOO196631 GYK196631 HIG196631 HSC196631 IBY196631 ILU196631 IVQ196631 JFM196631 JPI196631 JZE196631 KJA196631 KSW196631 LCS196631 LMO196631 LWK196631 MGG196631 MQC196631 MZY196631 NJU196631 NTQ196631 ODM196631 ONI196631 OXE196631 PHA196631 PQW196631 QAS196631 QKO196631 QUK196631 REG196631 ROC196631 RXY196631 SHU196631 SRQ196631 TBM196631 TLI196631 TVE196631 UFA196631 UOW196631 UYS196631 VIO196631 VSK196631 WCG196631 WMC196631 WVY196631 Q262167 JM262167 TI262167 ADE262167 ANA262167 AWW262167 BGS262167 BQO262167 CAK262167 CKG262167 CUC262167 DDY262167 DNU262167 DXQ262167 EHM262167 ERI262167 FBE262167 FLA262167 FUW262167 GES262167 GOO262167 GYK262167 HIG262167 HSC262167 IBY262167 ILU262167 IVQ262167 JFM262167 JPI262167 JZE262167 KJA262167 KSW262167 LCS262167 LMO262167 LWK262167 MGG262167 MQC262167 MZY262167 NJU262167 NTQ262167 ODM262167 ONI262167 OXE262167 PHA262167 PQW262167 QAS262167 QKO262167 QUK262167 REG262167 ROC262167 RXY262167 SHU262167 SRQ262167 TBM262167 TLI262167 TVE262167 UFA262167 UOW262167 UYS262167 VIO262167 VSK262167 WCG262167 WMC262167 WVY262167 Q327703 JM327703 TI327703 ADE327703 ANA327703 AWW327703 BGS327703 BQO327703 CAK327703 CKG327703 CUC327703 DDY327703 DNU327703 DXQ327703 EHM327703 ERI327703 FBE327703 FLA327703 FUW327703 GES327703 GOO327703 GYK327703 HIG327703 HSC327703 IBY327703 ILU327703 IVQ327703 JFM327703 JPI327703 JZE327703 KJA327703 KSW327703 LCS327703 LMO327703 LWK327703 MGG327703 MQC327703 MZY327703 NJU327703 NTQ327703 ODM327703 ONI327703 OXE327703 PHA327703 PQW327703 QAS327703 QKO327703 QUK327703 REG327703 ROC327703 RXY327703 SHU327703 SRQ327703 TBM327703 TLI327703 TVE327703 UFA327703 UOW327703 UYS327703 VIO327703 VSK327703 WCG327703 WMC327703 WVY327703 Q393239 JM393239 TI393239 ADE393239 ANA393239 AWW393239 BGS393239 BQO393239 CAK393239 CKG393239 CUC393239 DDY393239 DNU393239 DXQ393239 EHM393239 ERI393239 FBE393239 FLA393239 FUW393239 GES393239 GOO393239 GYK393239 HIG393239 HSC393239 IBY393239 ILU393239 IVQ393239 JFM393239 JPI393239 JZE393239 KJA393239 KSW393239 LCS393239 LMO393239 LWK393239 MGG393239 MQC393239 MZY393239 NJU393239 NTQ393239 ODM393239 ONI393239 OXE393239 PHA393239 PQW393239 QAS393239 QKO393239 QUK393239 REG393239 ROC393239 RXY393239 SHU393239 SRQ393239 TBM393239 TLI393239 TVE393239 UFA393239 UOW393239 UYS393239 VIO393239 VSK393239 WCG393239 WMC393239 WVY393239 Q458775 JM458775 TI458775 ADE458775 ANA458775 AWW458775 BGS458775 BQO458775 CAK458775 CKG458775 CUC458775 DDY458775 DNU458775 DXQ458775 EHM458775 ERI458775 FBE458775 FLA458775 FUW458775 GES458775 GOO458775 GYK458775 HIG458775 HSC458775 IBY458775 ILU458775 IVQ458775 JFM458775 JPI458775 JZE458775 KJA458775 KSW458775 LCS458775 LMO458775 LWK458775 MGG458775 MQC458775 MZY458775 NJU458775 NTQ458775 ODM458775 ONI458775 OXE458775 PHA458775 PQW458775 QAS458775 QKO458775 QUK458775 REG458775 ROC458775 RXY458775 SHU458775 SRQ458775 TBM458775 TLI458775 TVE458775 UFA458775 UOW458775 UYS458775 VIO458775 VSK458775 WCG458775 WMC458775 WVY458775 Q524311 JM524311 TI524311 ADE524311 ANA524311 AWW524311 BGS524311 BQO524311 CAK524311 CKG524311 CUC524311 DDY524311 DNU524311 DXQ524311 EHM524311 ERI524311 FBE524311 FLA524311 FUW524311 GES524311 GOO524311 GYK524311 HIG524311 HSC524311 IBY524311 ILU524311 IVQ524311 JFM524311 JPI524311 JZE524311 KJA524311 KSW524311 LCS524311 LMO524311 LWK524311 MGG524311 MQC524311 MZY524311 NJU524311 NTQ524311 ODM524311 ONI524311 OXE524311 PHA524311 PQW524311 QAS524311 QKO524311 QUK524311 REG524311 ROC524311 RXY524311 SHU524311 SRQ524311 TBM524311 TLI524311 TVE524311 UFA524311 UOW524311 UYS524311 VIO524311 VSK524311 WCG524311 WMC524311 WVY524311 Q589847 JM589847 TI589847 ADE589847 ANA589847 AWW589847 BGS589847 BQO589847 CAK589847 CKG589847 CUC589847 DDY589847 DNU589847 DXQ589847 EHM589847 ERI589847 FBE589847 FLA589847 FUW589847 GES589847 GOO589847 GYK589847 HIG589847 HSC589847 IBY589847 ILU589847 IVQ589847 JFM589847 JPI589847 JZE589847 KJA589847 KSW589847 LCS589847 LMO589847 LWK589847 MGG589847 MQC589847 MZY589847 NJU589847 NTQ589847 ODM589847 ONI589847 OXE589847 PHA589847 PQW589847 QAS589847 QKO589847 QUK589847 REG589847 ROC589847 RXY589847 SHU589847 SRQ589847 TBM589847 TLI589847 TVE589847 UFA589847 UOW589847 UYS589847 VIO589847 VSK589847 WCG589847 WMC589847 WVY589847 Q655383 JM655383 TI655383 ADE655383 ANA655383 AWW655383 BGS655383 BQO655383 CAK655383 CKG655383 CUC655383 DDY655383 DNU655383 DXQ655383 EHM655383 ERI655383 FBE655383 FLA655383 FUW655383 GES655383 GOO655383 GYK655383 HIG655383 HSC655383 IBY655383 ILU655383 IVQ655383 JFM655383 JPI655383 JZE655383 KJA655383 KSW655383 LCS655383 LMO655383 LWK655383 MGG655383 MQC655383 MZY655383 NJU655383 NTQ655383 ODM655383 ONI655383 OXE655383 PHA655383 PQW655383 QAS655383 QKO655383 QUK655383 REG655383 ROC655383 RXY655383 SHU655383 SRQ655383 TBM655383 TLI655383 TVE655383 UFA655383 UOW655383 UYS655383 VIO655383 VSK655383 WCG655383 WMC655383 WVY655383 Q720919 JM720919 TI720919 ADE720919 ANA720919 AWW720919 BGS720919 BQO720919 CAK720919 CKG720919 CUC720919 DDY720919 DNU720919 DXQ720919 EHM720919 ERI720919 FBE720919 FLA720919 FUW720919 GES720919 GOO720919 GYK720919 HIG720919 HSC720919 IBY720919 ILU720919 IVQ720919 JFM720919 JPI720919 JZE720919 KJA720919 KSW720919 LCS720919 LMO720919 LWK720919 MGG720919 MQC720919 MZY720919 NJU720919 NTQ720919 ODM720919 ONI720919 OXE720919 PHA720919 PQW720919 QAS720919 QKO720919 QUK720919 REG720919 ROC720919 RXY720919 SHU720919 SRQ720919 TBM720919 TLI720919 TVE720919 UFA720919 UOW720919 UYS720919 VIO720919 VSK720919 WCG720919 WMC720919 WVY720919 Q786455 JM786455 TI786455 ADE786455 ANA786455 AWW786455 BGS786455 BQO786455 CAK786455 CKG786455 CUC786455 DDY786455 DNU786455 DXQ786455 EHM786455 ERI786455 FBE786455 FLA786455 FUW786455 GES786455 GOO786455 GYK786455 HIG786455 HSC786455 IBY786455 ILU786455 IVQ786455 JFM786455 JPI786455 JZE786455 KJA786455 KSW786455 LCS786455 LMO786455 LWK786455 MGG786455 MQC786455 MZY786455 NJU786455 NTQ786455 ODM786455 ONI786455 OXE786455 PHA786455 PQW786455 QAS786455 QKO786455 QUK786455 REG786455 ROC786455 RXY786455 SHU786455 SRQ786455 TBM786455 TLI786455 TVE786455 UFA786455 UOW786455 UYS786455 VIO786455 VSK786455 WCG786455 WMC786455 WVY786455 Q851991 JM851991 TI851991 ADE851991 ANA851991 AWW851991 BGS851991 BQO851991 CAK851991 CKG851991 CUC851991 DDY851991 DNU851991 DXQ851991 EHM851991 ERI851991 FBE851991 FLA851991 FUW851991 GES851991 GOO851991 GYK851991 HIG851991 HSC851991 IBY851991 ILU851991 IVQ851991 JFM851991 JPI851991 JZE851991 KJA851991 KSW851991 LCS851991 LMO851991 LWK851991 MGG851991 MQC851991 MZY851991 NJU851991 NTQ851991 ODM851991 ONI851991 OXE851991 PHA851991 PQW851991 QAS851991 QKO851991 QUK851991 REG851991 ROC851991 RXY851991 SHU851991 SRQ851991 TBM851991 TLI851991 TVE851991 UFA851991 UOW851991 UYS851991 VIO851991 VSK851991 WCG851991 WMC851991 WVY851991 Q917527 JM917527 TI917527 ADE917527 ANA917527 AWW917527 BGS917527 BQO917527 CAK917527 CKG917527 CUC917527 DDY917527 DNU917527 DXQ917527 EHM917527 ERI917527 FBE917527 FLA917527 FUW917527 GES917527 GOO917527 GYK917527 HIG917527 HSC917527 IBY917527 ILU917527 IVQ917527 JFM917527 JPI917527 JZE917527 KJA917527 KSW917527 LCS917527 LMO917527 LWK917527 MGG917527 MQC917527 MZY917527 NJU917527 NTQ917527 ODM917527 ONI917527 OXE917527 PHA917527 PQW917527 QAS917527 QKO917527 QUK917527 REG917527 ROC917527 RXY917527 SHU917527 SRQ917527 TBM917527 TLI917527 TVE917527 UFA917527 UOW917527 UYS917527 VIO917527 VSK917527 WCG917527 WMC917527 WVY917527 Q983063 JM983063 TI983063 ADE983063 ANA983063 AWW983063 BGS983063 BQO983063 CAK983063 CKG983063 CUC983063 DDY983063 DNU983063 DXQ983063 EHM983063 ERI983063 FBE983063 FLA983063 FUW983063 GES983063 GOO983063 GYK983063 HIG983063 HSC983063 IBY983063 ILU983063 IVQ983063 JFM983063 JPI983063 JZE983063 KJA983063 KSW983063 LCS983063 LMO983063 LWK983063 MGG983063 MQC983063 MZY983063 NJU983063 NTQ983063 ODM983063 ONI983063 OXE983063 PHA983063 PQW983063 QAS983063 QKO983063 QUK983063 REG983063 ROC983063 RXY983063 SHU983063 SRQ983063 TBM983063 TLI983063 TVE983063 UFA983063 UOW983063 UYS983063 VIO983063 VSK983063 WCG983063 WMC983063 WVY983063 H22 JD22 SZ22 ACV22 AMR22 AWN22 BGJ22 BQF22 CAB22 CJX22 CTT22 DDP22 DNL22 DXH22 EHD22 EQZ22 FAV22 FKR22 FUN22 GEJ22 GOF22 GYB22 HHX22 HRT22 IBP22 ILL22 IVH22 JFD22 JOZ22 JYV22 KIR22 KSN22 LCJ22 LMF22 LWB22 MFX22 MPT22 MZP22 NJL22 NTH22 ODD22 OMZ22 OWV22 PGR22 PQN22 QAJ22 QKF22 QUB22 RDX22 RNT22 RXP22 SHL22 SRH22 TBD22 TKZ22 TUV22 UER22 UON22 UYJ22 VIF22 VSB22 WBX22 WLT22 WVP22 H65555 JD65555 SZ65555 ACV65555 AMR65555 AWN65555 BGJ65555 BQF65555 CAB65555 CJX65555 CTT65555 DDP65555 DNL65555 DXH65555 EHD65555 EQZ65555 FAV65555 FKR65555 FUN65555 GEJ65555 GOF65555 GYB65555 HHX65555 HRT65555 IBP65555 ILL65555 IVH65555 JFD65555 JOZ65555 JYV65555 KIR65555 KSN65555 LCJ65555 LMF65555 LWB65555 MFX65555 MPT65555 MZP65555 NJL65555 NTH65555 ODD65555 OMZ65555 OWV65555 PGR65555 PQN65555 QAJ65555 QKF65555 QUB65555 RDX65555 RNT65555 RXP65555 SHL65555 SRH65555 TBD65555 TKZ65555 TUV65555 UER65555 UON65555 UYJ65555 VIF65555 VSB65555 WBX65555 WLT65555 WVP65555 H131091 JD131091 SZ131091 ACV131091 AMR131091 AWN131091 BGJ131091 BQF131091 CAB131091 CJX131091 CTT131091 DDP131091 DNL131091 DXH131091 EHD131091 EQZ131091 FAV131091 FKR131091 FUN131091 GEJ131091 GOF131091 GYB131091 HHX131091 HRT131091 IBP131091 ILL131091 IVH131091 JFD131091 JOZ131091 JYV131091 KIR131091 KSN131091 LCJ131091 LMF131091 LWB131091 MFX131091 MPT131091 MZP131091 NJL131091 NTH131091 ODD131091 OMZ131091 OWV131091 PGR131091 PQN131091 QAJ131091 QKF131091 QUB131091 RDX131091 RNT131091 RXP131091 SHL131091 SRH131091 TBD131091 TKZ131091 TUV131091 UER131091 UON131091 UYJ131091 VIF131091 VSB131091 WBX131091 WLT131091 WVP131091 H196627 JD196627 SZ196627 ACV196627 AMR196627 AWN196627 BGJ196627 BQF196627 CAB196627 CJX196627 CTT196627 DDP196627 DNL196627 DXH196627 EHD196627 EQZ196627 FAV196627 FKR196627 FUN196627 GEJ196627 GOF196627 GYB196627 HHX196627 HRT196627 IBP196627 ILL196627 IVH196627 JFD196627 JOZ196627 JYV196627 KIR196627 KSN196627 LCJ196627 LMF196627 LWB196627 MFX196627 MPT196627 MZP196627 NJL196627 NTH196627 ODD196627 OMZ196627 OWV196627 PGR196627 PQN196627 QAJ196627 QKF196627 QUB196627 RDX196627 RNT196627 RXP196627 SHL196627 SRH196627 TBD196627 TKZ196627 TUV196627 UER196627 UON196627 UYJ196627 VIF196627 VSB196627 WBX196627 WLT196627 WVP196627 H262163 JD262163 SZ262163 ACV262163 AMR262163 AWN262163 BGJ262163 BQF262163 CAB262163 CJX262163 CTT262163 DDP262163 DNL262163 DXH262163 EHD262163 EQZ262163 FAV262163 FKR262163 FUN262163 GEJ262163 GOF262163 GYB262163 HHX262163 HRT262163 IBP262163 ILL262163 IVH262163 JFD262163 JOZ262163 JYV262163 KIR262163 KSN262163 LCJ262163 LMF262163 LWB262163 MFX262163 MPT262163 MZP262163 NJL262163 NTH262163 ODD262163 OMZ262163 OWV262163 PGR262163 PQN262163 QAJ262163 QKF262163 QUB262163 RDX262163 RNT262163 RXP262163 SHL262163 SRH262163 TBD262163 TKZ262163 TUV262163 UER262163 UON262163 UYJ262163 VIF262163 VSB262163 WBX262163 WLT262163 WVP262163 H327699 JD327699 SZ327699 ACV327699 AMR327699 AWN327699 BGJ327699 BQF327699 CAB327699 CJX327699 CTT327699 DDP327699 DNL327699 DXH327699 EHD327699 EQZ327699 FAV327699 FKR327699 FUN327699 GEJ327699 GOF327699 GYB327699 HHX327699 HRT327699 IBP327699 ILL327699 IVH327699 JFD327699 JOZ327699 JYV327699 KIR327699 KSN327699 LCJ327699 LMF327699 LWB327699 MFX327699 MPT327699 MZP327699 NJL327699 NTH327699 ODD327699 OMZ327699 OWV327699 PGR327699 PQN327699 QAJ327699 QKF327699 QUB327699 RDX327699 RNT327699 RXP327699 SHL327699 SRH327699 TBD327699 TKZ327699 TUV327699 UER327699 UON327699 UYJ327699 VIF327699 VSB327699 WBX327699 WLT327699 WVP327699 H393235 JD393235 SZ393235 ACV393235 AMR393235 AWN393235 BGJ393235 BQF393235 CAB393235 CJX393235 CTT393235 DDP393235 DNL393235 DXH393235 EHD393235 EQZ393235 FAV393235 FKR393235 FUN393235 GEJ393235 GOF393235 GYB393235 HHX393235 HRT393235 IBP393235 ILL393235 IVH393235 JFD393235 JOZ393235 JYV393235 KIR393235 KSN393235 LCJ393235 LMF393235 LWB393235 MFX393235 MPT393235 MZP393235 NJL393235 NTH393235 ODD393235 OMZ393235 OWV393235 PGR393235 PQN393235 QAJ393235 QKF393235 QUB393235 RDX393235 RNT393235 RXP393235 SHL393235 SRH393235 TBD393235 TKZ393235 TUV393235 UER393235 UON393235 UYJ393235 VIF393235 VSB393235 WBX393235 WLT393235 WVP393235 H458771 JD458771 SZ458771 ACV458771 AMR458771 AWN458771 BGJ458771 BQF458771 CAB458771 CJX458771 CTT458771 DDP458771 DNL458771 DXH458771 EHD458771 EQZ458771 FAV458771 FKR458771 FUN458771 GEJ458771 GOF458771 GYB458771 HHX458771 HRT458771 IBP458771 ILL458771 IVH458771 JFD458771 JOZ458771 JYV458771 KIR458771 KSN458771 LCJ458771 LMF458771 LWB458771 MFX458771 MPT458771 MZP458771 NJL458771 NTH458771 ODD458771 OMZ458771 OWV458771 PGR458771 PQN458771 QAJ458771 QKF458771 QUB458771 RDX458771 RNT458771 RXP458771 SHL458771 SRH458771 TBD458771 TKZ458771 TUV458771 UER458771 UON458771 UYJ458771 VIF458771 VSB458771 WBX458771 WLT458771 WVP458771 H524307 JD524307 SZ524307 ACV524307 AMR524307 AWN524307 BGJ524307 BQF524307 CAB524307 CJX524307 CTT524307 DDP524307 DNL524307 DXH524307 EHD524307 EQZ524307 FAV524307 FKR524307 FUN524307 GEJ524307 GOF524307 GYB524307 HHX524307 HRT524307 IBP524307 ILL524307 IVH524307 JFD524307 JOZ524307 JYV524307 KIR524307 KSN524307 LCJ524307 LMF524307 LWB524307 MFX524307 MPT524307 MZP524307 NJL524307 NTH524307 ODD524307 OMZ524307 OWV524307 PGR524307 PQN524307 QAJ524307 QKF524307 QUB524307 RDX524307 RNT524307 RXP524307 SHL524307 SRH524307 TBD524307 TKZ524307 TUV524307 UER524307 UON524307 UYJ524307 VIF524307 VSB524307 WBX524307 WLT524307 WVP524307 H589843 JD589843 SZ589843 ACV589843 AMR589843 AWN589843 BGJ589843 BQF589843 CAB589843 CJX589843 CTT589843 DDP589843 DNL589843 DXH589843 EHD589843 EQZ589843 FAV589843 FKR589843 FUN589843 GEJ589843 GOF589843 GYB589843 HHX589843 HRT589843 IBP589843 ILL589843 IVH589843 JFD589843 JOZ589843 JYV589843 KIR589843 KSN589843 LCJ589843 LMF589843 LWB589843 MFX589843 MPT589843 MZP589843 NJL589843 NTH589843 ODD589843 OMZ589843 OWV589843 PGR589843 PQN589843 QAJ589843 QKF589843 QUB589843 RDX589843 RNT589843 RXP589843 SHL589843 SRH589843 TBD589843 TKZ589843 TUV589843 UER589843 UON589843 UYJ589843 VIF589843 VSB589843 WBX589843 WLT589843 WVP589843 H655379 JD655379 SZ655379 ACV655379 AMR655379 AWN655379 BGJ655379 BQF655379 CAB655379 CJX655379 CTT655379 DDP655379 DNL655379 DXH655379 EHD655379 EQZ655379 FAV655379 FKR655379 FUN655379 GEJ655379 GOF655379 GYB655379 HHX655379 HRT655379 IBP655379 ILL655379 IVH655379 JFD655379 JOZ655379 JYV655379 KIR655379 KSN655379 LCJ655379 LMF655379 LWB655379 MFX655379 MPT655379 MZP655379 NJL655379 NTH655379 ODD655379 OMZ655379 OWV655379 PGR655379 PQN655379 QAJ655379 QKF655379 QUB655379 RDX655379 RNT655379 RXP655379 SHL655379 SRH655379 TBD655379 TKZ655379 TUV655379 UER655379 UON655379 UYJ655379 VIF655379 VSB655379 WBX655379 WLT655379 WVP655379 H720915 JD720915 SZ720915 ACV720915 AMR720915 AWN720915 BGJ720915 BQF720915 CAB720915 CJX720915 CTT720915 DDP720915 DNL720915 DXH720915 EHD720915 EQZ720915 FAV720915 FKR720915 FUN720915 GEJ720915 GOF720915 GYB720915 HHX720915 HRT720915 IBP720915 ILL720915 IVH720915 JFD720915 JOZ720915 JYV720915 KIR720915 KSN720915 LCJ720915 LMF720915 LWB720915 MFX720915 MPT720915 MZP720915 NJL720915 NTH720915 ODD720915 OMZ720915 OWV720915 PGR720915 PQN720915 QAJ720915 QKF720915 QUB720915 RDX720915 RNT720915 RXP720915 SHL720915 SRH720915 TBD720915 TKZ720915 TUV720915 UER720915 UON720915 UYJ720915 VIF720915 VSB720915 WBX720915 WLT720915 WVP720915 H786451 JD786451 SZ786451 ACV786451 AMR786451 AWN786451 BGJ786451 BQF786451 CAB786451 CJX786451 CTT786451 DDP786451 DNL786451 DXH786451 EHD786451 EQZ786451 FAV786451 FKR786451 FUN786451 GEJ786451 GOF786451 GYB786451 HHX786451 HRT786451 IBP786451 ILL786451 IVH786451 JFD786451 JOZ786451 JYV786451 KIR786451 KSN786451 LCJ786451 LMF786451 LWB786451 MFX786451 MPT786451 MZP786451 NJL786451 NTH786451 ODD786451 OMZ786451 OWV786451 PGR786451 PQN786451 QAJ786451 QKF786451 QUB786451 RDX786451 RNT786451 RXP786451 SHL786451 SRH786451 TBD786451 TKZ786451 TUV786451 UER786451 UON786451 UYJ786451 VIF786451 VSB786451 WBX786451 WLT786451 WVP786451 H851987 JD851987 SZ851987 ACV851987 AMR851987 AWN851987 BGJ851987 BQF851987 CAB851987 CJX851987 CTT851987 DDP851987 DNL851987 DXH851987 EHD851987 EQZ851987 FAV851987 FKR851987 FUN851987 GEJ851987 GOF851987 GYB851987 HHX851987 HRT851987 IBP851987 ILL851987 IVH851987 JFD851987 JOZ851987 JYV851987 KIR851987 KSN851987 LCJ851987 LMF851987 LWB851987 MFX851987 MPT851987 MZP851987 NJL851987 NTH851987 ODD851987 OMZ851987 OWV851987 PGR851987 PQN851987 QAJ851987 QKF851987 QUB851987 RDX851987 RNT851987 RXP851987 SHL851987 SRH851987 TBD851987 TKZ851987 TUV851987 UER851987 UON851987 UYJ851987 VIF851987 VSB851987 WBX851987 WLT851987 WVP851987 H917523 JD917523 SZ917523 ACV917523 AMR917523 AWN917523 BGJ917523 BQF917523 CAB917523 CJX917523 CTT917523 DDP917523 DNL917523 DXH917523 EHD917523 EQZ917523 FAV917523 FKR917523 FUN917523 GEJ917523 GOF917523 GYB917523 HHX917523 HRT917523 IBP917523 ILL917523 IVH917523 JFD917523 JOZ917523 JYV917523 KIR917523 KSN917523 LCJ917523 LMF917523 LWB917523 MFX917523 MPT917523 MZP917523 NJL917523 NTH917523 ODD917523 OMZ917523 OWV917523 PGR917523 PQN917523 QAJ917523 QKF917523 QUB917523 RDX917523 RNT917523 RXP917523 SHL917523 SRH917523 TBD917523 TKZ917523 TUV917523 UER917523 UON917523 UYJ917523 VIF917523 VSB917523 WBX917523 WLT917523 WVP917523 H983059 JD983059 SZ983059 ACV983059 AMR983059 AWN983059 BGJ983059 BQF983059 CAB983059 CJX983059 CTT983059 DDP983059 DNL983059 DXH983059 EHD983059 EQZ983059 FAV983059 FKR983059 FUN983059 GEJ983059 GOF983059 GYB983059 HHX983059 HRT983059 IBP983059 ILL983059 IVH983059 JFD983059 JOZ983059 JYV983059 KIR983059 KSN983059 LCJ983059 LMF983059 LWB983059 MFX983059 MPT983059 MZP983059 NJL983059 NTH983059 ODD983059 OMZ983059 OWV983059 PGR983059 PQN983059 QAJ983059 QKF983059 QUB983059 RDX983059 RNT983059 RXP983059 SHL983059 SRH983059 TBD983059 TKZ983059 TUV983059 UER983059 UON983059 UYJ983059 VIF983059 VSB983059 WBX983059 WLT983059 WVP983059">
      <formula1>$AC$16:$AC$18</formula1>
    </dataValidation>
    <dataValidation type="list" allowBlank="1" showInputMessage="1" showErrorMessage="1" sqref="WVY983066:WVY983067 JM29:JM30 TI29:TI30 ADE29:ADE30 ANA29:ANA30 AWW29:AWW30 BGS29:BGS30 BQO29:BQO30 CAK29:CAK30 CKG29:CKG30 CUC29:CUC30 DDY29:DDY30 DNU29:DNU30 DXQ29:DXQ30 EHM29:EHM30 ERI29:ERI30 FBE29:FBE30 FLA29:FLA30 FUW29:FUW30 GES29:GES30 GOO29:GOO30 GYK29:GYK30 HIG29:HIG30 HSC29:HSC30 IBY29:IBY30 ILU29:ILU30 IVQ29:IVQ30 JFM29:JFM30 JPI29:JPI30 JZE29:JZE30 KJA29:KJA30 KSW29:KSW30 LCS29:LCS30 LMO29:LMO30 LWK29:LWK30 MGG29:MGG30 MQC29:MQC30 MZY29:MZY30 NJU29:NJU30 NTQ29:NTQ30 ODM29:ODM30 ONI29:ONI30 OXE29:OXE30 PHA29:PHA30 PQW29:PQW30 QAS29:QAS30 QKO29:QKO30 QUK29:QUK30 REG29:REG30 ROC29:ROC30 RXY29:RXY30 SHU29:SHU30 SRQ29:SRQ30 TBM29:TBM30 TLI29:TLI30 TVE29:TVE30 UFA29:UFA30 UOW29:UOW30 UYS29:UYS30 VIO29:VIO30 VSK29:VSK30 WCG29:WCG30 WMC29:WMC30 WVY29:WVY30 Q65562:Q65563 JM65562:JM65563 TI65562:TI65563 ADE65562:ADE65563 ANA65562:ANA65563 AWW65562:AWW65563 BGS65562:BGS65563 BQO65562:BQO65563 CAK65562:CAK65563 CKG65562:CKG65563 CUC65562:CUC65563 DDY65562:DDY65563 DNU65562:DNU65563 DXQ65562:DXQ65563 EHM65562:EHM65563 ERI65562:ERI65563 FBE65562:FBE65563 FLA65562:FLA65563 FUW65562:FUW65563 GES65562:GES65563 GOO65562:GOO65563 GYK65562:GYK65563 HIG65562:HIG65563 HSC65562:HSC65563 IBY65562:IBY65563 ILU65562:ILU65563 IVQ65562:IVQ65563 JFM65562:JFM65563 JPI65562:JPI65563 JZE65562:JZE65563 KJA65562:KJA65563 KSW65562:KSW65563 LCS65562:LCS65563 LMO65562:LMO65563 LWK65562:LWK65563 MGG65562:MGG65563 MQC65562:MQC65563 MZY65562:MZY65563 NJU65562:NJU65563 NTQ65562:NTQ65563 ODM65562:ODM65563 ONI65562:ONI65563 OXE65562:OXE65563 PHA65562:PHA65563 PQW65562:PQW65563 QAS65562:QAS65563 QKO65562:QKO65563 QUK65562:QUK65563 REG65562:REG65563 ROC65562:ROC65563 RXY65562:RXY65563 SHU65562:SHU65563 SRQ65562:SRQ65563 TBM65562:TBM65563 TLI65562:TLI65563 TVE65562:TVE65563 UFA65562:UFA65563 UOW65562:UOW65563 UYS65562:UYS65563 VIO65562:VIO65563 VSK65562:VSK65563 WCG65562:WCG65563 WMC65562:WMC65563 WVY65562:WVY65563 Q131098:Q131099 JM131098:JM131099 TI131098:TI131099 ADE131098:ADE131099 ANA131098:ANA131099 AWW131098:AWW131099 BGS131098:BGS131099 BQO131098:BQO131099 CAK131098:CAK131099 CKG131098:CKG131099 CUC131098:CUC131099 DDY131098:DDY131099 DNU131098:DNU131099 DXQ131098:DXQ131099 EHM131098:EHM131099 ERI131098:ERI131099 FBE131098:FBE131099 FLA131098:FLA131099 FUW131098:FUW131099 GES131098:GES131099 GOO131098:GOO131099 GYK131098:GYK131099 HIG131098:HIG131099 HSC131098:HSC131099 IBY131098:IBY131099 ILU131098:ILU131099 IVQ131098:IVQ131099 JFM131098:JFM131099 JPI131098:JPI131099 JZE131098:JZE131099 KJA131098:KJA131099 KSW131098:KSW131099 LCS131098:LCS131099 LMO131098:LMO131099 LWK131098:LWK131099 MGG131098:MGG131099 MQC131098:MQC131099 MZY131098:MZY131099 NJU131098:NJU131099 NTQ131098:NTQ131099 ODM131098:ODM131099 ONI131098:ONI131099 OXE131098:OXE131099 PHA131098:PHA131099 PQW131098:PQW131099 QAS131098:QAS131099 QKO131098:QKO131099 QUK131098:QUK131099 REG131098:REG131099 ROC131098:ROC131099 RXY131098:RXY131099 SHU131098:SHU131099 SRQ131098:SRQ131099 TBM131098:TBM131099 TLI131098:TLI131099 TVE131098:TVE131099 UFA131098:UFA131099 UOW131098:UOW131099 UYS131098:UYS131099 VIO131098:VIO131099 VSK131098:VSK131099 WCG131098:WCG131099 WMC131098:WMC131099 WVY131098:WVY131099 Q196634:Q196635 JM196634:JM196635 TI196634:TI196635 ADE196634:ADE196635 ANA196634:ANA196635 AWW196634:AWW196635 BGS196634:BGS196635 BQO196634:BQO196635 CAK196634:CAK196635 CKG196634:CKG196635 CUC196634:CUC196635 DDY196634:DDY196635 DNU196634:DNU196635 DXQ196634:DXQ196635 EHM196634:EHM196635 ERI196634:ERI196635 FBE196634:FBE196635 FLA196634:FLA196635 FUW196634:FUW196635 GES196634:GES196635 GOO196634:GOO196635 GYK196634:GYK196635 HIG196634:HIG196635 HSC196634:HSC196635 IBY196634:IBY196635 ILU196634:ILU196635 IVQ196634:IVQ196635 JFM196634:JFM196635 JPI196634:JPI196635 JZE196634:JZE196635 KJA196634:KJA196635 KSW196634:KSW196635 LCS196634:LCS196635 LMO196634:LMO196635 LWK196634:LWK196635 MGG196634:MGG196635 MQC196634:MQC196635 MZY196634:MZY196635 NJU196634:NJU196635 NTQ196634:NTQ196635 ODM196634:ODM196635 ONI196634:ONI196635 OXE196634:OXE196635 PHA196634:PHA196635 PQW196634:PQW196635 QAS196634:QAS196635 QKO196634:QKO196635 QUK196634:QUK196635 REG196634:REG196635 ROC196634:ROC196635 RXY196634:RXY196635 SHU196634:SHU196635 SRQ196634:SRQ196635 TBM196634:TBM196635 TLI196634:TLI196635 TVE196634:TVE196635 UFA196634:UFA196635 UOW196634:UOW196635 UYS196634:UYS196635 VIO196634:VIO196635 VSK196634:VSK196635 WCG196634:WCG196635 WMC196634:WMC196635 WVY196634:WVY196635 Q262170:Q262171 JM262170:JM262171 TI262170:TI262171 ADE262170:ADE262171 ANA262170:ANA262171 AWW262170:AWW262171 BGS262170:BGS262171 BQO262170:BQO262171 CAK262170:CAK262171 CKG262170:CKG262171 CUC262170:CUC262171 DDY262170:DDY262171 DNU262170:DNU262171 DXQ262170:DXQ262171 EHM262170:EHM262171 ERI262170:ERI262171 FBE262170:FBE262171 FLA262170:FLA262171 FUW262170:FUW262171 GES262170:GES262171 GOO262170:GOO262171 GYK262170:GYK262171 HIG262170:HIG262171 HSC262170:HSC262171 IBY262170:IBY262171 ILU262170:ILU262171 IVQ262170:IVQ262171 JFM262170:JFM262171 JPI262170:JPI262171 JZE262170:JZE262171 KJA262170:KJA262171 KSW262170:KSW262171 LCS262170:LCS262171 LMO262170:LMO262171 LWK262170:LWK262171 MGG262170:MGG262171 MQC262170:MQC262171 MZY262170:MZY262171 NJU262170:NJU262171 NTQ262170:NTQ262171 ODM262170:ODM262171 ONI262170:ONI262171 OXE262170:OXE262171 PHA262170:PHA262171 PQW262170:PQW262171 QAS262170:QAS262171 QKO262170:QKO262171 QUK262170:QUK262171 REG262170:REG262171 ROC262170:ROC262171 RXY262170:RXY262171 SHU262170:SHU262171 SRQ262170:SRQ262171 TBM262170:TBM262171 TLI262170:TLI262171 TVE262170:TVE262171 UFA262170:UFA262171 UOW262170:UOW262171 UYS262170:UYS262171 VIO262170:VIO262171 VSK262170:VSK262171 WCG262170:WCG262171 WMC262170:WMC262171 WVY262170:WVY262171 Q327706:Q327707 JM327706:JM327707 TI327706:TI327707 ADE327706:ADE327707 ANA327706:ANA327707 AWW327706:AWW327707 BGS327706:BGS327707 BQO327706:BQO327707 CAK327706:CAK327707 CKG327706:CKG327707 CUC327706:CUC327707 DDY327706:DDY327707 DNU327706:DNU327707 DXQ327706:DXQ327707 EHM327706:EHM327707 ERI327706:ERI327707 FBE327706:FBE327707 FLA327706:FLA327707 FUW327706:FUW327707 GES327706:GES327707 GOO327706:GOO327707 GYK327706:GYK327707 HIG327706:HIG327707 HSC327706:HSC327707 IBY327706:IBY327707 ILU327706:ILU327707 IVQ327706:IVQ327707 JFM327706:JFM327707 JPI327706:JPI327707 JZE327706:JZE327707 KJA327706:KJA327707 KSW327706:KSW327707 LCS327706:LCS327707 LMO327706:LMO327707 LWK327706:LWK327707 MGG327706:MGG327707 MQC327706:MQC327707 MZY327706:MZY327707 NJU327706:NJU327707 NTQ327706:NTQ327707 ODM327706:ODM327707 ONI327706:ONI327707 OXE327706:OXE327707 PHA327706:PHA327707 PQW327706:PQW327707 QAS327706:QAS327707 QKO327706:QKO327707 QUK327706:QUK327707 REG327706:REG327707 ROC327706:ROC327707 RXY327706:RXY327707 SHU327706:SHU327707 SRQ327706:SRQ327707 TBM327706:TBM327707 TLI327706:TLI327707 TVE327706:TVE327707 UFA327706:UFA327707 UOW327706:UOW327707 UYS327706:UYS327707 VIO327706:VIO327707 VSK327706:VSK327707 WCG327706:WCG327707 WMC327706:WMC327707 WVY327706:WVY327707 Q393242:Q393243 JM393242:JM393243 TI393242:TI393243 ADE393242:ADE393243 ANA393242:ANA393243 AWW393242:AWW393243 BGS393242:BGS393243 BQO393242:BQO393243 CAK393242:CAK393243 CKG393242:CKG393243 CUC393242:CUC393243 DDY393242:DDY393243 DNU393242:DNU393243 DXQ393242:DXQ393243 EHM393242:EHM393243 ERI393242:ERI393243 FBE393242:FBE393243 FLA393242:FLA393243 FUW393242:FUW393243 GES393242:GES393243 GOO393242:GOO393243 GYK393242:GYK393243 HIG393242:HIG393243 HSC393242:HSC393243 IBY393242:IBY393243 ILU393242:ILU393243 IVQ393242:IVQ393243 JFM393242:JFM393243 JPI393242:JPI393243 JZE393242:JZE393243 KJA393242:KJA393243 KSW393242:KSW393243 LCS393242:LCS393243 LMO393242:LMO393243 LWK393242:LWK393243 MGG393242:MGG393243 MQC393242:MQC393243 MZY393242:MZY393243 NJU393242:NJU393243 NTQ393242:NTQ393243 ODM393242:ODM393243 ONI393242:ONI393243 OXE393242:OXE393243 PHA393242:PHA393243 PQW393242:PQW393243 QAS393242:QAS393243 QKO393242:QKO393243 QUK393242:QUK393243 REG393242:REG393243 ROC393242:ROC393243 RXY393242:RXY393243 SHU393242:SHU393243 SRQ393242:SRQ393243 TBM393242:TBM393243 TLI393242:TLI393243 TVE393242:TVE393243 UFA393242:UFA393243 UOW393242:UOW393243 UYS393242:UYS393243 VIO393242:VIO393243 VSK393242:VSK393243 WCG393242:WCG393243 WMC393242:WMC393243 WVY393242:WVY393243 Q458778:Q458779 JM458778:JM458779 TI458778:TI458779 ADE458778:ADE458779 ANA458778:ANA458779 AWW458778:AWW458779 BGS458778:BGS458779 BQO458778:BQO458779 CAK458778:CAK458779 CKG458778:CKG458779 CUC458778:CUC458779 DDY458778:DDY458779 DNU458778:DNU458779 DXQ458778:DXQ458779 EHM458778:EHM458779 ERI458778:ERI458779 FBE458778:FBE458779 FLA458778:FLA458779 FUW458778:FUW458779 GES458778:GES458779 GOO458778:GOO458779 GYK458778:GYK458779 HIG458778:HIG458779 HSC458778:HSC458779 IBY458778:IBY458779 ILU458778:ILU458779 IVQ458778:IVQ458779 JFM458778:JFM458779 JPI458778:JPI458779 JZE458778:JZE458779 KJA458778:KJA458779 KSW458778:KSW458779 LCS458778:LCS458779 LMO458778:LMO458779 LWK458778:LWK458779 MGG458778:MGG458779 MQC458778:MQC458779 MZY458778:MZY458779 NJU458778:NJU458779 NTQ458778:NTQ458779 ODM458778:ODM458779 ONI458778:ONI458779 OXE458778:OXE458779 PHA458778:PHA458779 PQW458778:PQW458779 QAS458778:QAS458779 QKO458778:QKO458779 QUK458778:QUK458779 REG458778:REG458779 ROC458778:ROC458779 RXY458778:RXY458779 SHU458778:SHU458779 SRQ458778:SRQ458779 TBM458778:TBM458779 TLI458778:TLI458779 TVE458778:TVE458779 UFA458778:UFA458779 UOW458778:UOW458779 UYS458778:UYS458779 VIO458778:VIO458779 VSK458778:VSK458779 WCG458778:WCG458779 WMC458778:WMC458779 WVY458778:WVY458779 Q524314:Q524315 JM524314:JM524315 TI524314:TI524315 ADE524314:ADE524315 ANA524314:ANA524315 AWW524314:AWW524315 BGS524314:BGS524315 BQO524314:BQO524315 CAK524314:CAK524315 CKG524314:CKG524315 CUC524314:CUC524315 DDY524314:DDY524315 DNU524314:DNU524315 DXQ524314:DXQ524315 EHM524314:EHM524315 ERI524314:ERI524315 FBE524314:FBE524315 FLA524314:FLA524315 FUW524314:FUW524315 GES524314:GES524315 GOO524314:GOO524315 GYK524314:GYK524315 HIG524314:HIG524315 HSC524314:HSC524315 IBY524314:IBY524315 ILU524314:ILU524315 IVQ524314:IVQ524315 JFM524314:JFM524315 JPI524314:JPI524315 JZE524314:JZE524315 KJA524314:KJA524315 KSW524314:KSW524315 LCS524314:LCS524315 LMO524314:LMO524315 LWK524314:LWK524315 MGG524314:MGG524315 MQC524314:MQC524315 MZY524314:MZY524315 NJU524314:NJU524315 NTQ524314:NTQ524315 ODM524314:ODM524315 ONI524314:ONI524315 OXE524314:OXE524315 PHA524314:PHA524315 PQW524314:PQW524315 QAS524314:QAS524315 QKO524314:QKO524315 QUK524314:QUK524315 REG524314:REG524315 ROC524314:ROC524315 RXY524314:RXY524315 SHU524314:SHU524315 SRQ524314:SRQ524315 TBM524314:TBM524315 TLI524314:TLI524315 TVE524314:TVE524315 UFA524314:UFA524315 UOW524314:UOW524315 UYS524314:UYS524315 VIO524314:VIO524315 VSK524314:VSK524315 WCG524314:WCG524315 WMC524314:WMC524315 WVY524314:WVY524315 Q589850:Q589851 JM589850:JM589851 TI589850:TI589851 ADE589850:ADE589851 ANA589850:ANA589851 AWW589850:AWW589851 BGS589850:BGS589851 BQO589850:BQO589851 CAK589850:CAK589851 CKG589850:CKG589851 CUC589850:CUC589851 DDY589850:DDY589851 DNU589850:DNU589851 DXQ589850:DXQ589851 EHM589850:EHM589851 ERI589850:ERI589851 FBE589850:FBE589851 FLA589850:FLA589851 FUW589850:FUW589851 GES589850:GES589851 GOO589850:GOO589851 GYK589850:GYK589851 HIG589850:HIG589851 HSC589850:HSC589851 IBY589850:IBY589851 ILU589850:ILU589851 IVQ589850:IVQ589851 JFM589850:JFM589851 JPI589850:JPI589851 JZE589850:JZE589851 KJA589850:KJA589851 KSW589850:KSW589851 LCS589850:LCS589851 LMO589850:LMO589851 LWK589850:LWK589851 MGG589850:MGG589851 MQC589850:MQC589851 MZY589850:MZY589851 NJU589850:NJU589851 NTQ589850:NTQ589851 ODM589850:ODM589851 ONI589850:ONI589851 OXE589850:OXE589851 PHA589850:PHA589851 PQW589850:PQW589851 QAS589850:QAS589851 QKO589850:QKO589851 QUK589850:QUK589851 REG589850:REG589851 ROC589850:ROC589851 RXY589850:RXY589851 SHU589850:SHU589851 SRQ589850:SRQ589851 TBM589850:TBM589851 TLI589850:TLI589851 TVE589850:TVE589851 UFA589850:UFA589851 UOW589850:UOW589851 UYS589850:UYS589851 VIO589850:VIO589851 VSK589850:VSK589851 WCG589850:WCG589851 WMC589850:WMC589851 WVY589850:WVY589851 Q655386:Q655387 JM655386:JM655387 TI655386:TI655387 ADE655386:ADE655387 ANA655386:ANA655387 AWW655386:AWW655387 BGS655386:BGS655387 BQO655386:BQO655387 CAK655386:CAK655387 CKG655386:CKG655387 CUC655386:CUC655387 DDY655386:DDY655387 DNU655386:DNU655387 DXQ655386:DXQ655387 EHM655386:EHM655387 ERI655386:ERI655387 FBE655386:FBE655387 FLA655386:FLA655387 FUW655386:FUW655387 GES655386:GES655387 GOO655386:GOO655387 GYK655386:GYK655387 HIG655386:HIG655387 HSC655386:HSC655387 IBY655386:IBY655387 ILU655386:ILU655387 IVQ655386:IVQ655387 JFM655386:JFM655387 JPI655386:JPI655387 JZE655386:JZE655387 KJA655386:KJA655387 KSW655386:KSW655387 LCS655386:LCS655387 LMO655386:LMO655387 LWK655386:LWK655387 MGG655386:MGG655387 MQC655386:MQC655387 MZY655386:MZY655387 NJU655386:NJU655387 NTQ655386:NTQ655387 ODM655386:ODM655387 ONI655386:ONI655387 OXE655386:OXE655387 PHA655386:PHA655387 PQW655386:PQW655387 QAS655386:QAS655387 QKO655386:QKO655387 QUK655386:QUK655387 REG655386:REG655387 ROC655386:ROC655387 RXY655386:RXY655387 SHU655386:SHU655387 SRQ655386:SRQ655387 TBM655386:TBM655387 TLI655386:TLI655387 TVE655386:TVE655387 UFA655386:UFA655387 UOW655386:UOW655387 UYS655386:UYS655387 VIO655386:VIO655387 VSK655386:VSK655387 WCG655386:WCG655387 WMC655386:WMC655387 WVY655386:WVY655387 Q720922:Q720923 JM720922:JM720923 TI720922:TI720923 ADE720922:ADE720923 ANA720922:ANA720923 AWW720922:AWW720923 BGS720922:BGS720923 BQO720922:BQO720923 CAK720922:CAK720923 CKG720922:CKG720923 CUC720922:CUC720923 DDY720922:DDY720923 DNU720922:DNU720923 DXQ720922:DXQ720923 EHM720922:EHM720923 ERI720922:ERI720923 FBE720922:FBE720923 FLA720922:FLA720923 FUW720922:FUW720923 GES720922:GES720923 GOO720922:GOO720923 GYK720922:GYK720923 HIG720922:HIG720923 HSC720922:HSC720923 IBY720922:IBY720923 ILU720922:ILU720923 IVQ720922:IVQ720923 JFM720922:JFM720923 JPI720922:JPI720923 JZE720922:JZE720923 KJA720922:KJA720923 KSW720922:KSW720923 LCS720922:LCS720923 LMO720922:LMO720923 LWK720922:LWK720923 MGG720922:MGG720923 MQC720922:MQC720923 MZY720922:MZY720923 NJU720922:NJU720923 NTQ720922:NTQ720923 ODM720922:ODM720923 ONI720922:ONI720923 OXE720922:OXE720923 PHA720922:PHA720923 PQW720922:PQW720923 QAS720922:QAS720923 QKO720922:QKO720923 QUK720922:QUK720923 REG720922:REG720923 ROC720922:ROC720923 RXY720922:RXY720923 SHU720922:SHU720923 SRQ720922:SRQ720923 TBM720922:TBM720923 TLI720922:TLI720923 TVE720922:TVE720923 UFA720922:UFA720923 UOW720922:UOW720923 UYS720922:UYS720923 VIO720922:VIO720923 VSK720922:VSK720923 WCG720922:WCG720923 WMC720922:WMC720923 WVY720922:WVY720923 Q786458:Q786459 JM786458:JM786459 TI786458:TI786459 ADE786458:ADE786459 ANA786458:ANA786459 AWW786458:AWW786459 BGS786458:BGS786459 BQO786458:BQO786459 CAK786458:CAK786459 CKG786458:CKG786459 CUC786458:CUC786459 DDY786458:DDY786459 DNU786458:DNU786459 DXQ786458:DXQ786459 EHM786458:EHM786459 ERI786458:ERI786459 FBE786458:FBE786459 FLA786458:FLA786459 FUW786458:FUW786459 GES786458:GES786459 GOO786458:GOO786459 GYK786458:GYK786459 HIG786458:HIG786459 HSC786458:HSC786459 IBY786458:IBY786459 ILU786458:ILU786459 IVQ786458:IVQ786459 JFM786458:JFM786459 JPI786458:JPI786459 JZE786458:JZE786459 KJA786458:KJA786459 KSW786458:KSW786459 LCS786458:LCS786459 LMO786458:LMO786459 LWK786458:LWK786459 MGG786458:MGG786459 MQC786458:MQC786459 MZY786458:MZY786459 NJU786458:NJU786459 NTQ786458:NTQ786459 ODM786458:ODM786459 ONI786458:ONI786459 OXE786458:OXE786459 PHA786458:PHA786459 PQW786458:PQW786459 QAS786458:QAS786459 QKO786458:QKO786459 QUK786458:QUK786459 REG786458:REG786459 ROC786458:ROC786459 RXY786458:RXY786459 SHU786458:SHU786459 SRQ786458:SRQ786459 TBM786458:TBM786459 TLI786458:TLI786459 TVE786458:TVE786459 UFA786458:UFA786459 UOW786458:UOW786459 UYS786458:UYS786459 VIO786458:VIO786459 VSK786458:VSK786459 WCG786458:WCG786459 WMC786458:WMC786459 WVY786458:WVY786459 Q851994:Q851995 JM851994:JM851995 TI851994:TI851995 ADE851994:ADE851995 ANA851994:ANA851995 AWW851994:AWW851995 BGS851994:BGS851995 BQO851994:BQO851995 CAK851994:CAK851995 CKG851994:CKG851995 CUC851994:CUC851995 DDY851994:DDY851995 DNU851994:DNU851995 DXQ851994:DXQ851995 EHM851994:EHM851995 ERI851994:ERI851995 FBE851994:FBE851995 FLA851994:FLA851995 FUW851994:FUW851995 GES851994:GES851995 GOO851994:GOO851995 GYK851994:GYK851995 HIG851994:HIG851995 HSC851994:HSC851995 IBY851994:IBY851995 ILU851994:ILU851995 IVQ851994:IVQ851995 JFM851994:JFM851995 JPI851994:JPI851995 JZE851994:JZE851995 KJA851994:KJA851995 KSW851994:KSW851995 LCS851994:LCS851995 LMO851994:LMO851995 LWK851994:LWK851995 MGG851994:MGG851995 MQC851994:MQC851995 MZY851994:MZY851995 NJU851994:NJU851995 NTQ851994:NTQ851995 ODM851994:ODM851995 ONI851994:ONI851995 OXE851994:OXE851995 PHA851994:PHA851995 PQW851994:PQW851995 QAS851994:QAS851995 QKO851994:QKO851995 QUK851994:QUK851995 REG851994:REG851995 ROC851994:ROC851995 RXY851994:RXY851995 SHU851994:SHU851995 SRQ851994:SRQ851995 TBM851994:TBM851995 TLI851994:TLI851995 TVE851994:TVE851995 UFA851994:UFA851995 UOW851994:UOW851995 UYS851994:UYS851995 VIO851994:VIO851995 VSK851994:VSK851995 WCG851994:WCG851995 WMC851994:WMC851995 WVY851994:WVY851995 Q917530:Q917531 JM917530:JM917531 TI917530:TI917531 ADE917530:ADE917531 ANA917530:ANA917531 AWW917530:AWW917531 BGS917530:BGS917531 BQO917530:BQO917531 CAK917530:CAK917531 CKG917530:CKG917531 CUC917530:CUC917531 DDY917530:DDY917531 DNU917530:DNU917531 DXQ917530:DXQ917531 EHM917530:EHM917531 ERI917530:ERI917531 FBE917530:FBE917531 FLA917530:FLA917531 FUW917530:FUW917531 GES917530:GES917531 GOO917530:GOO917531 GYK917530:GYK917531 HIG917530:HIG917531 HSC917530:HSC917531 IBY917530:IBY917531 ILU917530:ILU917531 IVQ917530:IVQ917531 JFM917530:JFM917531 JPI917530:JPI917531 JZE917530:JZE917531 KJA917530:KJA917531 KSW917530:KSW917531 LCS917530:LCS917531 LMO917530:LMO917531 LWK917530:LWK917531 MGG917530:MGG917531 MQC917530:MQC917531 MZY917530:MZY917531 NJU917530:NJU917531 NTQ917530:NTQ917531 ODM917530:ODM917531 ONI917530:ONI917531 OXE917530:OXE917531 PHA917530:PHA917531 PQW917530:PQW917531 QAS917530:QAS917531 QKO917530:QKO917531 QUK917530:QUK917531 REG917530:REG917531 ROC917530:ROC917531 RXY917530:RXY917531 SHU917530:SHU917531 SRQ917530:SRQ917531 TBM917530:TBM917531 TLI917530:TLI917531 TVE917530:TVE917531 UFA917530:UFA917531 UOW917530:UOW917531 UYS917530:UYS917531 VIO917530:VIO917531 VSK917530:VSK917531 WCG917530:WCG917531 WMC917530:WMC917531 WVY917530:WVY917531 Q983066:Q983067 JM983066:JM983067 TI983066:TI983067 ADE983066:ADE983067 ANA983066:ANA983067 AWW983066:AWW983067 BGS983066:BGS983067 BQO983066:BQO983067 CAK983066:CAK983067 CKG983066:CKG983067 CUC983066:CUC983067 DDY983066:DDY983067 DNU983066:DNU983067 DXQ983066:DXQ983067 EHM983066:EHM983067 ERI983066:ERI983067 FBE983066:FBE983067 FLA983066:FLA983067 FUW983066:FUW983067 GES983066:GES983067 GOO983066:GOO983067 GYK983066:GYK983067 HIG983066:HIG983067 HSC983066:HSC983067 IBY983066:IBY983067 ILU983066:ILU983067 IVQ983066:IVQ983067 JFM983066:JFM983067 JPI983066:JPI983067 JZE983066:JZE983067 KJA983066:KJA983067 KSW983066:KSW983067 LCS983066:LCS983067 LMO983066:LMO983067 LWK983066:LWK983067 MGG983066:MGG983067 MQC983066:MQC983067 MZY983066:MZY983067 NJU983066:NJU983067 NTQ983066:NTQ983067 ODM983066:ODM983067 ONI983066:ONI983067 OXE983066:OXE983067 PHA983066:PHA983067 PQW983066:PQW983067 QAS983066:QAS983067 QKO983066:QKO983067 QUK983066:QUK983067 REG983066:REG983067 ROC983066:ROC983067 RXY983066:RXY983067 SHU983066:SHU983067 SRQ983066:SRQ983067 TBM983066:TBM983067 TLI983066:TLI983067 TVE983066:TVE983067 UFA983066:UFA983067 UOW983066:UOW983067 UYS983066:UYS983067 VIO983066:VIO983067 VSK983066:VSK983067 WCG983066:WCG983067 WMC983066:WMC983067 Q29:Q30">
      <formula1>$AC$17:$AC$19</formula1>
    </dataValidation>
    <dataValidation type="list" allowBlank="1" showInputMessage="1" showErrorMessage="1" sqref="R19 JN19 TJ19 ADF19 ANB19 AWX19 BGT19 BQP19 CAL19 CKH19 CUD19 DDZ19 DNV19 DXR19 EHN19 ERJ19 FBF19 FLB19 FUX19 GET19 GOP19 GYL19 HIH19 HSD19 IBZ19 ILV19 IVR19 JFN19 JPJ19 JZF19 KJB19 KSX19 LCT19 LMP19 LWL19 MGH19 MQD19 MZZ19 NJV19 NTR19 ODN19 ONJ19 OXF19 PHB19 PQX19 QAT19 QKP19 QUL19 REH19 ROD19 RXZ19 SHV19 SRR19 TBN19 TLJ19 TVF19 UFB19 UOX19 UYT19 VIP19 VSL19 WCH19 WMD19 WVZ19 R65552 JN65552 TJ65552 ADF65552 ANB65552 AWX65552 BGT65552 BQP65552 CAL65552 CKH65552 CUD65552 DDZ65552 DNV65552 DXR65552 EHN65552 ERJ65552 FBF65552 FLB65552 FUX65552 GET65552 GOP65552 GYL65552 HIH65552 HSD65552 IBZ65552 ILV65552 IVR65552 JFN65552 JPJ65552 JZF65552 KJB65552 KSX65552 LCT65552 LMP65552 LWL65552 MGH65552 MQD65552 MZZ65552 NJV65552 NTR65552 ODN65552 ONJ65552 OXF65552 PHB65552 PQX65552 QAT65552 QKP65552 QUL65552 REH65552 ROD65552 RXZ65552 SHV65552 SRR65552 TBN65552 TLJ65552 TVF65552 UFB65552 UOX65552 UYT65552 VIP65552 VSL65552 WCH65552 WMD65552 WVZ65552 R131088 JN131088 TJ131088 ADF131088 ANB131088 AWX131088 BGT131088 BQP131088 CAL131088 CKH131088 CUD131088 DDZ131088 DNV131088 DXR131088 EHN131088 ERJ131088 FBF131088 FLB131088 FUX131088 GET131088 GOP131088 GYL131088 HIH131088 HSD131088 IBZ131088 ILV131088 IVR131088 JFN131088 JPJ131088 JZF131088 KJB131088 KSX131088 LCT131088 LMP131088 LWL131088 MGH131088 MQD131088 MZZ131088 NJV131088 NTR131088 ODN131088 ONJ131088 OXF131088 PHB131088 PQX131088 QAT131088 QKP131088 QUL131088 REH131088 ROD131088 RXZ131088 SHV131088 SRR131088 TBN131088 TLJ131088 TVF131088 UFB131088 UOX131088 UYT131088 VIP131088 VSL131088 WCH131088 WMD131088 WVZ131088 R196624 JN196624 TJ196624 ADF196624 ANB196624 AWX196624 BGT196624 BQP196624 CAL196624 CKH196624 CUD196624 DDZ196624 DNV196624 DXR196624 EHN196624 ERJ196624 FBF196624 FLB196624 FUX196624 GET196624 GOP196624 GYL196624 HIH196624 HSD196624 IBZ196624 ILV196624 IVR196624 JFN196624 JPJ196624 JZF196624 KJB196624 KSX196624 LCT196624 LMP196624 LWL196624 MGH196624 MQD196624 MZZ196624 NJV196624 NTR196624 ODN196624 ONJ196624 OXF196624 PHB196624 PQX196624 QAT196624 QKP196624 QUL196624 REH196624 ROD196624 RXZ196624 SHV196624 SRR196624 TBN196624 TLJ196624 TVF196624 UFB196624 UOX196624 UYT196624 VIP196624 VSL196624 WCH196624 WMD196624 WVZ196624 R262160 JN262160 TJ262160 ADF262160 ANB262160 AWX262160 BGT262160 BQP262160 CAL262160 CKH262160 CUD262160 DDZ262160 DNV262160 DXR262160 EHN262160 ERJ262160 FBF262160 FLB262160 FUX262160 GET262160 GOP262160 GYL262160 HIH262160 HSD262160 IBZ262160 ILV262160 IVR262160 JFN262160 JPJ262160 JZF262160 KJB262160 KSX262160 LCT262160 LMP262160 LWL262160 MGH262160 MQD262160 MZZ262160 NJV262160 NTR262160 ODN262160 ONJ262160 OXF262160 PHB262160 PQX262160 QAT262160 QKP262160 QUL262160 REH262160 ROD262160 RXZ262160 SHV262160 SRR262160 TBN262160 TLJ262160 TVF262160 UFB262160 UOX262160 UYT262160 VIP262160 VSL262160 WCH262160 WMD262160 WVZ262160 R327696 JN327696 TJ327696 ADF327696 ANB327696 AWX327696 BGT327696 BQP327696 CAL327696 CKH327696 CUD327696 DDZ327696 DNV327696 DXR327696 EHN327696 ERJ327696 FBF327696 FLB327696 FUX327696 GET327696 GOP327696 GYL327696 HIH327696 HSD327696 IBZ327696 ILV327696 IVR327696 JFN327696 JPJ327696 JZF327696 KJB327696 KSX327696 LCT327696 LMP327696 LWL327696 MGH327696 MQD327696 MZZ327696 NJV327696 NTR327696 ODN327696 ONJ327696 OXF327696 PHB327696 PQX327696 QAT327696 QKP327696 QUL327696 REH327696 ROD327696 RXZ327696 SHV327696 SRR327696 TBN327696 TLJ327696 TVF327696 UFB327696 UOX327696 UYT327696 VIP327696 VSL327696 WCH327696 WMD327696 WVZ327696 R393232 JN393232 TJ393232 ADF393232 ANB393232 AWX393232 BGT393232 BQP393232 CAL393232 CKH393232 CUD393232 DDZ393232 DNV393232 DXR393232 EHN393232 ERJ393232 FBF393232 FLB393232 FUX393232 GET393232 GOP393232 GYL393232 HIH393232 HSD393232 IBZ393232 ILV393232 IVR393232 JFN393232 JPJ393232 JZF393232 KJB393232 KSX393232 LCT393232 LMP393232 LWL393232 MGH393232 MQD393232 MZZ393232 NJV393232 NTR393232 ODN393232 ONJ393232 OXF393232 PHB393232 PQX393232 QAT393232 QKP393232 QUL393232 REH393232 ROD393232 RXZ393232 SHV393232 SRR393232 TBN393232 TLJ393232 TVF393232 UFB393232 UOX393232 UYT393232 VIP393232 VSL393232 WCH393232 WMD393232 WVZ393232 R458768 JN458768 TJ458768 ADF458768 ANB458768 AWX458768 BGT458768 BQP458768 CAL458768 CKH458768 CUD458768 DDZ458768 DNV458768 DXR458768 EHN458768 ERJ458768 FBF458768 FLB458768 FUX458768 GET458768 GOP458768 GYL458768 HIH458768 HSD458768 IBZ458768 ILV458768 IVR458768 JFN458768 JPJ458768 JZF458768 KJB458768 KSX458768 LCT458768 LMP458768 LWL458768 MGH458768 MQD458768 MZZ458768 NJV458768 NTR458768 ODN458768 ONJ458768 OXF458768 PHB458768 PQX458768 QAT458768 QKP458768 QUL458768 REH458768 ROD458768 RXZ458768 SHV458768 SRR458768 TBN458768 TLJ458768 TVF458768 UFB458768 UOX458768 UYT458768 VIP458768 VSL458768 WCH458768 WMD458768 WVZ458768 R524304 JN524304 TJ524304 ADF524304 ANB524304 AWX524304 BGT524304 BQP524304 CAL524304 CKH524304 CUD524304 DDZ524304 DNV524304 DXR524304 EHN524304 ERJ524304 FBF524304 FLB524304 FUX524304 GET524304 GOP524304 GYL524304 HIH524304 HSD524304 IBZ524304 ILV524304 IVR524304 JFN524304 JPJ524304 JZF524304 KJB524304 KSX524304 LCT524304 LMP524304 LWL524304 MGH524304 MQD524304 MZZ524304 NJV524304 NTR524304 ODN524304 ONJ524304 OXF524304 PHB524304 PQX524304 QAT524304 QKP524304 QUL524304 REH524304 ROD524304 RXZ524304 SHV524304 SRR524304 TBN524304 TLJ524304 TVF524304 UFB524304 UOX524304 UYT524304 VIP524304 VSL524304 WCH524304 WMD524304 WVZ524304 R589840 JN589840 TJ589840 ADF589840 ANB589840 AWX589840 BGT589840 BQP589840 CAL589840 CKH589840 CUD589840 DDZ589840 DNV589840 DXR589840 EHN589840 ERJ589840 FBF589840 FLB589840 FUX589840 GET589840 GOP589840 GYL589840 HIH589840 HSD589840 IBZ589840 ILV589840 IVR589840 JFN589840 JPJ589840 JZF589840 KJB589840 KSX589840 LCT589840 LMP589840 LWL589840 MGH589840 MQD589840 MZZ589840 NJV589840 NTR589840 ODN589840 ONJ589840 OXF589840 PHB589840 PQX589840 QAT589840 QKP589840 QUL589840 REH589840 ROD589840 RXZ589840 SHV589840 SRR589840 TBN589840 TLJ589840 TVF589840 UFB589840 UOX589840 UYT589840 VIP589840 VSL589840 WCH589840 WMD589840 WVZ589840 R655376 JN655376 TJ655376 ADF655376 ANB655376 AWX655376 BGT655376 BQP655376 CAL655376 CKH655376 CUD655376 DDZ655376 DNV655376 DXR655376 EHN655376 ERJ655376 FBF655376 FLB655376 FUX655376 GET655376 GOP655376 GYL655376 HIH655376 HSD655376 IBZ655376 ILV655376 IVR655376 JFN655376 JPJ655376 JZF655376 KJB655376 KSX655376 LCT655376 LMP655376 LWL655376 MGH655376 MQD655376 MZZ655376 NJV655376 NTR655376 ODN655376 ONJ655376 OXF655376 PHB655376 PQX655376 QAT655376 QKP655376 QUL655376 REH655376 ROD655376 RXZ655376 SHV655376 SRR655376 TBN655376 TLJ655376 TVF655376 UFB655376 UOX655376 UYT655376 VIP655376 VSL655376 WCH655376 WMD655376 WVZ655376 R720912 JN720912 TJ720912 ADF720912 ANB720912 AWX720912 BGT720912 BQP720912 CAL720912 CKH720912 CUD720912 DDZ720912 DNV720912 DXR720912 EHN720912 ERJ720912 FBF720912 FLB720912 FUX720912 GET720912 GOP720912 GYL720912 HIH720912 HSD720912 IBZ720912 ILV720912 IVR720912 JFN720912 JPJ720912 JZF720912 KJB720912 KSX720912 LCT720912 LMP720912 LWL720912 MGH720912 MQD720912 MZZ720912 NJV720912 NTR720912 ODN720912 ONJ720912 OXF720912 PHB720912 PQX720912 QAT720912 QKP720912 QUL720912 REH720912 ROD720912 RXZ720912 SHV720912 SRR720912 TBN720912 TLJ720912 TVF720912 UFB720912 UOX720912 UYT720912 VIP720912 VSL720912 WCH720912 WMD720912 WVZ720912 R786448 JN786448 TJ786448 ADF786448 ANB786448 AWX786448 BGT786448 BQP786448 CAL786448 CKH786448 CUD786448 DDZ786448 DNV786448 DXR786448 EHN786448 ERJ786448 FBF786448 FLB786448 FUX786448 GET786448 GOP786448 GYL786448 HIH786448 HSD786448 IBZ786448 ILV786448 IVR786448 JFN786448 JPJ786448 JZF786448 KJB786448 KSX786448 LCT786448 LMP786448 LWL786448 MGH786448 MQD786448 MZZ786448 NJV786448 NTR786448 ODN786448 ONJ786448 OXF786448 PHB786448 PQX786448 QAT786448 QKP786448 QUL786448 REH786448 ROD786448 RXZ786448 SHV786448 SRR786448 TBN786448 TLJ786448 TVF786448 UFB786448 UOX786448 UYT786448 VIP786448 VSL786448 WCH786448 WMD786448 WVZ786448 R851984 JN851984 TJ851984 ADF851984 ANB851984 AWX851984 BGT851984 BQP851984 CAL851984 CKH851984 CUD851984 DDZ851984 DNV851984 DXR851984 EHN851984 ERJ851984 FBF851984 FLB851984 FUX851984 GET851984 GOP851984 GYL851984 HIH851984 HSD851984 IBZ851984 ILV851984 IVR851984 JFN851984 JPJ851984 JZF851984 KJB851984 KSX851984 LCT851984 LMP851984 LWL851984 MGH851984 MQD851984 MZZ851984 NJV851984 NTR851984 ODN851984 ONJ851984 OXF851984 PHB851984 PQX851984 QAT851984 QKP851984 QUL851984 REH851984 ROD851984 RXZ851984 SHV851984 SRR851984 TBN851984 TLJ851984 TVF851984 UFB851984 UOX851984 UYT851984 VIP851984 VSL851984 WCH851984 WMD851984 WVZ851984 R917520 JN917520 TJ917520 ADF917520 ANB917520 AWX917520 BGT917520 BQP917520 CAL917520 CKH917520 CUD917520 DDZ917520 DNV917520 DXR917520 EHN917520 ERJ917520 FBF917520 FLB917520 FUX917520 GET917520 GOP917520 GYL917520 HIH917520 HSD917520 IBZ917520 ILV917520 IVR917520 JFN917520 JPJ917520 JZF917520 KJB917520 KSX917520 LCT917520 LMP917520 LWL917520 MGH917520 MQD917520 MZZ917520 NJV917520 NTR917520 ODN917520 ONJ917520 OXF917520 PHB917520 PQX917520 QAT917520 QKP917520 QUL917520 REH917520 ROD917520 RXZ917520 SHV917520 SRR917520 TBN917520 TLJ917520 TVF917520 UFB917520 UOX917520 UYT917520 VIP917520 VSL917520 WCH917520 WMD917520 WVZ917520 R983056 JN983056 TJ983056 ADF983056 ANB983056 AWX983056 BGT983056 BQP983056 CAL983056 CKH983056 CUD983056 DDZ983056 DNV983056 DXR983056 EHN983056 ERJ983056 FBF983056 FLB983056 FUX983056 GET983056 GOP983056 GYL983056 HIH983056 HSD983056 IBZ983056 ILV983056 IVR983056 JFN983056 JPJ983056 JZF983056 KJB983056 KSX983056 LCT983056 LMP983056 LWL983056 MGH983056 MQD983056 MZZ983056 NJV983056 NTR983056 ODN983056 ONJ983056 OXF983056 PHB983056 PQX983056 QAT983056 QKP983056 QUL983056 REH983056 ROD983056 RXZ983056 SHV983056 SRR983056 TBN983056 TLJ983056 TVF983056 UFB983056 UOX983056 UYT983056 VIP983056 VSL983056 WCH983056 WMD983056 WVZ983056">
      <formula1>"Yes,NO"</formula1>
    </dataValidation>
    <dataValidation type="date" operator="lessThan" allowBlank="1" showInputMessage="1" showErrorMessage="1" sqref="V40 JR40 TN40 ADJ40 ANF40 AXB40 BGX40 BQT40 CAP40 CKL40 CUH40 DED40 DNZ40 DXV40 EHR40 ERN40 FBJ40 FLF40 FVB40 GEX40 GOT40 GYP40 HIL40 HSH40 ICD40 ILZ40 IVV40 JFR40 JPN40 JZJ40 KJF40 KTB40 LCX40 LMT40 LWP40 MGL40 MQH40 NAD40 NJZ40 NTV40 ODR40 ONN40 OXJ40 PHF40 PRB40 QAX40 QKT40 QUP40 REL40 ROH40 RYD40 SHZ40 SRV40 TBR40 TLN40 TVJ40 UFF40 UPB40 UYX40 VIT40 VSP40 WCL40 WMH40 WWD40 V65573 JR65573 TN65573 ADJ65573 ANF65573 AXB65573 BGX65573 BQT65573 CAP65573 CKL65573 CUH65573 DED65573 DNZ65573 DXV65573 EHR65573 ERN65573 FBJ65573 FLF65573 FVB65573 GEX65573 GOT65573 GYP65573 HIL65573 HSH65573 ICD65573 ILZ65573 IVV65573 JFR65573 JPN65573 JZJ65573 KJF65573 KTB65573 LCX65573 LMT65573 LWP65573 MGL65573 MQH65573 NAD65573 NJZ65573 NTV65573 ODR65573 ONN65573 OXJ65573 PHF65573 PRB65573 QAX65573 QKT65573 QUP65573 REL65573 ROH65573 RYD65573 SHZ65573 SRV65573 TBR65573 TLN65573 TVJ65573 UFF65573 UPB65573 UYX65573 VIT65573 VSP65573 WCL65573 WMH65573 WWD65573 V131109 JR131109 TN131109 ADJ131109 ANF131109 AXB131109 BGX131109 BQT131109 CAP131109 CKL131109 CUH131109 DED131109 DNZ131109 DXV131109 EHR131109 ERN131109 FBJ131109 FLF131109 FVB131109 GEX131109 GOT131109 GYP131109 HIL131109 HSH131109 ICD131109 ILZ131109 IVV131109 JFR131109 JPN131109 JZJ131109 KJF131109 KTB131109 LCX131109 LMT131109 LWP131109 MGL131109 MQH131109 NAD131109 NJZ131109 NTV131109 ODR131109 ONN131109 OXJ131109 PHF131109 PRB131109 QAX131109 QKT131109 QUP131109 REL131109 ROH131109 RYD131109 SHZ131109 SRV131109 TBR131109 TLN131109 TVJ131109 UFF131109 UPB131109 UYX131109 VIT131109 VSP131109 WCL131109 WMH131109 WWD131109 V196645 JR196645 TN196645 ADJ196645 ANF196645 AXB196645 BGX196645 BQT196645 CAP196645 CKL196645 CUH196645 DED196645 DNZ196645 DXV196645 EHR196645 ERN196645 FBJ196645 FLF196645 FVB196645 GEX196645 GOT196645 GYP196645 HIL196645 HSH196645 ICD196645 ILZ196645 IVV196645 JFR196645 JPN196645 JZJ196645 KJF196645 KTB196645 LCX196645 LMT196645 LWP196645 MGL196645 MQH196645 NAD196645 NJZ196645 NTV196645 ODR196645 ONN196645 OXJ196645 PHF196645 PRB196645 QAX196645 QKT196645 QUP196645 REL196645 ROH196645 RYD196645 SHZ196645 SRV196645 TBR196645 TLN196645 TVJ196645 UFF196645 UPB196645 UYX196645 VIT196645 VSP196645 WCL196645 WMH196645 WWD196645 V262181 JR262181 TN262181 ADJ262181 ANF262181 AXB262181 BGX262181 BQT262181 CAP262181 CKL262181 CUH262181 DED262181 DNZ262181 DXV262181 EHR262181 ERN262181 FBJ262181 FLF262181 FVB262181 GEX262181 GOT262181 GYP262181 HIL262181 HSH262181 ICD262181 ILZ262181 IVV262181 JFR262181 JPN262181 JZJ262181 KJF262181 KTB262181 LCX262181 LMT262181 LWP262181 MGL262181 MQH262181 NAD262181 NJZ262181 NTV262181 ODR262181 ONN262181 OXJ262181 PHF262181 PRB262181 QAX262181 QKT262181 QUP262181 REL262181 ROH262181 RYD262181 SHZ262181 SRV262181 TBR262181 TLN262181 TVJ262181 UFF262181 UPB262181 UYX262181 VIT262181 VSP262181 WCL262181 WMH262181 WWD262181 V327717 JR327717 TN327717 ADJ327717 ANF327717 AXB327717 BGX327717 BQT327717 CAP327717 CKL327717 CUH327717 DED327717 DNZ327717 DXV327717 EHR327717 ERN327717 FBJ327717 FLF327717 FVB327717 GEX327717 GOT327717 GYP327717 HIL327717 HSH327717 ICD327717 ILZ327717 IVV327717 JFR327717 JPN327717 JZJ327717 KJF327717 KTB327717 LCX327717 LMT327717 LWP327717 MGL327717 MQH327717 NAD327717 NJZ327717 NTV327717 ODR327717 ONN327717 OXJ327717 PHF327717 PRB327717 QAX327717 QKT327717 QUP327717 REL327717 ROH327717 RYD327717 SHZ327717 SRV327717 TBR327717 TLN327717 TVJ327717 UFF327717 UPB327717 UYX327717 VIT327717 VSP327717 WCL327717 WMH327717 WWD327717 V393253 JR393253 TN393253 ADJ393253 ANF393253 AXB393253 BGX393253 BQT393253 CAP393253 CKL393253 CUH393253 DED393253 DNZ393253 DXV393253 EHR393253 ERN393253 FBJ393253 FLF393253 FVB393253 GEX393253 GOT393253 GYP393253 HIL393253 HSH393253 ICD393253 ILZ393253 IVV393253 JFR393253 JPN393253 JZJ393253 KJF393253 KTB393253 LCX393253 LMT393253 LWP393253 MGL393253 MQH393253 NAD393253 NJZ393253 NTV393253 ODR393253 ONN393253 OXJ393253 PHF393253 PRB393253 QAX393253 QKT393253 QUP393253 REL393253 ROH393253 RYD393253 SHZ393253 SRV393253 TBR393253 TLN393253 TVJ393253 UFF393253 UPB393253 UYX393253 VIT393253 VSP393253 WCL393253 WMH393253 WWD393253 V458789 JR458789 TN458789 ADJ458789 ANF458789 AXB458789 BGX458789 BQT458789 CAP458789 CKL458789 CUH458789 DED458789 DNZ458789 DXV458789 EHR458789 ERN458789 FBJ458789 FLF458789 FVB458789 GEX458789 GOT458789 GYP458789 HIL458789 HSH458789 ICD458789 ILZ458789 IVV458789 JFR458789 JPN458789 JZJ458789 KJF458789 KTB458789 LCX458789 LMT458789 LWP458789 MGL458789 MQH458789 NAD458789 NJZ458789 NTV458789 ODR458789 ONN458789 OXJ458789 PHF458789 PRB458789 QAX458789 QKT458789 QUP458789 REL458789 ROH458789 RYD458789 SHZ458789 SRV458789 TBR458789 TLN458789 TVJ458789 UFF458789 UPB458789 UYX458789 VIT458789 VSP458789 WCL458789 WMH458789 WWD458789 V524325 JR524325 TN524325 ADJ524325 ANF524325 AXB524325 BGX524325 BQT524325 CAP524325 CKL524325 CUH524325 DED524325 DNZ524325 DXV524325 EHR524325 ERN524325 FBJ524325 FLF524325 FVB524325 GEX524325 GOT524325 GYP524325 HIL524325 HSH524325 ICD524325 ILZ524325 IVV524325 JFR524325 JPN524325 JZJ524325 KJF524325 KTB524325 LCX524325 LMT524325 LWP524325 MGL524325 MQH524325 NAD524325 NJZ524325 NTV524325 ODR524325 ONN524325 OXJ524325 PHF524325 PRB524325 QAX524325 QKT524325 QUP524325 REL524325 ROH524325 RYD524325 SHZ524325 SRV524325 TBR524325 TLN524325 TVJ524325 UFF524325 UPB524325 UYX524325 VIT524325 VSP524325 WCL524325 WMH524325 WWD524325 V589861 JR589861 TN589861 ADJ589861 ANF589861 AXB589861 BGX589861 BQT589861 CAP589861 CKL589861 CUH589861 DED589861 DNZ589861 DXV589861 EHR589861 ERN589861 FBJ589861 FLF589861 FVB589861 GEX589861 GOT589861 GYP589861 HIL589861 HSH589861 ICD589861 ILZ589861 IVV589861 JFR589861 JPN589861 JZJ589861 KJF589861 KTB589861 LCX589861 LMT589861 LWP589861 MGL589861 MQH589861 NAD589861 NJZ589861 NTV589861 ODR589861 ONN589861 OXJ589861 PHF589861 PRB589861 QAX589861 QKT589861 QUP589861 REL589861 ROH589861 RYD589861 SHZ589861 SRV589861 TBR589861 TLN589861 TVJ589861 UFF589861 UPB589861 UYX589861 VIT589861 VSP589861 WCL589861 WMH589861 WWD589861 V655397 JR655397 TN655397 ADJ655397 ANF655397 AXB655397 BGX655397 BQT655397 CAP655397 CKL655397 CUH655397 DED655397 DNZ655397 DXV655397 EHR655397 ERN655397 FBJ655397 FLF655397 FVB655397 GEX655397 GOT655397 GYP655397 HIL655397 HSH655397 ICD655397 ILZ655397 IVV655397 JFR655397 JPN655397 JZJ655397 KJF655397 KTB655397 LCX655397 LMT655397 LWP655397 MGL655397 MQH655397 NAD655397 NJZ655397 NTV655397 ODR655397 ONN655397 OXJ655397 PHF655397 PRB655397 QAX655397 QKT655397 QUP655397 REL655397 ROH655397 RYD655397 SHZ655397 SRV655397 TBR655397 TLN655397 TVJ655397 UFF655397 UPB655397 UYX655397 VIT655397 VSP655397 WCL655397 WMH655397 WWD655397 V720933 JR720933 TN720933 ADJ720933 ANF720933 AXB720933 BGX720933 BQT720933 CAP720933 CKL720933 CUH720933 DED720933 DNZ720933 DXV720933 EHR720933 ERN720933 FBJ720933 FLF720933 FVB720933 GEX720933 GOT720933 GYP720933 HIL720933 HSH720933 ICD720933 ILZ720933 IVV720933 JFR720933 JPN720933 JZJ720933 KJF720933 KTB720933 LCX720933 LMT720933 LWP720933 MGL720933 MQH720933 NAD720933 NJZ720933 NTV720933 ODR720933 ONN720933 OXJ720933 PHF720933 PRB720933 QAX720933 QKT720933 QUP720933 REL720933 ROH720933 RYD720933 SHZ720933 SRV720933 TBR720933 TLN720933 TVJ720933 UFF720933 UPB720933 UYX720933 VIT720933 VSP720933 WCL720933 WMH720933 WWD720933 V786469 JR786469 TN786469 ADJ786469 ANF786469 AXB786469 BGX786469 BQT786469 CAP786469 CKL786469 CUH786469 DED786469 DNZ786469 DXV786469 EHR786469 ERN786469 FBJ786469 FLF786469 FVB786469 GEX786469 GOT786469 GYP786469 HIL786469 HSH786469 ICD786469 ILZ786469 IVV786469 JFR786469 JPN786469 JZJ786469 KJF786469 KTB786469 LCX786469 LMT786469 LWP786469 MGL786469 MQH786469 NAD786469 NJZ786469 NTV786469 ODR786469 ONN786469 OXJ786469 PHF786469 PRB786469 QAX786469 QKT786469 QUP786469 REL786469 ROH786469 RYD786469 SHZ786469 SRV786469 TBR786469 TLN786469 TVJ786469 UFF786469 UPB786469 UYX786469 VIT786469 VSP786469 WCL786469 WMH786469 WWD786469 V852005 JR852005 TN852005 ADJ852005 ANF852005 AXB852005 BGX852005 BQT852005 CAP852005 CKL852005 CUH852005 DED852005 DNZ852005 DXV852005 EHR852005 ERN852005 FBJ852005 FLF852005 FVB852005 GEX852005 GOT852005 GYP852005 HIL852005 HSH852005 ICD852005 ILZ852005 IVV852005 JFR852005 JPN852005 JZJ852005 KJF852005 KTB852005 LCX852005 LMT852005 LWP852005 MGL852005 MQH852005 NAD852005 NJZ852005 NTV852005 ODR852005 ONN852005 OXJ852005 PHF852005 PRB852005 QAX852005 QKT852005 QUP852005 REL852005 ROH852005 RYD852005 SHZ852005 SRV852005 TBR852005 TLN852005 TVJ852005 UFF852005 UPB852005 UYX852005 VIT852005 VSP852005 WCL852005 WMH852005 WWD852005 V917541 JR917541 TN917541 ADJ917541 ANF917541 AXB917541 BGX917541 BQT917541 CAP917541 CKL917541 CUH917541 DED917541 DNZ917541 DXV917541 EHR917541 ERN917541 FBJ917541 FLF917541 FVB917541 GEX917541 GOT917541 GYP917541 HIL917541 HSH917541 ICD917541 ILZ917541 IVV917541 JFR917541 JPN917541 JZJ917541 KJF917541 KTB917541 LCX917541 LMT917541 LWP917541 MGL917541 MQH917541 NAD917541 NJZ917541 NTV917541 ODR917541 ONN917541 OXJ917541 PHF917541 PRB917541 QAX917541 QKT917541 QUP917541 REL917541 ROH917541 RYD917541 SHZ917541 SRV917541 TBR917541 TLN917541 TVJ917541 UFF917541 UPB917541 UYX917541 VIT917541 VSP917541 WCL917541 WMH917541 WWD917541 V983077 JR983077 TN983077 ADJ983077 ANF983077 AXB983077 BGX983077 BQT983077 CAP983077 CKL983077 CUH983077 DED983077 DNZ983077 DXV983077 EHR983077 ERN983077 FBJ983077 FLF983077 FVB983077 GEX983077 GOT983077 GYP983077 HIL983077 HSH983077 ICD983077 ILZ983077 IVV983077 JFR983077 JPN983077 JZJ983077 KJF983077 KTB983077 LCX983077 LMT983077 LWP983077 MGL983077 MQH983077 NAD983077 NJZ983077 NTV983077 ODR983077 ONN983077 OXJ983077 PHF983077 PRB983077 QAX983077 QKT983077 QUP983077 REL983077 ROH983077 RYD983077 SHZ983077 SRV983077 TBR983077 TLN983077 TVJ983077 UFF983077 UPB983077 UYX983077 VIT983077 VSP983077 WCL983077 WMH983077 WWD983077">
      <formula1>41015</formula1>
    </dataValidation>
    <dataValidation type="list" allowBlank="1" showInputMessage="1" showErrorMessage="1" sqref="C82:D82 IY82:IZ82 SU82:SV82 ACQ82:ACR82 AMM82:AMN82 AWI82:AWJ82 BGE82:BGF82 BQA82:BQB82 BZW82:BZX82 CJS82:CJT82 CTO82:CTP82 DDK82:DDL82 DNG82:DNH82 DXC82:DXD82 EGY82:EGZ82 EQU82:EQV82 FAQ82:FAR82 FKM82:FKN82 FUI82:FUJ82 GEE82:GEF82 GOA82:GOB82 GXW82:GXX82 HHS82:HHT82 HRO82:HRP82 IBK82:IBL82 ILG82:ILH82 IVC82:IVD82 JEY82:JEZ82 JOU82:JOV82 JYQ82:JYR82 KIM82:KIN82 KSI82:KSJ82 LCE82:LCF82 LMA82:LMB82 LVW82:LVX82 MFS82:MFT82 MPO82:MPP82 MZK82:MZL82 NJG82:NJH82 NTC82:NTD82 OCY82:OCZ82 OMU82:OMV82 OWQ82:OWR82 PGM82:PGN82 PQI82:PQJ82 QAE82:QAF82 QKA82:QKB82 QTW82:QTX82 RDS82:RDT82 RNO82:RNP82 RXK82:RXL82 SHG82:SHH82 SRC82:SRD82 TAY82:TAZ82 TKU82:TKV82 TUQ82:TUR82 UEM82:UEN82 UOI82:UOJ82 UYE82:UYF82 VIA82:VIB82 VRW82:VRX82 WBS82:WBT82 WLO82:WLP82 WVK82:WVL82 C65618:D65618 IY65618:IZ65618 SU65618:SV65618 ACQ65618:ACR65618 AMM65618:AMN65618 AWI65618:AWJ65618 BGE65618:BGF65618 BQA65618:BQB65618 BZW65618:BZX65618 CJS65618:CJT65618 CTO65618:CTP65618 DDK65618:DDL65618 DNG65618:DNH65618 DXC65618:DXD65618 EGY65618:EGZ65618 EQU65618:EQV65618 FAQ65618:FAR65618 FKM65618:FKN65618 FUI65618:FUJ65618 GEE65618:GEF65618 GOA65618:GOB65618 GXW65618:GXX65618 HHS65618:HHT65618 HRO65618:HRP65618 IBK65618:IBL65618 ILG65618:ILH65618 IVC65618:IVD65618 JEY65618:JEZ65618 JOU65618:JOV65618 JYQ65618:JYR65618 KIM65618:KIN65618 KSI65618:KSJ65618 LCE65618:LCF65618 LMA65618:LMB65618 LVW65618:LVX65618 MFS65618:MFT65618 MPO65618:MPP65618 MZK65618:MZL65618 NJG65618:NJH65618 NTC65618:NTD65618 OCY65618:OCZ65618 OMU65618:OMV65618 OWQ65618:OWR65618 PGM65618:PGN65618 PQI65618:PQJ65618 QAE65618:QAF65618 QKA65618:QKB65618 QTW65618:QTX65618 RDS65618:RDT65618 RNO65618:RNP65618 RXK65618:RXL65618 SHG65618:SHH65618 SRC65618:SRD65618 TAY65618:TAZ65618 TKU65618:TKV65618 TUQ65618:TUR65618 UEM65618:UEN65618 UOI65618:UOJ65618 UYE65618:UYF65618 VIA65618:VIB65618 VRW65618:VRX65618 WBS65618:WBT65618 WLO65618:WLP65618 WVK65618:WVL65618 C131154:D131154 IY131154:IZ131154 SU131154:SV131154 ACQ131154:ACR131154 AMM131154:AMN131154 AWI131154:AWJ131154 BGE131154:BGF131154 BQA131154:BQB131154 BZW131154:BZX131154 CJS131154:CJT131154 CTO131154:CTP131154 DDK131154:DDL131154 DNG131154:DNH131154 DXC131154:DXD131154 EGY131154:EGZ131154 EQU131154:EQV131154 FAQ131154:FAR131154 FKM131154:FKN131154 FUI131154:FUJ131154 GEE131154:GEF131154 GOA131154:GOB131154 GXW131154:GXX131154 HHS131154:HHT131154 HRO131154:HRP131154 IBK131154:IBL131154 ILG131154:ILH131154 IVC131154:IVD131154 JEY131154:JEZ131154 JOU131154:JOV131154 JYQ131154:JYR131154 KIM131154:KIN131154 KSI131154:KSJ131154 LCE131154:LCF131154 LMA131154:LMB131154 LVW131154:LVX131154 MFS131154:MFT131154 MPO131154:MPP131154 MZK131154:MZL131154 NJG131154:NJH131154 NTC131154:NTD131154 OCY131154:OCZ131154 OMU131154:OMV131154 OWQ131154:OWR131154 PGM131154:PGN131154 PQI131154:PQJ131154 QAE131154:QAF131154 QKA131154:QKB131154 QTW131154:QTX131154 RDS131154:RDT131154 RNO131154:RNP131154 RXK131154:RXL131154 SHG131154:SHH131154 SRC131154:SRD131154 TAY131154:TAZ131154 TKU131154:TKV131154 TUQ131154:TUR131154 UEM131154:UEN131154 UOI131154:UOJ131154 UYE131154:UYF131154 VIA131154:VIB131154 VRW131154:VRX131154 WBS131154:WBT131154 WLO131154:WLP131154 WVK131154:WVL131154 C196690:D196690 IY196690:IZ196690 SU196690:SV196690 ACQ196690:ACR196690 AMM196690:AMN196690 AWI196690:AWJ196690 BGE196690:BGF196690 BQA196690:BQB196690 BZW196690:BZX196690 CJS196690:CJT196690 CTO196690:CTP196690 DDK196690:DDL196690 DNG196690:DNH196690 DXC196690:DXD196690 EGY196690:EGZ196690 EQU196690:EQV196690 FAQ196690:FAR196690 FKM196690:FKN196690 FUI196690:FUJ196690 GEE196690:GEF196690 GOA196690:GOB196690 GXW196690:GXX196690 HHS196690:HHT196690 HRO196690:HRP196690 IBK196690:IBL196690 ILG196690:ILH196690 IVC196690:IVD196690 JEY196690:JEZ196690 JOU196690:JOV196690 JYQ196690:JYR196690 KIM196690:KIN196690 KSI196690:KSJ196690 LCE196690:LCF196690 LMA196690:LMB196690 LVW196690:LVX196690 MFS196690:MFT196690 MPO196690:MPP196690 MZK196690:MZL196690 NJG196690:NJH196690 NTC196690:NTD196690 OCY196690:OCZ196690 OMU196690:OMV196690 OWQ196690:OWR196690 PGM196690:PGN196690 PQI196690:PQJ196690 QAE196690:QAF196690 QKA196690:QKB196690 QTW196690:QTX196690 RDS196690:RDT196690 RNO196690:RNP196690 RXK196690:RXL196690 SHG196690:SHH196690 SRC196690:SRD196690 TAY196690:TAZ196690 TKU196690:TKV196690 TUQ196690:TUR196690 UEM196690:UEN196690 UOI196690:UOJ196690 UYE196690:UYF196690 VIA196690:VIB196690 VRW196690:VRX196690 WBS196690:WBT196690 WLO196690:WLP196690 WVK196690:WVL196690 C262226:D262226 IY262226:IZ262226 SU262226:SV262226 ACQ262226:ACR262226 AMM262226:AMN262226 AWI262226:AWJ262226 BGE262226:BGF262226 BQA262226:BQB262226 BZW262226:BZX262226 CJS262226:CJT262226 CTO262226:CTP262226 DDK262226:DDL262226 DNG262226:DNH262226 DXC262226:DXD262226 EGY262226:EGZ262226 EQU262226:EQV262226 FAQ262226:FAR262226 FKM262226:FKN262226 FUI262226:FUJ262226 GEE262226:GEF262226 GOA262226:GOB262226 GXW262226:GXX262226 HHS262226:HHT262226 HRO262226:HRP262226 IBK262226:IBL262226 ILG262226:ILH262226 IVC262226:IVD262226 JEY262226:JEZ262226 JOU262226:JOV262226 JYQ262226:JYR262226 KIM262226:KIN262226 KSI262226:KSJ262226 LCE262226:LCF262226 LMA262226:LMB262226 LVW262226:LVX262226 MFS262226:MFT262226 MPO262226:MPP262226 MZK262226:MZL262226 NJG262226:NJH262226 NTC262226:NTD262226 OCY262226:OCZ262226 OMU262226:OMV262226 OWQ262226:OWR262226 PGM262226:PGN262226 PQI262226:PQJ262226 QAE262226:QAF262226 QKA262226:QKB262226 QTW262226:QTX262226 RDS262226:RDT262226 RNO262226:RNP262226 RXK262226:RXL262226 SHG262226:SHH262226 SRC262226:SRD262226 TAY262226:TAZ262226 TKU262226:TKV262226 TUQ262226:TUR262226 UEM262226:UEN262226 UOI262226:UOJ262226 UYE262226:UYF262226 VIA262226:VIB262226 VRW262226:VRX262226 WBS262226:WBT262226 WLO262226:WLP262226 WVK262226:WVL262226 C327762:D327762 IY327762:IZ327762 SU327762:SV327762 ACQ327762:ACR327762 AMM327762:AMN327762 AWI327762:AWJ327762 BGE327762:BGF327762 BQA327762:BQB327762 BZW327762:BZX327762 CJS327762:CJT327762 CTO327762:CTP327762 DDK327762:DDL327762 DNG327762:DNH327762 DXC327762:DXD327762 EGY327762:EGZ327762 EQU327762:EQV327762 FAQ327762:FAR327762 FKM327762:FKN327762 FUI327762:FUJ327762 GEE327762:GEF327762 GOA327762:GOB327762 GXW327762:GXX327762 HHS327762:HHT327762 HRO327762:HRP327762 IBK327762:IBL327762 ILG327762:ILH327762 IVC327762:IVD327762 JEY327762:JEZ327762 JOU327762:JOV327762 JYQ327762:JYR327762 KIM327762:KIN327762 KSI327762:KSJ327762 LCE327762:LCF327762 LMA327762:LMB327762 LVW327762:LVX327762 MFS327762:MFT327762 MPO327762:MPP327762 MZK327762:MZL327762 NJG327762:NJH327762 NTC327762:NTD327762 OCY327762:OCZ327762 OMU327762:OMV327762 OWQ327762:OWR327762 PGM327762:PGN327762 PQI327762:PQJ327762 QAE327762:QAF327762 QKA327762:QKB327762 QTW327762:QTX327762 RDS327762:RDT327762 RNO327762:RNP327762 RXK327762:RXL327762 SHG327762:SHH327762 SRC327762:SRD327762 TAY327762:TAZ327762 TKU327762:TKV327762 TUQ327762:TUR327762 UEM327762:UEN327762 UOI327762:UOJ327762 UYE327762:UYF327762 VIA327762:VIB327762 VRW327762:VRX327762 WBS327762:WBT327762 WLO327762:WLP327762 WVK327762:WVL327762 C393298:D393298 IY393298:IZ393298 SU393298:SV393298 ACQ393298:ACR393298 AMM393298:AMN393298 AWI393298:AWJ393298 BGE393298:BGF393298 BQA393298:BQB393298 BZW393298:BZX393298 CJS393298:CJT393298 CTO393298:CTP393298 DDK393298:DDL393298 DNG393298:DNH393298 DXC393298:DXD393298 EGY393298:EGZ393298 EQU393298:EQV393298 FAQ393298:FAR393298 FKM393298:FKN393298 FUI393298:FUJ393298 GEE393298:GEF393298 GOA393298:GOB393298 GXW393298:GXX393298 HHS393298:HHT393298 HRO393298:HRP393298 IBK393298:IBL393298 ILG393298:ILH393298 IVC393298:IVD393298 JEY393298:JEZ393298 JOU393298:JOV393298 JYQ393298:JYR393298 KIM393298:KIN393298 KSI393298:KSJ393298 LCE393298:LCF393298 LMA393298:LMB393298 LVW393298:LVX393298 MFS393298:MFT393298 MPO393298:MPP393298 MZK393298:MZL393298 NJG393298:NJH393298 NTC393298:NTD393298 OCY393298:OCZ393298 OMU393298:OMV393298 OWQ393298:OWR393298 PGM393298:PGN393298 PQI393298:PQJ393298 QAE393298:QAF393298 QKA393298:QKB393298 QTW393298:QTX393298 RDS393298:RDT393298 RNO393298:RNP393298 RXK393298:RXL393298 SHG393298:SHH393298 SRC393298:SRD393298 TAY393298:TAZ393298 TKU393298:TKV393298 TUQ393298:TUR393298 UEM393298:UEN393298 UOI393298:UOJ393298 UYE393298:UYF393298 VIA393298:VIB393298 VRW393298:VRX393298 WBS393298:WBT393298 WLO393298:WLP393298 WVK393298:WVL393298 C458834:D458834 IY458834:IZ458834 SU458834:SV458834 ACQ458834:ACR458834 AMM458834:AMN458834 AWI458834:AWJ458834 BGE458834:BGF458834 BQA458834:BQB458834 BZW458834:BZX458834 CJS458834:CJT458834 CTO458834:CTP458834 DDK458834:DDL458834 DNG458834:DNH458834 DXC458834:DXD458834 EGY458834:EGZ458834 EQU458834:EQV458834 FAQ458834:FAR458834 FKM458834:FKN458834 FUI458834:FUJ458834 GEE458834:GEF458834 GOA458834:GOB458834 GXW458834:GXX458834 HHS458834:HHT458834 HRO458834:HRP458834 IBK458834:IBL458834 ILG458834:ILH458834 IVC458834:IVD458834 JEY458834:JEZ458834 JOU458834:JOV458834 JYQ458834:JYR458834 KIM458834:KIN458834 KSI458834:KSJ458834 LCE458834:LCF458834 LMA458834:LMB458834 LVW458834:LVX458834 MFS458834:MFT458834 MPO458834:MPP458834 MZK458834:MZL458834 NJG458834:NJH458834 NTC458834:NTD458834 OCY458834:OCZ458834 OMU458834:OMV458834 OWQ458834:OWR458834 PGM458834:PGN458834 PQI458834:PQJ458834 QAE458834:QAF458834 QKA458834:QKB458834 QTW458834:QTX458834 RDS458834:RDT458834 RNO458834:RNP458834 RXK458834:RXL458834 SHG458834:SHH458834 SRC458834:SRD458834 TAY458834:TAZ458834 TKU458834:TKV458834 TUQ458834:TUR458834 UEM458834:UEN458834 UOI458834:UOJ458834 UYE458834:UYF458834 VIA458834:VIB458834 VRW458834:VRX458834 WBS458834:WBT458834 WLO458834:WLP458834 WVK458834:WVL458834 C524370:D524370 IY524370:IZ524370 SU524370:SV524370 ACQ524370:ACR524370 AMM524370:AMN524370 AWI524370:AWJ524370 BGE524370:BGF524370 BQA524370:BQB524370 BZW524370:BZX524370 CJS524370:CJT524370 CTO524370:CTP524370 DDK524370:DDL524370 DNG524370:DNH524370 DXC524370:DXD524370 EGY524370:EGZ524370 EQU524370:EQV524370 FAQ524370:FAR524370 FKM524370:FKN524370 FUI524370:FUJ524370 GEE524370:GEF524370 GOA524370:GOB524370 GXW524370:GXX524370 HHS524370:HHT524370 HRO524370:HRP524370 IBK524370:IBL524370 ILG524370:ILH524370 IVC524370:IVD524370 JEY524370:JEZ524370 JOU524370:JOV524370 JYQ524370:JYR524370 KIM524370:KIN524370 KSI524370:KSJ524370 LCE524370:LCF524370 LMA524370:LMB524370 LVW524370:LVX524370 MFS524370:MFT524370 MPO524370:MPP524370 MZK524370:MZL524370 NJG524370:NJH524370 NTC524370:NTD524370 OCY524370:OCZ524370 OMU524370:OMV524370 OWQ524370:OWR524370 PGM524370:PGN524370 PQI524370:PQJ524370 QAE524370:QAF524370 QKA524370:QKB524370 QTW524370:QTX524370 RDS524370:RDT524370 RNO524370:RNP524370 RXK524370:RXL524370 SHG524370:SHH524370 SRC524370:SRD524370 TAY524370:TAZ524370 TKU524370:TKV524370 TUQ524370:TUR524370 UEM524370:UEN524370 UOI524370:UOJ524370 UYE524370:UYF524370 VIA524370:VIB524370 VRW524370:VRX524370 WBS524370:WBT524370 WLO524370:WLP524370 WVK524370:WVL524370 C589906:D589906 IY589906:IZ589906 SU589906:SV589906 ACQ589906:ACR589906 AMM589906:AMN589906 AWI589906:AWJ589906 BGE589906:BGF589906 BQA589906:BQB589906 BZW589906:BZX589906 CJS589906:CJT589906 CTO589906:CTP589906 DDK589906:DDL589906 DNG589906:DNH589906 DXC589906:DXD589906 EGY589906:EGZ589906 EQU589906:EQV589906 FAQ589906:FAR589906 FKM589906:FKN589906 FUI589906:FUJ589906 GEE589906:GEF589906 GOA589906:GOB589906 GXW589906:GXX589906 HHS589906:HHT589906 HRO589906:HRP589906 IBK589906:IBL589906 ILG589906:ILH589906 IVC589906:IVD589906 JEY589906:JEZ589906 JOU589906:JOV589906 JYQ589906:JYR589906 KIM589906:KIN589906 KSI589906:KSJ589906 LCE589906:LCF589906 LMA589906:LMB589906 LVW589906:LVX589906 MFS589906:MFT589906 MPO589906:MPP589906 MZK589906:MZL589906 NJG589906:NJH589906 NTC589906:NTD589906 OCY589906:OCZ589906 OMU589906:OMV589906 OWQ589906:OWR589906 PGM589906:PGN589906 PQI589906:PQJ589906 QAE589906:QAF589906 QKA589906:QKB589906 QTW589906:QTX589906 RDS589906:RDT589906 RNO589906:RNP589906 RXK589906:RXL589906 SHG589906:SHH589906 SRC589906:SRD589906 TAY589906:TAZ589906 TKU589906:TKV589906 TUQ589906:TUR589906 UEM589906:UEN589906 UOI589906:UOJ589906 UYE589906:UYF589906 VIA589906:VIB589906 VRW589906:VRX589906 WBS589906:WBT589906 WLO589906:WLP589906 WVK589906:WVL589906 C655442:D655442 IY655442:IZ655442 SU655442:SV655442 ACQ655442:ACR655442 AMM655442:AMN655442 AWI655442:AWJ655442 BGE655442:BGF655442 BQA655442:BQB655442 BZW655442:BZX655442 CJS655442:CJT655442 CTO655442:CTP655442 DDK655442:DDL655442 DNG655442:DNH655442 DXC655442:DXD655442 EGY655442:EGZ655442 EQU655442:EQV655442 FAQ655442:FAR655442 FKM655442:FKN655442 FUI655442:FUJ655442 GEE655442:GEF655442 GOA655442:GOB655442 GXW655442:GXX655442 HHS655442:HHT655442 HRO655442:HRP655442 IBK655442:IBL655442 ILG655442:ILH655442 IVC655442:IVD655442 JEY655442:JEZ655442 JOU655442:JOV655442 JYQ655442:JYR655442 KIM655442:KIN655442 KSI655442:KSJ655442 LCE655442:LCF655442 LMA655442:LMB655442 LVW655442:LVX655442 MFS655442:MFT655442 MPO655442:MPP655442 MZK655442:MZL655442 NJG655442:NJH655442 NTC655442:NTD655442 OCY655442:OCZ655442 OMU655442:OMV655442 OWQ655442:OWR655442 PGM655442:PGN655442 PQI655442:PQJ655442 QAE655442:QAF655442 QKA655442:QKB655442 QTW655442:QTX655442 RDS655442:RDT655442 RNO655442:RNP655442 RXK655442:RXL655442 SHG655442:SHH655442 SRC655442:SRD655442 TAY655442:TAZ655442 TKU655442:TKV655442 TUQ655442:TUR655442 UEM655442:UEN655442 UOI655442:UOJ655442 UYE655442:UYF655442 VIA655442:VIB655442 VRW655442:VRX655442 WBS655442:WBT655442 WLO655442:WLP655442 WVK655442:WVL655442 C720978:D720978 IY720978:IZ720978 SU720978:SV720978 ACQ720978:ACR720978 AMM720978:AMN720978 AWI720978:AWJ720978 BGE720978:BGF720978 BQA720978:BQB720978 BZW720978:BZX720978 CJS720978:CJT720978 CTO720978:CTP720978 DDK720978:DDL720978 DNG720978:DNH720978 DXC720978:DXD720978 EGY720978:EGZ720978 EQU720978:EQV720978 FAQ720978:FAR720978 FKM720978:FKN720978 FUI720978:FUJ720978 GEE720978:GEF720978 GOA720978:GOB720978 GXW720978:GXX720978 HHS720978:HHT720978 HRO720978:HRP720978 IBK720978:IBL720978 ILG720978:ILH720978 IVC720978:IVD720978 JEY720978:JEZ720978 JOU720978:JOV720978 JYQ720978:JYR720978 KIM720978:KIN720978 KSI720978:KSJ720978 LCE720978:LCF720978 LMA720978:LMB720978 LVW720978:LVX720978 MFS720978:MFT720978 MPO720978:MPP720978 MZK720978:MZL720978 NJG720978:NJH720978 NTC720978:NTD720978 OCY720978:OCZ720978 OMU720978:OMV720978 OWQ720978:OWR720978 PGM720978:PGN720978 PQI720978:PQJ720978 QAE720978:QAF720978 QKA720978:QKB720978 QTW720978:QTX720978 RDS720978:RDT720978 RNO720978:RNP720978 RXK720978:RXL720978 SHG720978:SHH720978 SRC720978:SRD720978 TAY720978:TAZ720978 TKU720978:TKV720978 TUQ720978:TUR720978 UEM720978:UEN720978 UOI720978:UOJ720978 UYE720978:UYF720978 VIA720978:VIB720978 VRW720978:VRX720978 WBS720978:WBT720978 WLO720978:WLP720978 WVK720978:WVL720978 C786514:D786514 IY786514:IZ786514 SU786514:SV786514 ACQ786514:ACR786514 AMM786514:AMN786514 AWI786514:AWJ786514 BGE786514:BGF786514 BQA786514:BQB786514 BZW786514:BZX786514 CJS786514:CJT786514 CTO786514:CTP786514 DDK786514:DDL786514 DNG786514:DNH786514 DXC786514:DXD786514 EGY786514:EGZ786514 EQU786514:EQV786514 FAQ786514:FAR786514 FKM786514:FKN786514 FUI786514:FUJ786514 GEE786514:GEF786514 GOA786514:GOB786514 GXW786514:GXX786514 HHS786514:HHT786514 HRO786514:HRP786514 IBK786514:IBL786514 ILG786514:ILH786514 IVC786514:IVD786514 JEY786514:JEZ786514 JOU786514:JOV786514 JYQ786514:JYR786514 KIM786514:KIN786514 KSI786514:KSJ786514 LCE786514:LCF786514 LMA786514:LMB786514 LVW786514:LVX786514 MFS786514:MFT786514 MPO786514:MPP786514 MZK786514:MZL786514 NJG786514:NJH786514 NTC786514:NTD786514 OCY786514:OCZ786514 OMU786514:OMV786514 OWQ786514:OWR786514 PGM786514:PGN786514 PQI786514:PQJ786514 QAE786514:QAF786514 QKA786514:QKB786514 QTW786514:QTX786514 RDS786514:RDT786514 RNO786514:RNP786514 RXK786514:RXL786514 SHG786514:SHH786514 SRC786514:SRD786514 TAY786514:TAZ786514 TKU786514:TKV786514 TUQ786514:TUR786514 UEM786514:UEN786514 UOI786514:UOJ786514 UYE786514:UYF786514 VIA786514:VIB786514 VRW786514:VRX786514 WBS786514:WBT786514 WLO786514:WLP786514 WVK786514:WVL786514 C852050:D852050 IY852050:IZ852050 SU852050:SV852050 ACQ852050:ACR852050 AMM852050:AMN852050 AWI852050:AWJ852050 BGE852050:BGF852050 BQA852050:BQB852050 BZW852050:BZX852050 CJS852050:CJT852050 CTO852050:CTP852050 DDK852050:DDL852050 DNG852050:DNH852050 DXC852050:DXD852050 EGY852050:EGZ852050 EQU852050:EQV852050 FAQ852050:FAR852050 FKM852050:FKN852050 FUI852050:FUJ852050 GEE852050:GEF852050 GOA852050:GOB852050 GXW852050:GXX852050 HHS852050:HHT852050 HRO852050:HRP852050 IBK852050:IBL852050 ILG852050:ILH852050 IVC852050:IVD852050 JEY852050:JEZ852050 JOU852050:JOV852050 JYQ852050:JYR852050 KIM852050:KIN852050 KSI852050:KSJ852050 LCE852050:LCF852050 LMA852050:LMB852050 LVW852050:LVX852050 MFS852050:MFT852050 MPO852050:MPP852050 MZK852050:MZL852050 NJG852050:NJH852050 NTC852050:NTD852050 OCY852050:OCZ852050 OMU852050:OMV852050 OWQ852050:OWR852050 PGM852050:PGN852050 PQI852050:PQJ852050 QAE852050:QAF852050 QKA852050:QKB852050 QTW852050:QTX852050 RDS852050:RDT852050 RNO852050:RNP852050 RXK852050:RXL852050 SHG852050:SHH852050 SRC852050:SRD852050 TAY852050:TAZ852050 TKU852050:TKV852050 TUQ852050:TUR852050 UEM852050:UEN852050 UOI852050:UOJ852050 UYE852050:UYF852050 VIA852050:VIB852050 VRW852050:VRX852050 WBS852050:WBT852050 WLO852050:WLP852050 WVK852050:WVL852050 C917586:D917586 IY917586:IZ917586 SU917586:SV917586 ACQ917586:ACR917586 AMM917586:AMN917586 AWI917586:AWJ917586 BGE917586:BGF917586 BQA917586:BQB917586 BZW917586:BZX917586 CJS917586:CJT917586 CTO917586:CTP917586 DDK917586:DDL917586 DNG917586:DNH917586 DXC917586:DXD917586 EGY917586:EGZ917586 EQU917586:EQV917586 FAQ917586:FAR917586 FKM917586:FKN917586 FUI917586:FUJ917586 GEE917586:GEF917586 GOA917586:GOB917586 GXW917586:GXX917586 HHS917586:HHT917586 HRO917586:HRP917586 IBK917586:IBL917586 ILG917586:ILH917586 IVC917586:IVD917586 JEY917586:JEZ917586 JOU917586:JOV917586 JYQ917586:JYR917586 KIM917586:KIN917586 KSI917586:KSJ917586 LCE917586:LCF917586 LMA917586:LMB917586 LVW917586:LVX917586 MFS917586:MFT917586 MPO917586:MPP917586 MZK917586:MZL917586 NJG917586:NJH917586 NTC917586:NTD917586 OCY917586:OCZ917586 OMU917586:OMV917586 OWQ917586:OWR917586 PGM917586:PGN917586 PQI917586:PQJ917586 QAE917586:QAF917586 QKA917586:QKB917586 QTW917586:QTX917586 RDS917586:RDT917586 RNO917586:RNP917586 RXK917586:RXL917586 SHG917586:SHH917586 SRC917586:SRD917586 TAY917586:TAZ917586 TKU917586:TKV917586 TUQ917586:TUR917586 UEM917586:UEN917586 UOI917586:UOJ917586 UYE917586:UYF917586 VIA917586:VIB917586 VRW917586:VRX917586 WBS917586:WBT917586 WLO917586:WLP917586 WVK917586:WVL917586 C983122:D983122 IY983122:IZ983122 SU983122:SV983122 ACQ983122:ACR983122 AMM983122:AMN983122 AWI983122:AWJ983122 BGE983122:BGF983122 BQA983122:BQB983122 BZW983122:BZX983122 CJS983122:CJT983122 CTO983122:CTP983122 DDK983122:DDL983122 DNG983122:DNH983122 DXC983122:DXD983122 EGY983122:EGZ983122 EQU983122:EQV983122 FAQ983122:FAR983122 FKM983122:FKN983122 FUI983122:FUJ983122 GEE983122:GEF983122 GOA983122:GOB983122 GXW983122:GXX983122 HHS983122:HHT983122 HRO983122:HRP983122 IBK983122:IBL983122 ILG983122:ILH983122 IVC983122:IVD983122 JEY983122:JEZ983122 JOU983122:JOV983122 JYQ983122:JYR983122 KIM983122:KIN983122 KSI983122:KSJ983122 LCE983122:LCF983122 LMA983122:LMB983122 LVW983122:LVX983122 MFS983122:MFT983122 MPO983122:MPP983122 MZK983122:MZL983122 NJG983122:NJH983122 NTC983122:NTD983122 OCY983122:OCZ983122 OMU983122:OMV983122 OWQ983122:OWR983122 PGM983122:PGN983122 PQI983122:PQJ983122 QAE983122:QAF983122 QKA983122:QKB983122 QTW983122:QTX983122 RDS983122:RDT983122 RNO983122:RNP983122 RXK983122:RXL983122 SHG983122:SHH983122 SRC983122:SRD983122 TAY983122:TAZ983122 TKU983122:TKV983122 TUQ983122:TUR983122 UEM983122:UEN983122 UOI983122:UOJ983122 UYE983122:UYF983122 VIA983122:VIB983122 VRW983122:VRX983122 WBS983122:WBT983122 WLO983122:WLP983122 WVK983122:WVL983122">
      <formula1>IF($E$18&lt;$Y$16,$AE$15:$AE$18,$AE$19:$AE$22)</formula1>
    </dataValidation>
    <dataValidation type="list" allowBlank="1" showInputMessage="1" showErrorMessage="1" sqref="P84:R84 JL84:JN84 TH84:TJ84 ADD84:ADF84 AMZ84:ANB84 AWV84:AWX84 BGR84:BGT84 BQN84:BQP84 CAJ84:CAL84 CKF84:CKH84 CUB84:CUD84 DDX84:DDZ84 DNT84:DNV84 DXP84:DXR84 EHL84:EHN84 ERH84:ERJ84 FBD84:FBF84 FKZ84:FLB84 FUV84:FUX84 GER84:GET84 GON84:GOP84 GYJ84:GYL84 HIF84:HIH84 HSB84:HSD84 IBX84:IBZ84 ILT84:ILV84 IVP84:IVR84 JFL84:JFN84 JPH84:JPJ84 JZD84:JZF84 KIZ84:KJB84 KSV84:KSX84 LCR84:LCT84 LMN84:LMP84 LWJ84:LWL84 MGF84:MGH84 MQB84:MQD84 MZX84:MZZ84 NJT84:NJV84 NTP84:NTR84 ODL84:ODN84 ONH84:ONJ84 OXD84:OXF84 PGZ84:PHB84 PQV84:PQX84 QAR84:QAT84 QKN84:QKP84 QUJ84:QUL84 REF84:REH84 ROB84:ROD84 RXX84:RXZ84 SHT84:SHV84 SRP84:SRR84 TBL84:TBN84 TLH84:TLJ84 TVD84:TVF84 UEZ84:UFB84 UOV84:UOX84 UYR84:UYT84 VIN84:VIP84 VSJ84:VSL84 WCF84:WCH84 WMB84:WMD84 WVX84:WVZ84 P65620:R65620 JL65620:JN65620 TH65620:TJ65620 ADD65620:ADF65620 AMZ65620:ANB65620 AWV65620:AWX65620 BGR65620:BGT65620 BQN65620:BQP65620 CAJ65620:CAL65620 CKF65620:CKH65620 CUB65620:CUD65620 DDX65620:DDZ65620 DNT65620:DNV65620 DXP65620:DXR65620 EHL65620:EHN65620 ERH65620:ERJ65620 FBD65620:FBF65620 FKZ65620:FLB65620 FUV65620:FUX65620 GER65620:GET65620 GON65620:GOP65620 GYJ65620:GYL65620 HIF65620:HIH65620 HSB65620:HSD65620 IBX65620:IBZ65620 ILT65620:ILV65620 IVP65620:IVR65620 JFL65620:JFN65620 JPH65620:JPJ65620 JZD65620:JZF65620 KIZ65620:KJB65620 KSV65620:KSX65620 LCR65620:LCT65620 LMN65620:LMP65620 LWJ65620:LWL65620 MGF65620:MGH65620 MQB65620:MQD65620 MZX65620:MZZ65620 NJT65620:NJV65620 NTP65620:NTR65620 ODL65620:ODN65620 ONH65620:ONJ65620 OXD65620:OXF65620 PGZ65620:PHB65620 PQV65620:PQX65620 QAR65620:QAT65620 QKN65620:QKP65620 QUJ65620:QUL65620 REF65620:REH65620 ROB65620:ROD65620 RXX65620:RXZ65620 SHT65620:SHV65620 SRP65620:SRR65620 TBL65620:TBN65620 TLH65620:TLJ65620 TVD65620:TVF65620 UEZ65620:UFB65620 UOV65620:UOX65620 UYR65620:UYT65620 VIN65620:VIP65620 VSJ65620:VSL65620 WCF65620:WCH65620 WMB65620:WMD65620 WVX65620:WVZ65620 P131156:R131156 JL131156:JN131156 TH131156:TJ131156 ADD131156:ADF131156 AMZ131156:ANB131156 AWV131156:AWX131156 BGR131156:BGT131156 BQN131156:BQP131156 CAJ131156:CAL131156 CKF131156:CKH131156 CUB131156:CUD131156 DDX131156:DDZ131156 DNT131156:DNV131156 DXP131156:DXR131156 EHL131156:EHN131156 ERH131156:ERJ131156 FBD131156:FBF131156 FKZ131156:FLB131156 FUV131156:FUX131156 GER131156:GET131156 GON131156:GOP131156 GYJ131156:GYL131156 HIF131156:HIH131156 HSB131156:HSD131156 IBX131156:IBZ131156 ILT131156:ILV131156 IVP131156:IVR131156 JFL131156:JFN131156 JPH131156:JPJ131156 JZD131156:JZF131156 KIZ131156:KJB131156 KSV131156:KSX131156 LCR131156:LCT131156 LMN131156:LMP131156 LWJ131156:LWL131156 MGF131156:MGH131156 MQB131156:MQD131156 MZX131156:MZZ131156 NJT131156:NJV131156 NTP131156:NTR131156 ODL131156:ODN131156 ONH131156:ONJ131156 OXD131156:OXF131156 PGZ131156:PHB131156 PQV131156:PQX131156 QAR131156:QAT131156 QKN131156:QKP131156 QUJ131156:QUL131156 REF131156:REH131156 ROB131156:ROD131156 RXX131156:RXZ131156 SHT131156:SHV131156 SRP131156:SRR131156 TBL131156:TBN131156 TLH131156:TLJ131156 TVD131156:TVF131156 UEZ131156:UFB131156 UOV131156:UOX131156 UYR131156:UYT131156 VIN131156:VIP131156 VSJ131156:VSL131156 WCF131156:WCH131156 WMB131156:WMD131156 WVX131156:WVZ131156 P196692:R196692 JL196692:JN196692 TH196692:TJ196692 ADD196692:ADF196692 AMZ196692:ANB196692 AWV196692:AWX196692 BGR196692:BGT196692 BQN196692:BQP196692 CAJ196692:CAL196692 CKF196692:CKH196692 CUB196692:CUD196692 DDX196692:DDZ196692 DNT196692:DNV196692 DXP196692:DXR196692 EHL196692:EHN196692 ERH196692:ERJ196692 FBD196692:FBF196692 FKZ196692:FLB196692 FUV196692:FUX196692 GER196692:GET196692 GON196692:GOP196692 GYJ196692:GYL196692 HIF196692:HIH196692 HSB196692:HSD196692 IBX196692:IBZ196692 ILT196692:ILV196692 IVP196692:IVR196692 JFL196692:JFN196692 JPH196692:JPJ196692 JZD196692:JZF196692 KIZ196692:KJB196692 KSV196692:KSX196692 LCR196692:LCT196692 LMN196692:LMP196692 LWJ196692:LWL196692 MGF196692:MGH196692 MQB196692:MQD196692 MZX196692:MZZ196692 NJT196692:NJV196692 NTP196692:NTR196692 ODL196692:ODN196692 ONH196692:ONJ196692 OXD196692:OXF196692 PGZ196692:PHB196692 PQV196692:PQX196692 QAR196692:QAT196692 QKN196692:QKP196692 QUJ196692:QUL196692 REF196692:REH196692 ROB196692:ROD196692 RXX196692:RXZ196692 SHT196692:SHV196692 SRP196692:SRR196692 TBL196692:TBN196692 TLH196692:TLJ196692 TVD196692:TVF196692 UEZ196692:UFB196692 UOV196692:UOX196692 UYR196692:UYT196692 VIN196692:VIP196692 VSJ196692:VSL196692 WCF196692:WCH196692 WMB196692:WMD196692 WVX196692:WVZ196692 P262228:R262228 JL262228:JN262228 TH262228:TJ262228 ADD262228:ADF262228 AMZ262228:ANB262228 AWV262228:AWX262228 BGR262228:BGT262228 BQN262228:BQP262228 CAJ262228:CAL262228 CKF262228:CKH262228 CUB262228:CUD262228 DDX262228:DDZ262228 DNT262228:DNV262228 DXP262228:DXR262228 EHL262228:EHN262228 ERH262228:ERJ262228 FBD262228:FBF262228 FKZ262228:FLB262228 FUV262228:FUX262228 GER262228:GET262228 GON262228:GOP262228 GYJ262228:GYL262228 HIF262228:HIH262228 HSB262228:HSD262228 IBX262228:IBZ262228 ILT262228:ILV262228 IVP262228:IVR262228 JFL262228:JFN262228 JPH262228:JPJ262228 JZD262228:JZF262228 KIZ262228:KJB262228 KSV262228:KSX262228 LCR262228:LCT262228 LMN262228:LMP262228 LWJ262228:LWL262228 MGF262228:MGH262228 MQB262228:MQD262228 MZX262228:MZZ262228 NJT262228:NJV262228 NTP262228:NTR262228 ODL262228:ODN262228 ONH262228:ONJ262228 OXD262228:OXF262228 PGZ262228:PHB262228 PQV262228:PQX262228 QAR262228:QAT262228 QKN262228:QKP262228 QUJ262228:QUL262228 REF262228:REH262228 ROB262228:ROD262228 RXX262228:RXZ262228 SHT262228:SHV262228 SRP262228:SRR262228 TBL262228:TBN262228 TLH262228:TLJ262228 TVD262228:TVF262228 UEZ262228:UFB262228 UOV262228:UOX262228 UYR262228:UYT262228 VIN262228:VIP262228 VSJ262228:VSL262228 WCF262228:WCH262228 WMB262228:WMD262228 WVX262228:WVZ262228 P327764:R327764 JL327764:JN327764 TH327764:TJ327764 ADD327764:ADF327764 AMZ327764:ANB327764 AWV327764:AWX327764 BGR327764:BGT327764 BQN327764:BQP327764 CAJ327764:CAL327764 CKF327764:CKH327764 CUB327764:CUD327764 DDX327764:DDZ327764 DNT327764:DNV327764 DXP327764:DXR327764 EHL327764:EHN327764 ERH327764:ERJ327764 FBD327764:FBF327764 FKZ327764:FLB327764 FUV327764:FUX327764 GER327764:GET327764 GON327764:GOP327764 GYJ327764:GYL327764 HIF327764:HIH327764 HSB327764:HSD327764 IBX327764:IBZ327764 ILT327764:ILV327764 IVP327764:IVR327764 JFL327764:JFN327764 JPH327764:JPJ327764 JZD327764:JZF327764 KIZ327764:KJB327764 KSV327764:KSX327764 LCR327764:LCT327764 LMN327764:LMP327764 LWJ327764:LWL327764 MGF327764:MGH327764 MQB327764:MQD327764 MZX327764:MZZ327764 NJT327764:NJV327764 NTP327764:NTR327764 ODL327764:ODN327764 ONH327764:ONJ327764 OXD327764:OXF327764 PGZ327764:PHB327764 PQV327764:PQX327764 QAR327764:QAT327764 QKN327764:QKP327764 QUJ327764:QUL327764 REF327764:REH327764 ROB327764:ROD327764 RXX327764:RXZ327764 SHT327764:SHV327764 SRP327764:SRR327764 TBL327764:TBN327764 TLH327764:TLJ327764 TVD327764:TVF327764 UEZ327764:UFB327764 UOV327764:UOX327764 UYR327764:UYT327764 VIN327764:VIP327764 VSJ327764:VSL327764 WCF327764:WCH327764 WMB327764:WMD327764 WVX327764:WVZ327764 P393300:R393300 JL393300:JN393300 TH393300:TJ393300 ADD393300:ADF393300 AMZ393300:ANB393300 AWV393300:AWX393300 BGR393300:BGT393300 BQN393300:BQP393300 CAJ393300:CAL393300 CKF393300:CKH393300 CUB393300:CUD393300 DDX393300:DDZ393300 DNT393300:DNV393300 DXP393300:DXR393300 EHL393300:EHN393300 ERH393300:ERJ393300 FBD393300:FBF393300 FKZ393300:FLB393300 FUV393300:FUX393300 GER393300:GET393300 GON393300:GOP393300 GYJ393300:GYL393300 HIF393300:HIH393300 HSB393300:HSD393300 IBX393300:IBZ393300 ILT393300:ILV393300 IVP393300:IVR393300 JFL393300:JFN393300 JPH393300:JPJ393300 JZD393300:JZF393300 KIZ393300:KJB393300 KSV393300:KSX393300 LCR393300:LCT393300 LMN393300:LMP393300 LWJ393300:LWL393300 MGF393300:MGH393300 MQB393300:MQD393300 MZX393300:MZZ393300 NJT393300:NJV393300 NTP393300:NTR393300 ODL393300:ODN393300 ONH393300:ONJ393300 OXD393300:OXF393300 PGZ393300:PHB393300 PQV393300:PQX393300 QAR393300:QAT393300 QKN393300:QKP393300 QUJ393300:QUL393300 REF393300:REH393300 ROB393300:ROD393300 RXX393300:RXZ393300 SHT393300:SHV393300 SRP393300:SRR393300 TBL393300:TBN393300 TLH393300:TLJ393300 TVD393300:TVF393300 UEZ393300:UFB393300 UOV393300:UOX393300 UYR393300:UYT393300 VIN393300:VIP393300 VSJ393300:VSL393300 WCF393300:WCH393300 WMB393300:WMD393300 WVX393300:WVZ393300 P458836:R458836 JL458836:JN458836 TH458836:TJ458836 ADD458836:ADF458836 AMZ458836:ANB458836 AWV458836:AWX458836 BGR458836:BGT458836 BQN458836:BQP458836 CAJ458836:CAL458836 CKF458836:CKH458836 CUB458836:CUD458836 DDX458836:DDZ458836 DNT458836:DNV458836 DXP458836:DXR458836 EHL458836:EHN458836 ERH458836:ERJ458836 FBD458836:FBF458836 FKZ458836:FLB458836 FUV458836:FUX458836 GER458836:GET458836 GON458836:GOP458836 GYJ458836:GYL458836 HIF458836:HIH458836 HSB458836:HSD458836 IBX458836:IBZ458836 ILT458836:ILV458836 IVP458836:IVR458836 JFL458836:JFN458836 JPH458836:JPJ458836 JZD458836:JZF458836 KIZ458836:KJB458836 KSV458836:KSX458836 LCR458836:LCT458836 LMN458836:LMP458836 LWJ458836:LWL458836 MGF458836:MGH458836 MQB458836:MQD458836 MZX458836:MZZ458836 NJT458836:NJV458836 NTP458836:NTR458836 ODL458836:ODN458836 ONH458836:ONJ458836 OXD458836:OXF458836 PGZ458836:PHB458836 PQV458836:PQX458836 QAR458836:QAT458836 QKN458836:QKP458836 QUJ458836:QUL458836 REF458836:REH458836 ROB458836:ROD458836 RXX458836:RXZ458836 SHT458836:SHV458836 SRP458836:SRR458836 TBL458836:TBN458836 TLH458836:TLJ458836 TVD458836:TVF458836 UEZ458836:UFB458836 UOV458836:UOX458836 UYR458836:UYT458836 VIN458836:VIP458836 VSJ458836:VSL458836 WCF458836:WCH458836 WMB458836:WMD458836 WVX458836:WVZ458836 P524372:R524372 JL524372:JN524372 TH524372:TJ524372 ADD524372:ADF524372 AMZ524372:ANB524372 AWV524372:AWX524372 BGR524372:BGT524372 BQN524372:BQP524372 CAJ524372:CAL524372 CKF524372:CKH524372 CUB524372:CUD524372 DDX524372:DDZ524372 DNT524372:DNV524372 DXP524372:DXR524372 EHL524372:EHN524372 ERH524372:ERJ524372 FBD524372:FBF524372 FKZ524372:FLB524372 FUV524372:FUX524372 GER524372:GET524372 GON524372:GOP524372 GYJ524372:GYL524372 HIF524372:HIH524372 HSB524372:HSD524372 IBX524372:IBZ524372 ILT524372:ILV524372 IVP524372:IVR524372 JFL524372:JFN524372 JPH524372:JPJ524372 JZD524372:JZF524372 KIZ524372:KJB524372 KSV524372:KSX524372 LCR524372:LCT524372 LMN524372:LMP524372 LWJ524372:LWL524372 MGF524372:MGH524372 MQB524372:MQD524372 MZX524372:MZZ524372 NJT524372:NJV524372 NTP524372:NTR524372 ODL524372:ODN524372 ONH524372:ONJ524372 OXD524372:OXF524372 PGZ524372:PHB524372 PQV524372:PQX524372 QAR524372:QAT524372 QKN524372:QKP524372 QUJ524372:QUL524372 REF524372:REH524372 ROB524372:ROD524372 RXX524372:RXZ524372 SHT524372:SHV524372 SRP524372:SRR524372 TBL524372:TBN524372 TLH524372:TLJ524372 TVD524372:TVF524372 UEZ524372:UFB524372 UOV524372:UOX524372 UYR524372:UYT524372 VIN524372:VIP524372 VSJ524372:VSL524372 WCF524372:WCH524372 WMB524372:WMD524372 WVX524372:WVZ524372 P589908:R589908 JL589908:JN589908 TH589908:TJ589908 ADD589908:ADF589908 AMZ589908:ANB589908 AWV589908:AWX589908 BGR589908:BGT589908 BQN589908:BQP589908 CAJ589908:CAL589908 CKF589908:CKH589908 CUB589908:CUD589908 DDX589908:DDZ589908 DNT589908:DNV589908 DXP589908:DXR589908 EHL589908:EHN589908 ERH589908:ERJ589908 FBD589908:FBF589908 FKZ589908:FLB589908 FUV589908:FUX589908 GER589908:GET589908 GON589908:GOP589908 GYJ589908:GYL589908 HIF589908:HIH589908 HSB589908:HSD589908 IBX589908:IBZ589908 ILT589908:ILV589908 IVP589908:IVR589908 JFL589908:JFN589908 JPH589908:JPJ589908 JZD589908:JZF589908 KIZ589908:KJB589908 KSV589908:KSX589908 LCR589908:LCT589908 LMN589908:LMP589908 LWJ589908:LWL589908 MGF589908:MGH589908 MQB589908:MQD589908 MZX589908:MZZ589908 NJT589908:NJV589908 NTP589908:NTR589908 ODL589908:ODN589908 ONH589908:ONJ589908 OXD589908:OXF589908 PGZ589908:PHB589908 PQV589908:PQX589908 QAR589908:QAT589908 QKN589908:QKP589908 QUJ589908:QUL589908 REF589908:REH589908 ROB589908:ROD589908 RXX589908:RXZ589908 SHT589908:SHV589908 SRP589908:SRR589908 TBL589908:TBN589908 TLH589908:TLJ589908 TVD589908:TVF589908 UEZ589908:UFB589908 UOV589908:UOX589908 UYR589908:UYT589908 VIN589908:VIP589908 VSJ589908:VSL589908 WCF589908:WCH589908 WMB589908:WMD589908 WVX589908:WVZ589908 P655444:R655444 JL655444:JN655444 TH655444:TJ655444 ADD655444:ADF655444 AMZ655444:ANB655444 AWV655444:AWX655444 BGR655444:BGT655444 BQN655444:BQP655444 CAJ655444:CAL655444 CKF655444:CKH655444 CUB655444:CUD655444 DDX655444:DDZ655444 DNT655444:DNV655444 DXP655444:DXR655444 EHL655444:EHN655444 ERH655444:ERJ655444 FBD655444:FBF655444 FKZ655444:FLB655444 FUV655444:FUX655444 GER655444:GET655444 GON655444:GOP655444 GYJ655444:GYL655444 HIF655444:HIH655444 HSB655444:HSD655444 IBX655444:IBZ655444 ILT655444:ILV655444 IVP655444:IVR655444 JFL655444:JFN655444 JPH655444:JPJ655444 JZD655444:JZF655444 KIZ655444:KJB655444 KSV655444:KSX655444 LCR655444:LCT655444 LMN655444:LMP655444 LWJ655444:LWL655444 MGF655444:MGH655444 MQB655444:MQD655444 MZX655444:MZZ655444 NJT655444:NJV655444 NTP655444:NTR655444 ODL655444:ODN655444 ONH655444:ONJ655444 OXD655444:OXF655444 PGZ655444:PHB655444 PQV655444:PQX655444 QAR655444:QAT655444 QKN655444:QKP655444 QUJ655444:QUL655444 REF655444:REH655444 ROB655444:ROD655444 RXX655444:RXZ655444 SHT655444:SHV655444 SRP655444:SRR655444 TBL655444:TBN655444 TLH655444:TLJ655444 TVD655444:TVF655444 UEZ655444:UFB655444 UOV655444:UOX655444 UYR655444:UYT655444 VIN655444:VIP655444 VSJ655444:VSL655444 WCF655444:WCH655444 WMB655444:WMD655444 WVX655444:WVZ655444 P720980:R720980 JL720980:JN720980 TH720980:TJ720980 ADD720980:ADF720980 AMZ720980:ANB720980 AWV720980:AWX720980 BGR720980:BGT720980 BQN720980:BQP720980 CAJ720980:CAL720980 CKF720980:CKH720980 CUB720980:CUD720980 DDX720980:DDZ720980 DNT720980:DNV720980 DXP720980:DXR720980 EHL720980:EHN720980 ERH720980:ERJ720980 FBD720980:FBF720980 FKZ720980:FLB720980 FUV720980:FUX720980 GER720980:GET720980 GON720980:GOP720980 GYJ720980:GYL720980 HIF720980:HIH720980 HSB720980:HSD720980 IBX720980:IBZ720980 ILT720980:ILV720980 IVP720980:IVR720980 JFL720980:JFN720980 JPH720980:JPJ720980 JZD720980:JZF720980 KIZ720980:KJB720980 KSV720980:KSX720980 LCR720980:LCT720980 LMN720980:LMP720980 LWJ720980:LWL720980 MGF720980:MGH720980 MQB720980:MQD720980 MZX720980:MZZ720980 NJT720980:NJV720980 NTP720980:NTR720980 ODL720980:ODN720980 ONH720980:ONJ720980 OXD720980:OXF720980 PGZ720980:PHB720980 PQV720980:PQX720980 QAR720980:QAT720980 QKN720980:QKP720980 QUJ720980:QUL720980 REF720980:REH720980 ROB720980:ROD720980 RXX720980:RXZ720980 SHT720980:SHV720980 SRP720980:SRR720980 TBL720980:TBN720980 TLH720980:TLJ720980 TVD720980:TVF720980 UEZ720980:UFB720980 UOV720980:UOX720980 UYR720980:UYT720980 VIN720980:VIP720980 VSJ720980:VSL720980 WCF720980:WCH720980 WMB720980:WMD720980 WVX720980:WVZ720980 P786516:R786516 JL786516:JN786516 TH786516:TJ786516 ADD786516:ADF786516 AMZ786516:ANB786516 AWV786516:AWX786516 BGR786516:BGT786516 BQN786516:BQP786516 CAJ786516:CAL786516 CKF786516:CKH786516 CUB786516:CUD786516 DDX786516:DDZ786516 DNT786516:DNV786516 DXP786516:DXR786516 EHL786516:EHN786516 ERH786516:ERJ786516 FBD786516:FBF786516 FKZ786516:FLB786516 FUV786516:FUX786516 GER786516:GET786516 GON786516:GOP786516 GYJ786516:GYL786516 HIF786516:HIH786516 HSB786516:HSD786516 IBX786516:IBZ786516 ILT786516:ILV786516 IVP786516:IVR786516 JFL786516:JFN786516 JPH786516:JPJ786516 JZD786516:JZF786516 KIZ786516:KJB786516 KSV786516:KSX786516 LCR786516:LCT786516 LMN786516:LMP786516 LWJ786516:LWL786516 MGF786516:MGH786516 MQB786516:MQD786516 MZX786516:MZZ786516 NJT786516:NJV786516 NTP786516:NTR786516 ODL786516:ODN786516 ONH786516:ONJ786516 OXD786516:OXF786516 PGZ786516:PHB786516 PQV786516:PQX786516 QAR786516:QAT786516 QKN786516:QKP786516 QUJ786516:QUL786516 REF786516:REH786516 ROB786516:ROD786516 RXX786516:RXZ786516 SHT786516:SHV786516 SRP786516:SRR786516 TBL786516:TBN786516 TLH786516:TLJ786516 TVD786516:TVF786516 UEZ786516:UFB786516 UOV786516:UOX786516 UYR786516:UYT786516 VIN786516:VIP786516 VSJ786516:VSL786516 WCF786516:WCH786516 WMB786516:WMD786516 WVX786516:WVZ786516 P852052:R852052 JL852052:JN852052 TH852052:TJ852052 ADD852052:ADF852052 AMZ852052:ANB852052 AWV852052:AWX852052 BGR852052:BGT852052 BQN852052:BQP852052 CAJ852052:CAL852052 CKF852052:CKH852052 CUB852052:CUD852052 DDX852052:DDZ852052 DNT852052:DNV852052 DXP852052:DXR852052 EHL852052:EHN852052 ERH852052:ERJ852052 FBD852052:FBF852052 FKZ852052:FLB852052 FUV852052:FUX852052 GER852052:GET852052 GON852052:GOP852052 GYJ852052:GYL852052 HIF852052:HIH852052 HSB852052:HSD852052 IBX852052:IBZ852052 ILT852052:ILV852052 IVP852052:IVR852052 JFL852052:JFN852052 JPH852052:JPJ852052 JZD852052:JZF852052 KIZ852052:KJB852052 KSV852052:KSX852052 LCR852052:LCT852052 LMN852052:LMP852052 LWJ852052:LWL852052 MGF852052:MGH852052 MQB852052:MQD852052 MZX852052:MZZ852052 NJT852052:NJV852052 NTP852052:NTR852052 ODL852052:ODN852052 ONH852052:ONJ852052 OXD852052:OXF852052 PGZ852052:PHB852052 PQV852052:PQX852052 QAR852052:QAT852052 QKN852052:QKP852052 QUJ852052:QUL852052 REF852052:REH852052 ROB852052:ROD852052 RXX852052:RXZ852052 SHT852052:SHV852052 SRP852052:SRR852052 TBL852052:TBN852052 TLH852052:TLJ852052 TVD852052:TVF852052 UEZ852052:UFB852052 UOV852052:UOX852052 UYR852052:UYT852052 VIN852052:VIP852052 VSJ852052:VSL852052 WCF852052:WCH852052 WMB852052:WMD852052 WVX852052:WVZ852052 P917588:R917588 JL917588:JN917588 TH917588:TJ917588 ADD917588:ADF917588 AMZ917588:ANB917588 AWV917588:AWX917588 BGR917588:BGT917588 BQN917588:BQP917588 CAJ917588:CAL917588 CKF917588:CKH917588 CUB917588:CUD917588 DDX917588:DDZ917588 DNT917588:DNV917588 DXP917588:DXR917588 EHL917588:EHN917588 ERH917588:ERJ917588 FBD917588:FBF917588 FKZ917588:FLB917588 FUV917588:FUX917588 GER917588:GET917588 GON917588:GOP917588 GYJ917588:GYL917588 HIF917588:HIH917588 HSB917588:HSD917588 IBX917588:IBZ917588 ILT917588:ILV917588 IVP917588:IVR917588 JFL917588:JFN917588 JPH917588:JPJ917588 JZD917588:JZF917588 KIZ917588:KJB917588 KSV917588:KSX917588 LCR917588:LCT917588 LMN917588:LMP917588 LWJ917588:LWL917588 MGF917588:MGH917588 MQB917588:MQD917588 MZX917588:MZZ917588 NJT917588:NJV917588 NTP917588:NTR917588 ODL917588:ODN917588 ONH917588:ONJ917588 OXD917588:OXF917588 PGZ917588:PHB917588 PQV917588:PQX917588 QAR917588:QAT917588 QKN917588:QKP917588 QUJ917588:QUL917588 REF917588:REH917588 ROB917588:ROD917588 RXX917588:RXZ917588 SHT917588:SHV917588 SRP917588:SRR917588 TBL917588:TBN917588 TLH917588:TLJ917588 TVD917588:TVF917588 UEZ917588:UFB917588 UOV917588:UOX917588 UYR917588:UYT917588 VIN917588:VIP917588 VSJ917588:VSL917588 WCF917588:WCH917588 WMB917588:WMD917588 WVX917588:WVZ917588 P983124:R983124 JL983124:JN983124 TH983124:TJ983124 ADD983124:ADF983124 AMZ983124:ANB983124 AWV983124:AWX983124 BGR983124:BGT983124 BQN983124:BQP983124 CAJ983124:CAL983124 CKF983124:CKH983124 CUB983124:CUD983124 DDX983124:DDZ983124 DNT983124:DNV983124 DXP983124:DXR983124 EHL983124:EHN983124 ERH983124:ERJ983124 FBD983124:FBF983124 FKZ983124:FLB983124 FUV983124:FUX983124 GER983124:GET983124 GON983124:GOP983124 GYJ983124:GYL983124 HIF983124:HIH983124 HSB983124:HSD983124 IBX983124:IBZ983124 ILT983124:ILV983124 IVP983124:IVR983124 JFL983124:JFN983124 JPH983124:JPJ983124 JZD983124:JZF983124 KIZ983124:KJB983124 KSV983124:KSX983124 LCR983124:LCT983124 LMN983124:LMP983124 LWJ983124:LWL983124 MGF983124:MGH983124 MQB983124:MQD983124 MZX983124:MZZ983124 NJT983124:NJV983124 NTP983124:NTR983124 ODL983124:ODN983124 ONH983124:ONJ983124 OXD983124:OXF983124 PGZ983124:PHB983124 PQV983124:PQX983124 QAR983124:QAT983124 QKN983124:QKP983124 QUJ983124:QUL983124 REF983124:REH983124 ROB983124:ROD983124 RXX983124:RXZ983124 SHT983124:SHV983124 SRP983124:SRR983124 TBL983124:TBN983124 TLH983124:TLJ983124 TVD983124:TVF983124 UEZ983124:UFB983124 UOV983124:UOX983124 UYR983124:UYT983124 VIN983124:VIP983124 VSJ983124:VSL983124 WCF983124:WCH983124 WMB983124:WMD983124 WVX983124:WVZ983124">
      <formula1>$AA$23:$AA$24</formula1>
    </dataValidation>
    <dataValidation type="list" allowBlank="1" showInputMessage="1" showErrorMessage="1" sqref="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65627 JD65627 SZ65627 ACV65627 AMR65627 AWN65627 BGJ65627 BQF65627 CAB65627 CJX65627 CTT65627 DDP65627 DNL65627 DXH65627 EHD65627 EQZ65627 FAV65627 FKR65627 FUN65627 GEJ65627 GOF65627 GYB65627 HHX65627 HRT65627 IBP65627 ILL65627 IVH65627 JFD65627 JOZ65627 JYV65627 KIR65627 KSN65627 LCJ65627 LMF65627 LWB65627 MFX65627 MPT65627 MZP65627 NJL65627 NTH65627 ODD65627 OMZ65627 OWV65627 PGR65627 PQN65627 QAJ65627 QKF65627 QUB65627 RDX65627 RNT65627 RXP65627 SHL65627 SRH65627 TBD65627 TKZ65627 TUV65627 UER65627 UON65627 UYJ65627 VIF65627 VSB65627 WBX65627 WLT65627 WVP65627 H131163 JD131163 SZ131163 ACV131163 AMR131163 AWN131163 BGJ131163 BQF131163 CAB131163 CJX131163 CTT131163 DDP131163 DNL131163 DXH131163 EHD131163 EQZ131163 FAV131163 FKR131163 FUN131163 GEJ131163 GOF131163 GYB131163 HHX131163 HRT131163 IBP131163 ILL131163 IVH131163 JFD131163 JOZ131163 JYV131163 KIR131163 KSN131163 LCJ131163 LMF131163 LWB131163 MFX131163 MPT131163 MZP131163 NJL131163 NTH131163 ODD131163 OMZ131163 OWV131163 PGR131163 PQN131163 QAJ131163 QKF131163 QUB131163 RDX131163 RNT131163 RXP131163 SHL131163 SRH131163 TBD131163 TKZ131163 TUV131163 UER131163 UON131163 UYJ131163 VIF131163 VSB131163 WBX131163 WLT131163 WVP131163 H196699 JD196699 SZ196699 ACV196699 AMR196699 AWN196699 BGJ196699 BQF196699 CAB196699 CJX196699 CTT196699 DDP196699 DNL196699 DXH196699 EHD196699 EQZ196699 FAV196699 FKR196699 FUN196699 GEJ196699 GOF196699 GYB196699 HHX196699 HRT196699 IBP196699 ILL196699 IVH196699 JFD196699 JOZ196699 JYV196699 KIR196699 KSN196699 LCJ196699 LMF196699 LWB196699 MFX196699 MPT196699 MZP196699 NJL196699 NTH196699 ODD196699 OMZ196699 OWV196699 PGR196699 PQN196699 QAJ196699 QKF196699 QUB196699 RDX196699 RNT196699 RXP196699 SHL196699 SRH196699 TBD196699 TKZ196699 TUV196699 UER196699 UON196699 UYJ196699 VIF196699 VSB196699 WBX196699 WLT196699 WVP196699 H262235 JD262235 SZ262235 ACV262235 AMR262235 AWN262235 BGJ262235 BQF262235 CAB262235 CJX262235 CTT262235 DDP262235 DNL262235 DXH262235 EHD262235 EQZ262235 FAV262235 FKR262235 FUN262235 GEJ262235 GOF262235 GYB262235 HHX262235 HRT262235 IBP262235 ILL262235 IVH262235 JFD262235 JOZ262235 JYV262235 KIR262235 KSN262235 LCJ262235 LMF262235 LWB262235 MFX262235 MPT262235 MZP262235 NJL262235 NTH262235 ODD262235 OMZ262235 OWV262235 PGR262235 PQN262235 QAJ262235 QKF262235 QUB262235 RDX262235 RNT262235 RXP262235 SHL262235 SRH262235 TBD262235 TKZ262235 TUV262235 UER262235 UON262235 UYJ262235 VIF262235 VSB262235 WBX262235 WLT262235 WVP262235 H327771 JD327771 SZ327771 ACV327771 AMR327771 AWN327771 BGJ327771 BQF327771 CAB327771 CJX327771 CTT327771 DDP327771 DNL327771 DXH327771 EHD327771 EQZ327771 FAV327771 FKR327771 FUN327771 GEJ327771 GOF327771 GYB327771 HHX327771 HRT327771 IBP327771 ILL327771 IVH327771 JFD327771 JOZ327771 JYV327771 KIR327771 KSN327771 LCJ327771 LMF327771 LWB327771 MFX327771 MPT327771 MZP327771 NJL327771 NTH327771 ODD327771 OMZ327771 OWV327771 PGR327771 PQN327771 QAJ327771 QKF327771 QUB327771 RDX327771 RNT327771 RXP327771 SHL327771 SRH327771 TBD327771 TKZ327771 TUV327771 UER327771 UON327771 UYJ327771 VIF327771 VSB327771 WBX327771 WLT327771 WVP327771 H393307 JD393307 SZ393307 ACV393307 AMR393307 AWN393307 BGJ393307 BQF393307 CAB393307 CJX393307 CTT393307 DDP393307 DNL393307 DXH393307 EHD393307 EQZ393307 FAV393307 FKR393307 FUN393307 GEJ393307 GOF393307 GYB393307 HHX393307 HRT393307 IBP393307 ILL393307 IVH393307 JFD393307 JOZ393307 JYV393307 KIR393307 KSN393307 LCJ393307 LMF393307 LWB393307 MFX393307 MPT393307 MZP393307 NJL393307 NTH393307 ODD393307 OMZ393307 OWV393307 PGR393307 PQN393307 QAJ393307 QKF393307 QUB393307 RDX393307 RNT393307 RXP393307 SHL393307 SRH393307 TBD393307 TKZ393307 TUV393307 UER393307 UON393307 UYJ393307 VIF393307 VSB393307 WBX393307 WLT393307 WVP393307 H458843 JD458843 SZ458843 ACV458843 AMR458843 AWN458843 BGJ458843 BQF458843 CAB458843 CJX458843 CTT458843 DDP458843 DNL458843 DXH458843 EHD458843 EQZ458843 FAV458843 FKR458843 FUN458843 GEJ458843 GOF458843 GYB458843 HHX458843 HRT458843 IBP458843 ILL458843 IVH458843 JFD458843 JOZ458843 JYV458843 KIR458843 KSN458843 LCJ458843 LMF458843 LWB458843 MFX458843 MPT458843 MZP458843 NJL458843 NTH458843 ODD458843 OMZ458843 OWV458843 PGR458843 PQN458843 QAJ458843 QKF458843 QUB458843 RDX458843 RNT458843 RXP458843 SHL458843 SRH458843 TBD458843 TKZ458843 TUV458843 UER458843 UON458843 UYJ458843 VIF458843 VSB458843 WBX458843 WLT458843 WVP458843 H524379 JD524379 SZ524379 ACV524379 AMR524379 AWN524379 BGJ524379 BQF524379 CAB524379 CJX524379 CTT524379 DDP524379 DNL524379 DXH524379 EHD524379 EQZ524379 FAV524379 FKR524379 FUN524379 GEJ524379 GOF524379 GYB524379 HHX524379 HRT524379 IBP524379 ILL524379 IVH524379 JFD524379 JOZ524379 JYV524379 KIR524379 KSN524379 LCJ524379 LMF524379 LWB524379 MFX524379 MPT524379 MZP524379 NJL524379 NTH524379 ODD524379 OMZ524379 OWV524379 PGR524379 PQN524379 QAJ524379 QKF524379 QUB524379 RDX524379 RNT524379 RXP524379 SHL524379 SRH524379 TBD524379 TKZ524379 TUV524379 UER524379 UON524379 UYJ524379 VIF524379 VSB524379 WBX524379 WLT524379 WVP524379 H589915 JD589915 SZ589915 ACV589915 AMR589915 AWN589915 BGJ589915 BQF589915 CAB589915 CJX589915 CTT589915 DDP589915 DNL589915 DXH589915 EHD589915 EQZ589915 FAV589915 FKR589915 FUN589915 GEJ589915 GOF589915 GYB589915 HHX589915 HRT589915 IBP589915 ILL589915 IVH589915 JFD589915 JOZ589915 JYV589915 KIR589915 KSN589915 LCJ589915 LMF589915 LWB589915 MFX589915 MPT589915 MZP589915 NJL589915 NTH589915 ODD589915 OMZ589915 OWV589915 PGR589915 PQN589915 QAJ589915 QKF589915 QUB589915 RDX589915 RNT589915 RXP589915 SHL589915 SRH589915 TBD589915 TKZ589915 TUV589915 UER589915 UON589915 UYJ589915 VIF589915 VSB589915 WBX589915 WLT589915 WVP589915 H655451 JD655451 SZ655451 ACV655451 AMR655451 AWN655451 BGJ655451 BQF655451 CAB655451 CJX655451 CTT655451 DDP655451 DNL655451 DXH655451 EHD655451 EQZ655451 FAV655451 FKR655451 FUN655451 GEJ655451 GOF655451 GYB655451 HHX655451 HRT655451 IBP655451 ILL655451 IVH655451 JFD655451 JOZ655451 JYV655451 KIR655451 KSN655451 LCJ655451 LMF655451 LWB655451 MFX655451 MPT655451 MZP655451 NJL655451 NTH655451 ODD655451 OMZ655451 OWV655451 PGR655451 PQN655451 QAJ655451 QKF655451 QUB655451 RDX655451 RNT655451 RXP655451 SHL655451 SRH655451 TBD655451 TKZ655451 TUV655451 UER655451 UON655451 UYJ655451 VIF655451 VSB655451 WBX655451 WLT655451 WVP655451 H720987 JD720987 SZ720987 ACV720987 AMR720987 AWN720987 BGJ720987 BQF720987 CAB720987 CJX720987 CTT720987 DDP720987 DNL720987 DXH720987 EHD720987 EQZ720987 FAV720987 FKR720987 FUN720987 GEJ720987 GOF720987 GYB720987 HHX720987 HRT720987 IBP720987 ILL720987 IVH720987 JFD720987 JOZ720987 JYV720987 KIR720987 KSN720987 LCJ720987 LMF720987 LWB720987 MFX720987 MPT720987 MZP720987 NJL720987 NTH720987 ODD720987 OMZ720987 OWV720987 PGR720987 PQN720987 QAJ720987 QKF720987 QUB720987 RDX720987 RNT720987 RXP720987 SHL720987 SRH720987 TBD720987 TKZ720987 TUV720987 UER720987 UON720987 UYJ720987 VIF720987 VSB720987 WBX720987 WLT720987 WVP720987 H786523 JD786523 SZ786523 ACV786523 AMR786523 AWN786523 BGJ786523 BQF786523 CAB786523 CJX786523 CTT786523 DDP786523 DNL786523 DXH786523 EHD786523 EQZ786523 FAV786523 FKR786523 FUN786523 GEJ786523 GOF786523 GYB786523 HHX786523 HRT786523 IBP786523 ILL786523 IVH786523 JFD786523 JOZ786523 JYV786523 KIR786523 KSN786523 LCJ786523 LMF786523 LWB786523 MFX786523 MPT786523 MZP786523 NJL786523 NTH786523 ODD786523 OMZ786523 OWV786523 PGR786523 PQN786523 QAJ786523 QKF786523 QUB786523 RDX786523 RNT786523 RXP786523 SHL786523 SRH786523 TBD786523 TKZ786523 TUV786523 UER786523 UON786523 UYJ786523 VIF786523 VSB786523 WBX786523 WLT786523 WVP786523 H852059 JD852059 SZ852059 ACV852059 AMR852059 AWN852059 BGJ852059 BQF852059 CAB852059 CJX852059 CTT852059 DDP852059 DNL852059 DXH852059 EHD852059 EQZ852059 FAV852059 FKR852059 FUN852059 GEJ852059 GOF852059 GYB852059 HHX852059 HRT852059 IBP852059 ILL852059 IVH852059 JFD852059 JOZ852059 JYV852059 KIR852059 KSN852059 LCJ852059 LMF852059 LWB852059 MFX852059 MPT852059 MZP852059 NJL852059 NTH852059 ODD852059 OMZ852059 OWV852059 PGR852059 PQN852059 QAJ852059 QKF852059 QUB852059 RDX852059 RNT852059 RXP852059 SHL852059 SRH852059 TBD852059 TKZ852059 TUV852059 UER852059 UON852059 UYJ852059 VIF852059 VSB852059 WBX852059 WLT852059 WVP852059 H917595 JD917595 SZ917595 ACV917595 AMR917595 AWN917595 BGJ917595 BQF917595 CAB917595 CJX917595 CTT917595 DDP917595 DNL917595 DXH917595 EHD917595 EQZ917595 FAV917595 FKR917595 FUN917595 GEJ917595 GOF917595 GYB917595 HHX917595 HRT917595 IBP917595 ILL917595 IVH917595 JFD917595 JOZ917595 JYV917595 KIR917595 KSN917595 LCJ917595 LMF917595 LWB917595 MFX917595 MPT917595 MZP917595 NJL917595 NTH917595 ODD917595 OMZ917595 OWV917595 PGR917595 PQN917595 QAJ917595 QKF917595 QUB917595 RDX917595 RNT917595 RXP917595 SHL917595 SRH917595 TBD917595 TKZ917595 TUV917595 UER917595 UON917595 UYJ917595 VIF917595 VSB917595 WBX917595 WLT917595 WVP917595 H983131 JD983131 SZ983131 ACV983131 AMR983131 AWN983131 BGJ983131 BQF983131 CAB983131 CJX983131 CTT983131 DDP983131 DNL983131 DXH983131 EHD983131 EQZ983131 FAV983131 FKR983131 FUN983131 GEJ983131 GOF983131 GYB983131 HHX983131 HRT983131 IBP983131 ILL983131 IVH983131 JFD983131 JOZ983131 JYV983131 KIR983131 KSN983131 LCJ983131 LMF983131 LWB983131 MFX983131 MPT983131 MZP983131 NJL983131 NTH983131 ODD983131 OMZ983131 OWV983131 PGR983131 PQN983131 QAJ983131 QKF983131 QUB983131 RDX983131 RNT983131 RXP983131 SHL983131 SRH983131 TBD983131 TKZ983131 TUV983131 UER983131 UON983131 UYJ983131 VIF983131 VSB983131 WBX983131 WLT983131 WVP983131">
      <formula1>$AA$29:$AA$30</formula1>
    </dataValidation>
    <dataValidation type="list" allowBlank="1" showInputMessage="1" showErrorMessage="1" sqref="WVM983081:WVM983109 WLQ983081:WLQ983109 WBU983081:WBU983109 VRY983081:VRY983109 VIC983081:VIC983109 UYG983081:UYG983109 UOK983081:UOK983109 UEO983081:UEO983109 TUS983081:TUS983109 TKW983081:TKW983109 TBA983081:TBA983109 SRE983081:SRE983109 SHI983081:SHI983109 RXM983081:RXM983109 RNQ983081:RNQ983109 RDU983081:RDU983109 QTY983081:QTY983109 QKC983081:QKC983109 QAG983081:QAG983109 PQK983081:PQK983109 PGO983081:PGO983109 OWS983081:OWS983109 OMW983081:OMW983109 ODA983081:ODA983109 NTE983081:NTE983109 NJI983081:NJI983109 MZM983081:MZM983109 MPQ983081:MPQ983109 MFU983081:MFU983109 LVY983081:LVY983109 LMC983081:LMC983109 LCG983081:LCG983109 KSK983081:KSK983109 KIO983081:KIO983109 JYS983081:JYS983109 JOW983081:JOW983109 JFA983081:JFA983109 IVE983081:IVE983109 ILI983081:ILI983109 IBM983081:IBM983109 HRQ983081:HRQ983109 HHU983081:HHU983109 GXY983081:GXY983109 GOC983081:GOC983109 GEG983081:GEG983109 FUK983081:FUK983109 FKO983081:FKO983109 FAS983081:FAS983109 EQW983081:EQW983109 EHA983081:EHA983109 DXE983081:DXE983109 DNI983081:DNI983109 DDM983081:DDM983109 CTQ983081:CTQ983109 CJU983081:CJU983109 BZY983081:BZY983109 BQC983081:BQC983109 BGG983081:BGG983109 AWK983081:AWK983109 AMO983081:AMO983109 ACS983081:ACS983109 SW983081:SW983109 JA983081:JA983109 E983081:E983109 WVM917545:WVM917573 WLQ917545:WLQ917573 WBU917545:WBU917573 VRY917545:VRY917573 VIC917545:VIC917573 UYG917545:UYG917573 UOK917545:UOK917573 UEO917545:UEO917573 TUS917545:TUS917573 TKW917545:TKW917573 TBA917545:TBA917573 SRE917545:SRE917573 SHI917545:SHI917573 RXM917545:RXM917573 RNQ917545:RNQ917573 RDU917545:RDU917573 QTY917545:QTY917573 QKC917545:QKC917573 QAG917545:QAG917573 PQK917545:PQK917573 PGO917545:PGO917573 OWS917545:OWS917573 OMW917545:OMW917573 ODA917545:ODA917573 NTE917545:NTE917573 NJI917545:NJI917573 MZM917545:MZM917573 MPQ917545:MPQ917573 MFU917545:MFU917573 LVY917545:LVY917573 LMC917545:LMC917573 LCG917545:LCG917573 KSK917545:KSK917573 KIO917545:KIO917573 JYS917545:JYS917573 JOW917545:JOW917573 JFA917545:JFA917573 IVE917545:IVE917573 ILI917545:ILI917573 IBM917545:IBM917573 HRQ917545:HRQ917573 HHU917545:HHU917573 GXY917545:GXY917573 GOC917545:GOC917573 GEG917545:GEG917573 FUK917545:FUK917573 FKO917545:FKO917573 FAS917545:FAS917573 EQW917545:EQW917573 EHA917545:EHA917573 DXE917545:DXE917573 DNI917545:DNI917573 DDM917545:DDM917573 CTQ917545:CTQ917573 CJU917545:CJU917573 BZY917545:BZY917573 BQC917545:BQC917573 BGG917545:BGG917573 AWK917545:AWK917573 AMO917545:AMO917573 ACS917545:ACS917573 SW917545:SW917573 JA917545:JA917573 E917545:E917573 WVM852009:WVM852037 WLQ852009:WLQ852037 WBU852009:WBU852037 VRY852009:VRY852037 VIC852009:VIC852037 UYG852009:UYG852037 UOK852009:UOK852037 UEO852009:UEO852037 TUS852009:TUS852037 TKW852009:TKW852037 TBA852009:TBA852037 SRE852009:SRE852037 SHI852009:SHI852037 RXM852009:RXM852037 RNQ852009:RNQ852037 RDU852009:RDU852037 QTY852009:QTY852037 QKC852009:QKC852037 QAG852009:QAG852037 PQK852009:PQK852037 PGO852009:PGO852037 OWS852009:OWS852037 OMW852009:OMW852037 ODA852009:ODA852037 NTE852009:NTE852037 NJI852009:NJI852037 MZM852009:MZM852037 MPQ852009:MPQ852037 MFU852009:MFU852037 LVY852009:LVY852037 LMC852009:LMC852037 LCG852009:LCG852037 KSK852009:KSK852037 KIO852009:KIO852037 JYS852009:JYS852037 JOW852009:JOW852037 JFA852009:JFA852037 IVE852009:IVE852037 ILI852009:ILI852037 IBM852009:IBM852037 HRQ852009:HRQ852037 HHU852009:HHU852037 GXY852009:GXY852037 GOC852009:GOC852037 GEG852009:GEG852037 FUK852009:FUK852037 FKO852009:FKO852037 FAS852009:FAS852037 EQW852009:EQW852037 EHA852009:EHA852037 DXE852009:DXE852037 DNI852009:DNI852037 DDM852009:DDM852037 CTQ852009:CTQ852037 CJU852009:CJU852037 BZY852009:BZY852037 BQC852009:BQC852037 BGG852009:BGG852037 AWK852009:AWK852037 AMO852009:AMO852037 ACS852009:ACS852037 SW852009:SW852037 JA852009:JA852037 E852009:E852037 WVM786473:WVM786501 WLQ786473:WLQ786501 WBU786473:WBU786501 VRY786473:VRY786501 VIC786473:VIC786501 UYG786473:UYG786501 UOK786473:UOK786501 UEO786473:UEO786501 TUS786473:TUS786501 TKW786473:TKW786501 TBA786473:TBA786501 SRE786473:SRE786501 SHI786473:SHI786501 RXM786473:RXM786501 RNQ786473:RNQ786501 RDU786473:RDU786501 QTY786473:QTY786501 QKC786473:QKC786501 QAG786473:QAG786501 PQK786473:PQK786501 PGO786473:PGO786501 OWS786473:OWS786501 OMW786473:OMW786501 ODA786473:ODA786501 NTE786473:NTE786501 NJI786473:NJI786501 MZM786473:MZM786501 MPQ786473:MPQ786501 MFU786473:MFU786501 LVY786473:LVY786501 LMC786473:LMC786501 LCG786473:LCG786501 KSK786473:KSK786501 KIO786473:KIO786501 JYS786473:JYS786501 JOW786473:JOW786501 JFA786473:JFA786501 IVE786473:IVE786501 ILI786473:ILI786501 IBM786473:IBM786501 HRQ786473:HRQ786501 HHU786473:HHU786501 GXY786473:GXY786501 GOC786473:GOC786501 GEG786473:GEG786501 FUK786473:FUK786501 FKO786473:FKO786501 FAS786473:FAS786501 EQW786473:EQW786501 EHA786473:EHA786501 DXE786473:DXE786501 DNI786473:DNI786501 DDM786473:DDM786501 CTQ786473:CTQ786501 CJU786473:CJU786501 BZY786473:BZY786501 BQC786473:BQC786501 BGG786473:BGG786501 AWK786473:AWK786501 AMO786473:AMO786501 ACS786473:ACS786501 SW786473:SW786501 JA786473:JA786501 E786473:E786501 WVM720937:WVM720965 WLQ720937:WLQ720965 WBU720937:WBU720965 VRY720937:VRY720965 VIC720937:VIC720965 UYG720937:UYG720965 UOK720937:UOK720965 UEO720937:UEO720965 TUS720937:TUS720965 TKW720937:TKW720965 TBA720937:TBA720965 SRE720937:SRE720965 SHI720937:SHI720965 RXM720937:RXM720965 RNQ720937:RNQ720965 RDU720937:RDU720965 QTY720937:QTY720965 QKC720937:QKC720965 QAG720937:QAG720965 PQK720937:PQK720965 PGO720937:PGO720965 OWS720937:OWS720965 OMW720937:OMW720965 ODA720937:ODA720965 NTE720937:NTE720965 NJI720937:NJI720965 MZM720937:MZM720965 MPQ720937:MPQ720965 MFU720937:MFU720965 LVY720937:LVY720965 LMC720937:LMC720965 LCG720937:LCG720965 KSK720937:KSK720965 KIO720937:KIO720965 JYS720937:JYS720965 JOW720937:JOW720965 JFA720937:JFA720965 IVE720937:IVE720965 ILI720937:ILI720965 IBM720937:IBM720965 HRQ720937:HRQ720965 HHU720937:HHU720965 GXY720937:GXY720965 GOC720937:GOC720965 GEG720937:GEG720965 FUK720937:FUK720965 FKO720937:FKO720965 FAS720937:FAS720965 EQW720937:EQW720965 EHA720937:EHA720965 DXE720937:DXE720965 DNI720937:DNI720965 DDM720937:DDM720965 CTQ720937:CTQ720965 CJU720937:CJU720965 BZY720937:BZY720965 BQC720937:BQC720965 BGG720937:BGG720965 AWK720937:AWK720965 AMO720937:AMO720965 ACS720937:ACS720965 SW720937:SW720965 JA720937:JA720965 E720937:E720965 WVM655401:WVM655429 WLQ655401:WLQ655429 WBU655401:WBU655429 VRY655401:VRY655429 VIC655401:VIC655429 UYG655401:UYG655429 UOK655401:UOK655429 UEO655401:UEO655429 TUS655401:TUS655429 TKW655401:TKW655429 TBA655401:TBA655429 SRE655401:SRE655429 SHI655401:SHI655429 RXM655401:RXM655429 RNQ655401:RNQ655429 RDU655401:RDU655429 QTY655401:QTY655429 QKC655401:QKC655429 QAG655401:QAG655429 PQK655401:PQK655429 PGO655401:PGO655429 OWS655401:OWS655429 OMW655401:OMW655429 ODA655401:ODA655429 NTE655401:NTE655429 NJI655401:NJI655429 MZM655401:MZM655429 MPQ655401:MPQ655429 MFU655401:MFU655429 LVY655401:LVY655429 LMC655401:LMC655429 LCG655401:LCG655429 KSK655401:KSK655429 KIO655401:KIO655429 JYS655401:JYS655429 JOW655401:JOW655429 JFA655401:JFA655429 IVE655401:IVE655429 ILI655401:ILI655429 IBM655401:IBM655429 HRQ655401:HRQ655429 HHU655401:HHU655429 GXY655401:GXY655429 GOC655401:GOC655429 GEG655401:GEG655429 FUK655401:FUK655429 FKO655401:FKO655429 FAS655401:FAS655429 EQW655401:EQW655429 EHA655401:EHA655429 DXE655401:DXE655429 DNI655401:DNI655429 DDM655401:DDM655429 CTQ655401:CTQ655429 CJU655401:CJU655429 BZY655401:BZY655429 BQC655401:BQC655429 BGG655401:BGG655429 AWK655401:AWK655429 AMO655401:AMO655429 ACS655401:ACS655429 SW655401:SW655429 JA655401:JA655429 E655401:E655429 WVM589865:WVM589893 WLQ589865:WLQ589893 WBU589865:WBU589893 VRY589865:VRY589893 VIC589865:VIC589893 UYG589865:UYG589893 UOK589865:UOK589893 UEO589865:UEO589893 TUS589865:TUS589893 TKW589865:TKW589893 TBA589865:TBA589893 SRE589865:SRE589893 SHI589865:SHI589893 RXM589865:RXM589893 RNQ589865:RNQ589893 RDU589865:RDU589893 QTY589865:QTY589893 QKC589865:QKC589893 QAG589865:QAG589893 PQK589865:PQK589893 PGO589865:PGO589893 OWS589865:OWS589893 OMW589865:OMW589893 ODA589865:ODA589893 NTE589865:NTE589893 NJI589865:NJI589893 MZM589865:MZM589893 MPQ589865:MPQ589893 MFU589865:MFU589893 LVY589865:LVY589893 LMC589865:LMC589893 LCG589865:LCG589893 KSK589865:KSK589893 KIO589865:KIO589893 JYS589865:JYS589893 JOW589865:JOW589893 JFA589865:JFA589893 IVE589865:IVE589893 ILI589865:ILI589893 IBM589865:IBM589893 HRQ589865:HRQ589893 HHU589865:HHU589893 GXY589865:GXY589893 GOC589865:GOC589893 GEG589865:GEG589893 FUK589865:FUK589893 FKO589865:FKO589893 FAS589865:FAS589893 EQW589865:EQW589893 EHA589865:EHA589893 DXE589865:DXE589893 DNI589865:DNI589893 DDM589865:DDM589893 CTQ589865:CTQ589893 CJU589865:CJU589893 BZY589865:BZY589893 BQC589865:BQC589893 BGG589865:BGG589893 AWK589865:AWK589893 AMO589865:AMO589893 ACS589865:ACS589893 SW589865:SW589893 JA589865:JA589893 E589865:E589893 WVM524329:WVM524357 WLQ524329:WLQ524357 WBU524329:WBU524357 VRY524329:VRY524357 VIC524329:VIC524357 UYG524329:UYG524357 UOK524329:UOK524357 UEO524329:UEO524357 TUS524329:TUS524357 TKW524329:TKW524357 TBA524329:TBA524357 SRE524329:SRE524357 SHI524329:SHI524357 RXM524329:RXM524357 RNQ524329:RNQ524357 RDU524329:RDU524357 QTY524329:QTY524357 QKC524329:QKC524357 QAG524329:QAG524357 PQK524329:PQK524357 PGO524329:PGO524357 OWS524329:OWS524357 OMW524329:OMW524357 ODA524329:ODA524357 NTE524329:NTE524357 NJI524329:NJI524357 MZM524329:MZM524357 MPQ524329:MPQ524357 MFU524329:MFU524357 LVY524329:LVY524357 LMC524329:LMC524357 LCG524329:LCG524357 KSK524329:KSK524357 KIO524329:KIO524357 JYS524329:JYS524357 JOW524329:JOW524357 JFA524329:JFA524357 IVE524329:IVE524357 ILI524329:ILI524357 IBM524329:IBM524357 HRQ524329:HRQ524357 HHU524329:HHU524357 GXY524329:GXY524357 GOC524329:GOC524357 GEG524329:GEG524357 FUK524329:FUK524357 FKO524329:FKO524357 FAS524329:FAS524357 EQW524329:EQW524357 EHA524329:EHA524357 DXE524329:DXE524357 DNI524329:DNI524357 DDM524329:DDM524357 CTQ524329:CTQ524357 CJU524329:CJU524357 BZY524329:BZY524357 BQC524329:BQC524357 BGG524329:BGG524357 AWK524329:AWK524357 AMO524329:AMO524357 ACS524329:ACS524357 SW524329:SW524357 JA524329:JA524357 E524329:E524357 WVM458793:WVM458821 WLQ458793:WLQ458821 WBU458793:WBU458821 VRY458793:VRY458821 VIC458793:VIC458821 UYG458793:UYG458821 UOK458793:UOK458821 UEO458793:UEO458821 TUS458793:TUS458821 TKW458793:TKW458821 TBA458793:TBA458821 SRE458793:SRE458821 SHI458793:SHI458821 RXM458793:RXM458821 RNQ458793:RNQ458821 RDU458793:RDU458821 QTY458793:QTY458821 QKC458793:QKC458821 QAG458793:QAG458821 PQK458793:PQK458821 PGO458793:PGO458821 OWS458793:OWS458821 OMW458793:OMW458821 ODA458793:ODA458821 NTE458793:NTE458821 NJI458793:NJI458821 MZM458793:MZM458821 MPQ458793:MPQ458821 MFU458793:MFU458821 LVY458793:LVY458821 LMC458793:LMC458821 LCG458793:LCG458821 KSK458793:KSK458821 KIO458793:KIO458821 JYS458793:JYS458821 JOW458793:JOW458821 JFA458793:JFA458821 IVE458793:IVE458821 ILI458793:ILI458821 IBM458793:IBM458821 HRQ458793:HRQ458821 HHU458793:HHU458821 GXY458793:GXY458821 GOC458793:GOC458821 GEG458793:GEG458821 FUK458793:FUK458821 FKO458793:FKO458821 FAS458793:FAS458821 EQW458793:EQW458821 EHA458793:EHA458821 DXE458793:DXE458821 DNI458793:DNI458821 DDM458793:DDM458821 CTQ458793:CTQ458821 CJU458793:CJU458821 BZY458793:BZY458821 BQC458793:BQC458821 BGG458793:BGG458821 AWK458793:AWK458821 AMO458793:AMO458821 ACS458793:ACS458821 SW458793:SW458821 JA458793:JA458821 E458793:E458821 WVM393257:WVM393285 WLQ393257:WLQ393285 WBU393257:WBU393285 VRY393257:VRY393285 VIC393257:VIC393285 UYG393257:UYG393285 UOK393257:UOK393285 UEO393257:UEO393285 TUS393257:TUS393285 TKW393257:TKW393285 TBA393257:TBA393285 SRE393257:SRE393285 SHI393257:SHI393285 RXM393257:RXM393285 RNQ393257:RNQ393285 RDU393257:RDU393285 QTY393257:QTY393285 QKC393257:QKC393285 QAG393257:QAG393285 PQK393257:PQK393285 PGO393257:PGO393285 OWS393257:OWS393285 OMW393257:OMW393285 ODA393257:ODA393285 NTE393257:NTE393285 NJI393257:NJI393285 MZM393257:MZM393285 MPQ393257:MPQ393285 MFU393257:MFU393285 LVY393257:LVY393285 LMC393257:LMC393285 LCG393257:LCG393285 KSK393257:KSK393285 KIO393257:KIO393285 JYS393257:JYS393285 JOW393257:JOW393285 JFA393257:JFA393285 IVE393257:IVE393285 ILI393257:ILI393285 IBM393257:IBM393285 HRQ393257:HRQ393285 HHU393257:HHU393285 GXY393257:GXY393285 GOC393257:GOC393285 GEG393257:GEG393285 FUK393257:FUK393285 FKO393257:FKO393285 FAS393257:FAS393285 EQW393257:EQW393285 EHA393257:EHA393285 DXE393257:DXE393285 DNI393257:DNI393285 DDM393257:DDM393285 CTQ393257:CTQ393285 CJU393257:CJU393285 BZY393257:BZY393285 BQC393257:BQC393285 BGG393257:BGG393285 AWK393257:AWK393285 AMO393257:AMO393285 ACS393257:ACS393285 SW393257:SW393285 JA393257:JA393285 E393257:E393285 WVM327721:WVM327749 WLQ327721:WLQ327749 WBU327721:WBU327749 VRY327721:VRY327749 VIC327721:VIC327749 UYG327721:UYG327749 UOK327721:UOK327749 UEO327721:UEO327749 TUS327721:TUS327749 TKW327721:TKW327749 TBA327721:TBA327749 SRE327721:SRE327749 SHI327721:SHI327749 RXM327721:RXM327749 RNQ327721:RNQ327749 RDU327721:RDU327749 QTY327721:QTY327749 QKC327721:QKC327749 QAG327721:QAG327749 PQK327721:PQK327749 PGO327721:PGO327749 OWS327721:OWS327749 OMW327721:OMW327749 ODA327721:ODA327749 NTE327721:NTE327749 NJI327721:NJI327749 MZM327721:MZM327749 MPQ327721:MPQ327749 MFU327721:MFU327749 LVY327721:LVY327749 LMC327721:LMC327749 LCG327721:LCG327749 KSK327721:KSK327749 KIO327721:KIO327749 JYS327721:JYS327749 JOW327721:JOW327749 JFA327721:JFA327749 IVE327721:IVE327749 ILI327721:ILI327749 IBM327721:IBM327749 HRQ327721:HRQ327749 HHU327721:HHU327749 GXY327721:GXY327749 GOC327721:GOC327749 GEG327721:GEG327749 FUK327721:FUK327749 FKO327721:FKO327749 FAS327721:FAS327749 EQW327721:EQW327749 EHA327721:EHA327749 DXE327721:DXE327749 DNI327721:DNI327749 DDM327721:DDM327749 CTQ327721:CTQ327749 CJU327721:CJU327749 BZY327721:BZY327749 BQC327721:BQC327749 BGG327721:BGG327749 AWK327721:AWK327749 AMO327721:AMO327749 ACS327721:ACS327749 SW327721:SW327749 JA327721:JA327749 E327721:E327749 WVM262185:WVM262213 WLQ262185:WLQ262213 WBU262185:WBU262213 VRY262185:VRY262213 VIC262185:VIC262213 UYG262185:UYG262213 UOK262185:UOK262213 UEO262185:UEO262213 TUS262185:TUS262213 TKW262185:TKW262213 TBA262185:TBA262213 SRE262185:SRE262213 SHI262185:SHI262213 RXM262185:RXM262213 RNQ262185:RNQ262213 RDU262185:RDU262213 QTY262185:QTY262213 QKC262185:QKC262213 QAG262185:QAG262213 PQK262185:PQK262213 PGO262185:PGO262213 OWS262185:OWS262213 OMW262185:OMW262213 ODA262185:ODA262213 NTE262185:NTE262213 NJI262185:NJI262213 MZM262185:MZM262213 MPQ262185:MPQ262213 MFU262185:MFU262213 LVY262185:LVY262213 LMC262185:LMC262213 LCG262185:LCG262213 KSK262185:KSK262213 KIO262185:KIO262213 JYS262185:JYS262213 JOW262185:JOW262213 JFA262185:JFA262213 IVE262185:IVE262213 ILI262185:ILI262213 IBM262185:IBM262213 HRQ262185:HRQ262213 HHU262185:HHU262213 GXY262185:GXY262213 GOC262185:GOC262213 GEG262185:GEG262213 FUK262185:FUK262213 FKO262185:FKO262213 FAS262185:FAS262213 EQW262185:EQW262213 EHA262185:EHA262213 DXE262185:DXE262213 DNI262185:DNI262213 DDM262185:DDM262213 CTQ262185:CTQ262213 CJU262185:CJU262213 BZY262185:BZY262213 BQC262185:BQC262213 BGG262185:BGG262213 AWK262185:AWK262213 AMO262185:AMO262213 ACS262185:ACS262213 SW262185:SW262213 JA262185:JA262213 E262185:E262213 WVM196649:WVM196677 WLQ196649:WLQ196677 WBU196649:WBU196677 VRY196649:VRY196677 VIC196649:VIC196677 UYG196649:UYG196677 UOK196649:UOK196677 UEO196649:UEO196677 TUS196649:TUS196677 TKW196649:TKW196677 TBA196649:TBA196677 SRE196649:SRE196677 SHI196649:SHI196677 RXM196649:RXM196677 RNQ196649:RNQ196677 RDU196649:RDU196677 QTY196649:QTY196677 QKC196649:QKC196677 QAG196649:QAG196677 PQK196649:PQK196677 PGO196649:PGO196677 OWS196649:OWS196677 OMW196649:OMW196677 ODA196649:ODA196677 NTE196649:NTE196677 NJI196649:NJI196677 MZM196649:MZM196677 MPQ196649:MPQ196677 MFU196649:MFU196677 LVY196649:LVY196677 LMC196649:LMC196677 LCG196649:LCG196677 KSK196649:KSK196677 KIO196649:KIO196677 JYS196649:JYS196677 JOW196649:JOW196677 JFA196649:JFA196677 IVE196649:IVE196677 ILI196649:ILI196677 IBM196649:IBM196677 HRQ196649:HRQ196677 HHU196649:HHU196677 GXY196649:GXY196677 GOC196649:GOC196677 GEG196649:GEG196677 FUK196649:FUK196677 FKO196649:FKO196677 FAS196649:FAS196677 EQW196649:EQW196677 EHA196649:EHA196677 DXE196649:DXE196677 DNI196649:DNI196677 DDM196649:DDM196677 CTQ196649:CTQ196677 CJU196649:CJU196677 BZY196649:BZY196677 BQC196649:BQC196677 BGG196649:BGG196677 AWK196649:AWK196677 AMO196649:AMO196677 ACS196649:ACS196677 SW196649:SW196677 JA196649:JA196677 E196649:E196677 WVM131113:WVM131141 WLQ131113:WLQ131141 WBU131113:WBU131141 VRY131113:VRY131141 VIC131113:VIC131141 UYG131113:UYG131141 UOK131113:UOK131141 UEO131113:UEO131141 TUS131113:TUS131141 TKW131113:TKW131141 TBA131113:TBA131141 SRE131113:SRE131141 SHI131113:SHI131141 RXM131113:RXM131141 RNQ131113:RNQ131141 RDU131113:RDU131141 QTY131113:QTY131141 QKC131113:QKC131141 QAG131113:QAG131141 PQK131113:PQK131141 PGO131113:PGO131141 OWS131113:OWS131141 OMW131113:OMW131141 ODA131113:ODA131141 NTE131113:NTE131141 NJI131113:NJI131141 MZM131113:MZM131141 MPQ131113:MPQ131141 MFU131113:MFU131141 LVY131113:LVY131141 LMC131113:LMC131141 LCG131113:LCG131141 KSK131113:KSK131141 KIO131113:KIO131141 JYS131113:JYS131141 JOW131113:JOW131141 JFA131113:JFA131141 IVE131113:IVE131141 ILI131113:ILI131141 IBM131113:IBM131141 HRQ131113:HRQ131141 HHU131113:HHU131141 GXY131113:GXY131141 GOC131113:GOC131141 GEG131113:GEG131141 FUK131113:FUK131141 FKO131113:FKO131141 FAS131113:FAS131141 EQW131113:EQW131141 EHA131113:EHA131141 DXE131113:DXE131141 DNI131113:DNI131141 DDM131113:DDM131141 CTQ131113:CTQ131141 CJU131113:CJU131141 BZY131113:BZY131141 BQC131113:BQC131141 BGG131113:BGG131141 AWK131113:AWK131141 AMO131113:AMO131141 ACS131113:ACS131141 SW131113:SW131141 JA131113:JA131141 E131113:E131141 WVM65577:WVM65605 WLQ65577:WLQ65605 WBU65577:WBU65605 VRY65577:VRY65605 VIC65577:VIC65605 UYG65577:UYG65605 UOK65577:UOK65605 UEO65577:UEO65605 TUS65577:TUS65605 TKW65577:TKW65605 TBA65577:TBA65605 SRE65577:SRE65605 SHI65577:SHI65605 RXM65577:RXM65605 RNQ65577:RNQ65605 RDU65577:RDU65605 QTY65577:QTY65605 QKC65577:QKC65605 QAG65577:QAG65605 PQK65577:PQK65605 PGO65577:PGO65605 OWS65577:OWS65605 OMW65577:OMW65605 ODA65577:ODA65605 NTE65577:NTE65605 NJI65577:NJI65605 MZM65577:MZM65605 MPQ65577:MPQ65605 MFU65577:MFU65605 LVY65577:LVY65605 LMC65577:LMC65605 LCG65577:LCG65605 KSK65577:KSK65605 KIO65577:KIO65605 JYS65577:JYS65605 JOW65577:JOW65605 JFA65577:JFA65605 IVE65577:IVE65605 ILI65577:ILI65605 IBM65577:IBM65605 HRQ65577:HRQ65605 HHU65577:HHU65605 GXY65577:GXY65605 GOC65577:GOC65605 GEG65577:GEG65605 FUK65577:FUK65605 FKO65577:FKO65605 FAS65577:FAS65605 EQW65577:EQW65605 EHA65577:EHA65605 DXE65577:DXE65605 DNI65577:DNI65605 DDM65577:DDM65605 CTQ65577:CTQ65605 CJU65577:CJU65605 BZY65577:BZY65605 BQC65577:BQC65605 BGG65577:BGG65605 AWK65577:AWK65605 AMO65577:AMO65605 ACS65577:ACS65605 SW65577:SW65605 JA65577:JA65605 E65577:E65605 E44:E69 SW44:SW69 ACS44:ACS69 AMO44:AMO69 AWK44:AWK69 BGG44:BGG69 BQC44:BQC69 BZY44:BZY69 CJU44:CJU69 CTQ44:CTQ69 DDM44:DDM69 DNI44:DNI69 DXE44:DXE69 EHA44:EHA69 EQW44:EQW69 FAS44:FAS69 FKO44:FKO69 FUK44:FUK69 GEG44:GEG69 GOC44:GOC69 GXY44:GXY69 HHU44:HHU69 HRQ44:HRQ69 IBM44:IBM69 ILI44:ILI69 IVE44:IVE69 JFA44:JFA69 JOW44:JOW69 JYS44:JYS69 KIO44:KIO69 KSK44:KSK69 LCG44:LCG69 LMC44:LMC69 LVY44:LVY69 MFU44:MFU69 MPQ44:MPQ69 MZM44:MZM69 NJI44:NJI69 NTE44:NTE69 ODA44:ODA69 OMW44:OMW69 OWS44:OWS69 PGO44:PGO69 PQK44:PQK69 QAG44:QAG69 QKC44:QKC69 QTY44:QTY69 RDU44:RDU69 RNQ44:RNQ69 RXM44:RXM69 SHI44:SHI69 SRE44:SRE69 TBA44:TBA69 TKW44:TKW69 TUS44:TUS69 UEO44:UEO69 UOK44:UOK69 UYG44:UYG69 VIC44:VIC69 VRY44:VRY69 WBU44:WBU69 WLQ44:WLQ69 WVM44:WVM69 JA44:JA69">
      <formula1>$AJ$15:$AJ$22</formula1>
    </dataValidation>
    <dataValidation type="list" allowBlank="1" showInputMessage="1" showErrorMessage="1" sqref="WVL983081:WVL983109 WLP983081:WLP983109 WBT983081:WBT983109 VRX983081:VRX983109 VIB983081:VIB983109 UYF983081:UYF983109 UOJ983081:UOJ983109 UEN983081:UEN983109 TUR983081:TUR983109 TKV983081:TKV983109 TAZ983081:TAZ983109 SRD983081:SRD983109 SHH983081:SHH983109 RXL983081:RXL983109 RNP983081:RNP983109 RDT983081:RDT983109 QTX983081:QTX983109 QKB983081:QKB983109 QAF983081:QAF983109 PQJ983081:PQJ983109 PGN983081:PGN983109 OWR983081:OWR983109 OMV983081:OMV983109 OCZ983081:OCZ983109 NTD983081:NTD983109 NJH983081:NJH983109 MZL983081:MZL983109 MPP983081:MPP983109 MFT983081:MFT983109 LVX983081:LVX983109 LMB983081:LMB983109 LCF983081:LCF983109 KSJ983081:KSJ983109 KIN983081:KIN983109 JYR983081:JYR983109 JOV983081:JOV983109 JEZ983081:JEZ983109 IVD983081:IVD983109 ILH983081:ILH983109 IBL983081:IBL983109 HRP983081:HRP983109 HHT983081:HHT983109 GXX983081:GXX983109 GOB983081:GOB983109 GEF983081:GEF983109 FUJ983081:FUJ983109 FKN983081:FKN983109 FAR983081:FAR983109 EQV983081:EQV983109 EGZ983081:EGZ983109 DXD983081:DXD983109 DNH983081:DNH983109 DDL983081:DDL983109 CTP983081:CTP983109 CJT983081:CJT983109 BZX983081:BZX983109 BQB983081:BQB983109 BGF983081:BGF983109 AWJ983081:AWJ983109 AMN983081:AMN983109 ACR983081:ACR983109 SV983081:SV983109 IZ983081:IZ983109 D983081:D983109 WVL917545:WVL917573 WLP917545:WLP917573 WBT917545:WBT917573 VRX917545:VRX917573 VIB917545:VIB917573 UYF917545:UYF917573 UOJ917545:UOJ917573 UEN917545:UEN917573 TUR917545:TUR917573 TKV917545:TKV917573 TAZ917545:TAZ917573 SRD917545:SRD917573 SHH917545:SHH917573 RXL917545:RXL917573 RNP917545:RNP917573 RDT917545:RDT917573 QTX917545:QTX917573 QKB917545:QKB917573 QAF917545:QAF917573 PQJ917545:PQJ917573 PGN917545:PGN917573 OWR917545:OWR917573 OMV917545:OMV917573 OCZ917545:OCZ917573 NTD917545:NTD917573 NJH917545:NJH917573 MZL917545:MZL917573 MPP917545:MPP917573 MFT917545:MFT917573 LVX917545:LVX917573 LMB917545:LMB917573 LCF917545:LCF917573 KSJ917545:KSJ917573 KIN917545:KIN917573 JYR917545:JYR917573 JOV917545:JOV917573 JEZ917545:JEZ917573 IVD917545:IVD917573 ILH917545:ILH917573 IBL917545:IBL917573 HRP917545:HRP917573 HHT917545:HHT917573 GXX917545:GXX917573 GOB917545:GOB917573 GEF917545:GEF917573 FUJ917545:FUJ917573 FKN917545:FKN917573 FAR917545:FAR917573 EQV917545:EQV917573 EGZ917545:EGZ917573 DXD917545:DXD917573 DNH917545:DNH917573 DDL917545:DDL917573 CTP917545:CTP917573 CJT917545:CJT917573 BZX917545:BZX917573 BQB917545:BQB917573 BGF917545:BGF917573 AWJ917545:AWJ917573 AMN917545:AMN917573 ACR917545:ACR917573 SV917545:SV917573 IZ917545:IZ917573 D917545:D917573 WVL852009:WVL852037 WLP852009:WLP852037 WBT852009:WBT852037 VRX852009:VRX852037 VIB852009:VIB852037 UYF852009:UYF852037 UOJ852009:UOJ852037 UEN852009:UEN852037 TUR852009:TUR852037 TKV852009:TKV852037 TAZ852009:TAZ852037 SRD852009:SRD852037 SHH852009:SHH852037 RXL852009:RXL852037 RNP852009:RNP852037 RDT852009:RDT852037 QTX852009:QTX852037 QKB852009:QKB852037 QAF852009:QAF852037 PQJ852009:PQJ852037 PGN852009:PGN852037 OWR852009:OWR852037 OMV852009:OMV852037 OCZ852009:OCZ852037 NTD852009:NTD852037 NJH852009:NJH852037 MZL852009:MZL852037 MPP852009:MPP852037 MFT852009:MFT852037 LVX852009:LVX852037 LMB852009:LMB852037 LCF852009:LCF852037 KSJ852009:KSJ852037 KIN852009:KIN852037 JYR852009:JYR852037 JOV852009:JOV852037 JEZ852009:JEZ852037 IVD852009:IVD852037 ILH852009:ILH852037 IBL852009:IBL852037 HRP852009:HRP852037 HHT852009:HHT852037 GXX852009:GXX852037 GOB852009:GOB852037 GEF852009:GEF852037 FUJ852009:FUJ852037 FKN852009:FKN852037 FAR852009:FAR852037 EQV852009:EQV852037 EGZ852009:EGZ852037 DXD852009:DXD852037 DNH852009:DNH852037 DDL852009:DDL852037 CTP852009:CTP852037 CJT852009:CJT852037 BZX852009:BZX852037 BQB852009:BQB852037 BGF852009:BGF852037 AWJ852009:AWJ852037 AMN852009:AMN852037 ACR852009:ACR852037 SV852009:SV852037 IZ852009:IZ852037 D852009:D852037 WVL786473:WVL786501 WLP786473:WLP786501 WBT786473:WBT786501 VRX786473:VRX786501 VIB786473:VIB786501 UYF786473:UYF786501 UOJ786473:UOJ786501 UEN786473:UEN786501 TUR786473:TUR786501 TKV786473:TKV786501 TAZ786473:TAZ786501 SRD786473:SRD786501 SHH786473:SHH786501 RXL786473:RXL786501 RNP786473:RNP786501 RDT786473:RDT786501 QTX786473:QTX786501 QKB786473:QKB786501 QAF786473:QAF786501 PQJ786473:PQJ786501 PGN786473:PGN786501 OWR786473:OWR786501 OMV786473:OMV786501 OCZ786473:OCZ786501 NTD786473:NTD786501 NJH786473:NJH786501 MZL786473:MZL786501 MPP786473:MPP786501 MFT786473:MFT786501 LVX786473:LVX786501 LMB786473:LMB786501 LCF786473:LCF786501 KSJ786473:KSJ786501 KIN786473:KIN786501 JYR786473:JYR786501 JOV786473:JOV786501 JEZ786473:JEZ786501 IVD786473:IVD786501 ILH786473:ILH786501 IBL786473:IBL786501 HRP786473:HRP786501 HHT786473:HHT786501 GXX786473:GXX786501 GOB786473:GOB786501 GEF786473:GEF786501 FUJ786473:FUJ786501 FKN786473:FKN786501 FAR786473:FAR786501 EQV786473:EQV786501 EGZ786473:EGZ786501 DXD786473:DXD786501 DNH786473:DNH786501 DDL786473:DDL786501 CTP786473:CTP786501 CJT786473:CJT786501 BZX786473:BZX786501 BQB786473:BQB786501 BGF786473:BGF786501 AWJ786473:AWJ786501 AMN786473:AMN786501 ACR786473:ACR786501 SV786473:SV786501 IZ786473:IZ786501 D786473:D786501 WVL720937:WVL720965 WLP720937:WLP720965 WBT720937:WBT720965 VRX720937:VRX720965 VIB720937:VIB720965 UYF720937:UYF720965 UOJ720937:UOJ720965 UEN720937:UEN720965 TUR720937:TUR720965 TKV720937:TKV720965 TAZ720937:TAZ720965 SRD720937:SRD720965 SHH720937:SHH720965 RXL720937:RXL720965 RNP720937:RNP720965 RDT720937:RDT720965 QTX720937:QTX720965 QKB720937:QKB720965 QAF720937:QAF720965 PQJ720937:PQJ720965 PGN720937:PGN720965 OWR720937:OWR720965 OMV720937:OMV720965 OCZ720937:OCZ720965 NTD720937:NTD720965 NJH720937:NJH720965 MZL720937:MZL720965 MPP720937:MPP720965 MFT720937:MFT720965 LVX720937:LVX720965 LMB720937:LMB720965 LCF720937:LCF720965 KSJ720937:KSJ720965 KIN720937:KIN720965 JYR720937:JYR720965 JOV720937:JOV720965 JEZ720937:JEZ720965 IVD720937:IVD720965 ILH720937:ILH720965 IBL720937:IBL720965 HRP720937:HRP720965 HHT720937:HHT720965 GXX720937:GXX720965 GOB720937:GOB720965 GEF720937:GEF720965 FUJ720937:FUJ720965 FKN720937:FKN720965 FAR720937:FAR720965 EQV720937:EQV720965 EGZ720937:EGZ720965 DXD720937:DXD720965 DNH720937:DNH720965 DDL720937:DDL720965 CTP720937:CTP720965 CJT720937:CJT720965 BZX720937:BZX720965 BQB720937:BQB720965 BGF720937:BGF720965 AWJ720937:AWJ720965 AMN720937:AMN720965 ACR720937:ACR720965 SV720937:SV720965 IZ720937:IZ720965 D720937:D720965 WVL655401:WVL655429 WLP655401:WLP655429 WBT655401:WBT655429 VRX655401:VRX655429 VIB655401:VIB655429 UYF655401:UYF655429 UOJ655401:UOJ655429 UEN655401:UEN655429 TUR655401:TUR655429 TKV655401:TKV655429 TAZ655401:TAZ655429 SRD655401:SRD655429 SHH655401:SHH655429 RXL655401:RXL655429 RNP655401:RNP655429 RDT655401:RDT655429 QTX655401:QTX655429 QKB655401:QKB655429 QAF655401:QAF655429 PQJ655401:PQJ655429 PGN655401:PGN655429 OWR655401:OWR655429 OMV655401:OMV655429 OCZ655401:OCZ655429 NTD655401:NTD655429 NJH655401:NJH655429 MZL655401:MZL655429 MPP655401:MPP655429 MFT655401:MFT655429 LVX655401:LVX655429 LMB655401:LMB655429 LCF655401:LCF655429 KSJ655401:KSJ655429 KIN655401:KIN655429 JYR655401:JYR655429 JOV655401:JOV655429 JEZ655401:JEZ655429 IVD655401:IVD655429 ILH655401:ILH655429 IBL655401:IBL655429 HRP655401:HRP655429 HHT655401:HHT655429 GXX655401:GXX655429 GOB655401:GOB655429 GEF655401:GEF655429 FUJ655401:FUJ655429 FKN655401:FKN655429 FAR655401:FAR655429 EQV655401:EQV655429 EGZ655401:EGZ655429 DXD655401:DXD655429 DNH655401:DNH655429 DDL655401:DDL655429 CTP655401:CTP655429 CJT655401:CJT655429 BZX655401:BZX655429 BQB655401:BQB655429 BGF655401:BGF655429 AWJ655401:AWJ655429 AMN655401:AMN655429 ACR655401:ACR655429 SV655401:SV655429 IZ655401:IZ655429 D655401:D655429 WVL589865:WVL589893 WLP589865:WLP589893 WBT589865:WBT589893 VRX589865:VRX589893 VIB589865:VIB589893 UYF589865:UYF589893 UOJ589865:UOJ589893 UEN589865:UEN589893 TUR589865:TUR589893 TKV589865:TKV589893 TAZ589865:TAZ589893 SRD589865:SRD589893 SHH589865:SHH589893 RXL589865:RXL589893 RNP589865:RNP589893 RDT589865:RDT589893 QTX589865:QTX589893 QKB589865:QKB589893 QAF589865:QAF589893 PQJ589865:PQJ589893 PGN589865:PGN589893 OWR589865:OWR589893 OMV589865:OMV589893 OCZ589865:OCZ589893 NTD589865:NTD589893 NJH589865:NJH589893 MZL589865:MZL589893 MPP589865:MPP589893 MFT589865:MFT589893 LVX589865:LVX589893 LMB589865:LMB589893 LCF589865:LCF589893 KSJ589865:KSJ589893 KIN589865:KIN589893 JYR589865:JYR589893 JOV589865:JOV589893 JEZ589865:JEZ589893 IVD589865:IVD589893 ILH589865:ILH589893 IBL589865:IBL589893 HRP589865:HRP589893 HHT589865:HHT589893 GXX589865:GXX589893 GOB589865:GOB589893 GEF589865:GEF589893 FUJ589865:FUJ589893 FKN589865:FKN589893 FAR589865:FAR589893 EQV589865:EQV589893 EGZ589865:EGZ589893 DXD589865:DXD589893 DNH589865:DNH589893 DDL589865:DDL589893 CTP589865:CTP589893 CJT589865:CJT589893 BZX589865:BZX589893 BQB589865:BQB589893 BGF589865:BGF589893 AWJ589865:AWJ589893 AMN589865:AMN589893 ACR589865:ACR589893 SV589865:SV589893 IZ589865:IZ589893 D589865:D589893 WVL524329:WVL524357 WLP524329:WLP524357 WBT524329:WBT524357 VRX524329:VRX524357 VIB524329:VIB524357 UYF524329:UYF524357 UOJ524329:UOJ524357 UEN524329:UEN524357 TUR524329:TUR524357 TKV524329:TKV524357 TAZ524329:TAZ524357 SRD524329:SRD524357 SHH524329:SHH524357 RXL524329:RXL524357 RNP524329:RNP524357 RDT524329:RDT524357 QTX524329:QTX524357 QKB524329:QKB524357 QAF524329:QAF524357 PQJ524329:PQJ524357 PGN524329:PGN524357 OWR524329:OWR524357 OMV524329:OMV524357 OCZ524329:OCZ524357 NTD524329:NTD524357 NJH524329:NJH524357 MZL524329:MZL524357 MPP524329:MPP524357 MFT524329:MFT524357 LVX524329:LVX524357 LMB524329:LMB524357 LCF524329:LCF524357 KSJ524329:KSJ524357 KIN524329:KIN524357 JYR524329:JYR524357 JOV524329:JOV524357 JEZ524329:JEZ524357 IVD524329:IVD524357 ILH524329:ILH524357 IBL524329:IBL524357 HRP524329:HRP524357 HHT524329:HHT524357 GXX524329:GXX524357 GOB524329:GOB524357 GEF524329:GEF524357 FUJ524329:FUJ524357 FKN524329:FKN524357 FAR524329:FAR524357 EQV524329:EQV524357 EGZ524329:EGZ524357 DXD524329:DXD524357 DNH524329:DNH524357 DDL524329:DDL524357 CTP524329:CTP524357 CJT524329:CJT524357 BZX524329:BZX524357 BQB524329:BQB524357 BGF524329:BGF524357 AWJ524329:AWJ524357 AMN524329:AMN524357 ACR524329:ACR524357 SV524329:SV524357 IZ524329:IZ524357 D524329:D524357 WVL458793:WVL458821 WLP458793:WLP458821 WBT458793:WBT458821 VRX458793:VRX458821 VIB458793:VIB458821 UYF458793:UYF458821 UOJ458793:UOJ458821 UEN458793:UEN458821 TUR458793:TUR458821 TKV458793:TKV458821 TAZ458793:TAZ458821 SRD458793:SRD458821 SHH458793:SHH458821 RXL458793:RXL458821 RNP458793:RNP458821 RDT458793:RDT458821 QTX458793:QTX458821 QKB458793:QKB458821 QAF458793:QAF458821 PQJ458793:PQJ458821 PGN458793:PGN458821 OWR458793:OWR458821 OMV458793:OMV458821 OCZ458793:OCZ458821 NTD458793:NTD458821 NJH458793:NJH458821 MZL458793:MZL458821 MPP458793:MPP458821 MFT458793:MFT458821 LVX458793:LVX458821 LMB458793:LMB458821 LCF458793:LCF458821 KSJ458793:KSJ458821 KIN458793:KIN458821 JYR458793:JYR458821 JOV458793:JOV458821 JEZ458793:JEZ458821 IVD458793:IVD458821 ILH458793:ILH458821 IBL458793:IBL458821 HRP458793:HRP458821 HHT458793:HHT458821 GXX458793:GXX458821 GOB458793:GOB458821 GEF458793:GEF458821 FUJ458793:FUJ458821 FKN458793:FKN458821 FAR458793:FAR458821 EQV458793:EQV458821 EGZ458793:EGZ458821 DXD458793:DXD458821 DNH458793:DNH458821 DDL458793:DDL458821 CTP458793:CTP458821 CJT458793:CJT458821 BZX458793:BZX458821 BQB458793:BQB458821 BGF458793:BGF458821 AWJ458793:AWJ458821 AMN458793:AMN458821 ACR458793:ACR458821 SV458793:SV458821 IZ458793:IZ458821 D458793:D458821 WVL393257:WVL393285 WLP393257:WLP393285 WBT393257:WBT393285 VRX393257:VRX393285 VIB393257:VIB393285 UYF393257:UYF393285 UOJ393257:UOJ393285 UEN393257:UEN393285 TUR393257:TUR393285 TKV393257:TKV393285 TAZ393257:TAZ393285 SRD393257:SRD393285 SHH393257:SHH393285 RXL393257:RXL393285 RNP393257:RNP393285 RDT393257:RDT393285 QTX393257:QTX393285 QKB393257:QKB393285 QAF393257:QAF393285 PQJ393257:PQJ393285 PGN393257:PGN393285 OWR393257:OWR393285 OMV393257:OMV393285 OCZ393257:OCZ393285 NTD393257:NTD393285 NJH393257:NJH393285 MZL393257:MZL393285 MPP393257:MPP393285 MFT393257:MFT393285 LVX393257:LVX393285 LMB393257:LMB393285 LCF393257:LCF393285 KSJ393257:KSJ393285 KIN393257:KIN393285 JYR393257:JYR393285 JOV393257:JOV393285 JEZ393257:JEZ393285 IVD393257:IVD393285 ILH393257:ILH393285 IBL393257:IBL393285 HRP393257:HRP393285 HHT393257:HHT393285 GXX393257:GXX393285 GOB393257:GOB393285 GEF393257:GEF393285 FUJ393257:FUJ393285 FKN393257:FKN393285 FAR393257:FAR393285 EQV393257:EQV393285 EGZ393257:EGZ393285 DXD393257:DXD393285 DNH393257:DNH393285 DDL393257:DDL393285 CTP393257:CTP393285 CJT393257:CJT393285 BZX393257:BZX393285 BQB393257:BQB393285 BGF393257:BGF393285 AWJ393257:AWJ393285 AMN393257:AMN393285 ACR393257:ACR393285 SV393257:SV393285 IZ393257:IZ393285 D393257:D393285 WVL327721:WVL327749 WLP327721:WLP327749 WBT327721:WBT327749 VRX327721:VRX327749 VIB327721:VIB327749 UYF327721:UYF327749 UOJ327721:UOJ327749 UEN327721:UEN327749 TUR327721:TUR327749 TKV327721:TKV327749 TAZ327721:TAZ327749 SRD327721:SRD327749 SHH327721:SHH327749 RXL327721:RXL327749 RNP327721:RNP327749 RDT327721:RDT327749 QTX327721:QTX327749 QKB327721:QKB327749 QAF327721:QAF327749 PQJ327721:PQJ327749 PGN327721:PGN327749 OWR327721:OWR327749 OMV327721:OMV327749 OCZ327721:OCZ327749 NTD327721:NTD327749 NJH327721:NJH327749 MZL327721:MZL327749 MPP327721:MPP327749 MFT327721:MFT327749 LVX327721:LVX327749 LMB327721:LMB327749 LCF327721:LCF327749 KSJ327721:KSJ327749 KIN327721:KIN327749 JYR327721:JYR327749 JOV327721:JOV327749 JEZ327721:JEZ327749 IVD327721:IVD327749 ILH327721:ILH327749 IBL327721:IBL327749 HRP327721:HRP327749 HHT327721:HHT327749 GXX327721:GXX327749 GOB327721:GOB327749 GEF327721:GEF327749 FUJ327721:FUJ327749 FKN327721:FKN327749 FAR327721:FAR327749 EQV327721:EQV327749 EGZ327721:EGZ327749 DXD327721:DXD327749 DNH327721:DNH327749 DDL327721:DDL327749 CTP327721:CTP327749 CJT327721:CJT327749 BZX327721:BZX327749 BQB327721:BQB327749 BGF327721:BGF327749 AWJ327721:AWJ327749 AMN327721:AMN327749 ACR327721:ACR327749 SV327721:SV327749 IZ327721:IZ327749 D327721:D327749 WVL262185:WVL262213 WLP262185:WLP262213 WBT262185:WBT262213 VRX262185:VRX262213 VIB262185:VIB262213 UYF262185:UYF262213 UOJ262185:UOJ262213 UEN262185:UEN262213 TUR262185:TUR262213 TKV262185:TKV262213 TAZ262185:TAZ262213 SRD262185:SRD262213 SHH262185:SHH262213 RXL262185:RXL262213 RNP262185:RNP262213 RDT262185:RDT262213 QTX262185:QTX262213 QKB262185:QKB262213 QAF262185:QAF262213 PQJ262185:PQJ262213 PGN262185:PGN262213 OWR262185:OWR262213 OMV262185:OMV262213 OCZ262185:OCZ262213 NTD262185:NTD262213 NJH262185:NJH262213 MZL262185:MZL262213 MPP262185:MPP262213 MFT262185:MFT262213 LVX262185:LVX262213 LMB262185:LMB262213 LCF262185:LCF262213 KSJ262185:KSJ262213 KIN262185:KIN262213 JYR262185:JYR262213 JOV262185:JOV262213 JEZ262185:JEZ262213 IVD262185:IVD262213 ILH262185:ILH262213 IBL262185:IBL262213 HRP262185:HRP262213 HHT262185:HHT262213 GXX262185:GXX262213 GOB262185:GOB262213 GEF262185:GEF262213 FUJ262185:FUJ262213 FKN262185:FKN262213 FAR262185:FAR262213 EQV262185:EQV262213 EGZ262185:EGZ262213 DXD262185:DXD262213 DNH262185:DNH262213 DDL262185:DDL262213 CTP262185:CTP262213 CJT262185:CJT262213 BZX262185:BZX262213 BQB262185:BQB262213 BGF262185:BGF262213 AWJ262185:AWJ262213 AMN262185:AMN262213 ACR262185:ACR262213 SV262185:SV262213 IZ262185:IZ262213 D262185:D262213 WVL196649:WVL196677 WLP196649:WLP196677 WBT196649:WBT196677 VRX196649:VRX196677 VIB196649:VIB196677 UYF196649:UYF196677 UOJ196649:UOJ196677 UEN196649:UEN196677 TUR196649:TUR196677 TKV196649:TKV196677 TAZ196649:TAZ196677 SRD196649:SRD196677 SHH196649:SHH196677 RXL196649:RXL196677 RNP196649:RNP196677 RDT196649:RDT196677 QTX196649:QTX196677 QKB196649:QKB196677 QAF196649:QAF196677 PQJ196649:PQJ196677 PGN196649:PGN196677 OWR196649:OWR196677 OMV196649:OMV196677 OCZ196649:OCZ196677 NTD196649:NTD196677 NJH196649:NJH196677 MZL196649:MZL196677 MPP196649:MPP196677 MFT196649:MFT196677 LVX196649:LVX196677 LMB196649:LMB196677 LCF196649:LCF196677 KSJ196649:KSJ196677 KIN196649:KIN196677 JYR196649:JYR196677 JOV196649:JOV196677 JEZ196649:JEZ196677 IVD196649:IVD196677 ILH196649:ILH196677 IBL196649:IBL196677 HRP196649:HRP196677 HHT196649:HHT196677 GXX196649:GXX196677 GOB196649:GOB196677 GEF196649:GEF196677 FUJ196649:FUJ196677 FKN196649:FKN196677 FAR196649:FAR196677 EQV196649:EQV196677 EGZ196649:EGZ196677 DXD196649:DXD196677 DNH196649:DNH196677 DDL196649:DDL196677 CTP196649:CTP196677 CJT196649:CJT196677 BZX196649:BZX196677 BQB196649:BQB196677 BGF196649:BGF196677 AWJ196649:AWJ196677 AMN196649:AMN196677 ACR196649:ACR196677 SV196649:SV196677 IZ196649:IZ196677 D196649:D196677 WVL131113:WVL131141 WLP131113:WLP131141 WBT131113:WBT131141 VRX131113:VRX131141 VIB131113:VIB131141 UYF131113:UYF131141 UOJ131113:UOJ131141 UEN131113:UEN131141 TUR131113:TUR131141 TKV131113:TKV131141 TAZ131113:TAZ131141 SRD131113:SRD131141 SHH131113:SHH131141 RXL131113:RXL131141 RNP131113:RNP131141 RDT131113:RDT131141 QTX131113:QTX131141 QKB131113:QKB131141 QAF131113:QAF131141 PQJ131113:PQJ131141 PGN131113:PGN131141 OWR131113:OWR131141 OMV131113:OMV131141 OCZ131113:OCZ131141 NTD131113:NTD131141 NJH131113:NJH131141 MZL131113:MZL131141 MPP131113:MPP131141 MFT131113:MFT131141 LVX131113:LVX131141 LMB131113:LMB131141 LCF131113:LCF131141 KSJ131113:KSJ131141 KIN131113:KIN131141 JYR131113:JYR131141 JOV131113:JOV131141 JEZ131113:JEZ131141 IVD131113:IVD131141 ILH131113:ILH131141 IBL131113:IBL131141 HRP131113:HRP131141 HHT131113:HHT131141 GXX131113:GXX131141 GOB131113:GOB131141 GEF131113:GEF131141 FUJ131113:FUJ131141 FKN131113:FKN131141 FAR131113:FAR131141 EQV131113:EQV131141 EGZ131113:EGZ131141 DXD131113:DXD131141 DNH131113:DNH131141 DDL131113:DDL131141 CTP131113:CTP131141 CJT131113:CJT131141 BZX131113:BZX131141 BQB131113:BQB131141 BGF131113:BGF131141 AWJ131113:AWJ131141 AMN131113:AMN131141 ACR131113:ACR131141 SV131113:SV131141 IZ131113:IZ131141 D131113:D131141 WVL65577:WVL65605 WLP65577:WLP65605 WBT65577:WBT65605 VRX65577:VRX65605 VIB65577:VIB65605 UYF65577:UYF65605 UOJ65577:UOJ65605 UEN65577:UEN65605 TUR65577:TUR65605 TKV65577:TKV65605 TAZ65577:TAZ65605 SRD65577:SRD65605 SHH65577:SHH65605 RXL65577:RXL65605 RNP65577:RNP65605 RDT65577:RDT65605 QTX65577:QTX65605 QKB65577:QKB65605 QAF65577:QAF65605 PQJ65577:PQJ65605 PGN65577:PGN65605 OWR65577:OWR65605 OMV65577:OMV65605 OCZ65577:OCZ65605 NTD65577:NTD65605 NJH65577:NJH65605 MZL65577:MZL65605 MPP65577:MPP65605 MFT65577:MFT65605 LVX65577:LVX65605 LMB65577:LMB65605 LCF65577:LCF65605 KSJ65577:KSJ65605 KIN65577:KIN65605 JYR65577:JYR65605 JOV65577:JOV65605 JEZ65577:JEZ65605 IVD65577:IVD65605 ILH65577:ILH65605 IBL65577:IBL65605 HRP65577:HRP65605 HHT65577:HHT65605 GXX65577:GXX65605 GOB65577:GOB65605 GEF65577:GEF65605 FUJ65577:FUJ65605 FKN65577:FKN65605 FAR65577:FAR65605 EQV65577:EQV65605 EGZ65577:EGZ65605 DXD65577:DXD65605 DNH65577:DNH65605 DDL65577:DDL65605 CTP65577:CTP65605 CJT65577:CJT65605 BZX65577:BZX65605 BQB65577:BQB65605 BGF65577:BGF65605 AWJ65577:AWJ65605 AMN65577:AMN65605 ACR65577:ACR65605 SV65577:SV65605 IZ65577:IZ65605 D65577:D65605 D44:D69 SV44:SV69 ACR44:ACR69 AMN44:AMN69 AWJ44:AWJ69 BGF44:BGF69 BQB44:BQB69 BZX44:BZX69 CJT44:CJT69 CTP44:CTP69 DDL44:DDL69 DNH44:DNH69 DXD44:DXD69 EGZ44:EGZ69 EQV44:EQV69 FAR44:FAR69 FKN44:FKN69 FUJ44:FUJ69 GEF44:GEF69 GOB44:GOB69 GXX44:GXX69 HHT44:HHT69 HRP44:HRP69 IBL44:IBL69 ILH44:ILH69 IVD44:IVD69 JEZ44:JEZ69 JOV44:JOV69 JYR44:JYR69 KIN44:KIN69 KSJ44:KSJ69 LCF44:LCF69 LMB44:LMB69 LVX44:LVX69 MFT44:MFT69 MPP44:MPP69 MZL44:MZL69 NJH44:NJH69 NTD44:NTD69 OCZ44:OCZ69 OMV44:OMV69 OWR44:OWR69 PGN44:PGN69 PQJ44:PQJ69 QAF44:QAF69 QKB44:QKB69 QTX44:QTX69 RDT44:RDT69 RNP44:RNP69 RXL44:RXL69 SHH44:SHH69 SRD44:SRD69 TAZ44:TAZ69 TKV44:TKV69 TUR44:TUR69 UEN44:UEN69 UOJ44:UOJ69 UYF44:UYF69 VIB44:VIB69 VRX44:VRX69 WBT44:WBT69 WLP44:WLP69 WVL44:WVL69 IZ44:IZ69">
      <formula1>$AM$15:$AM$17</formula1>
    </dataValidation>
    <dataValidation type="list" allowBlank="1" showInputMessage="1" showErrorMessage="1" sqref="WVN983081:WVN983109 WLR983081:WLR983109 WBV983081:WBV983109 VRZ983081:VRZ983109 VID983081:VID983109 UYH983081:UYH983109 UOL983081:UOL983109 UEP983081:UEP983109 TUT983081:TUT983109 TKX983081:TKX983109 TBB983081:TBB983109 SRF983081:SRF983109 SHJ983081:SHJ983109 RXN983081:RXN983109 RNR983081:RNR983109 RDV983081:RDV983109 QTZ983081:QTZ983109 QKD983081:QKD983109 QAH983081:QAH983109 PQL983081:PQL983109 PGP983081:PGP983109 OWT983081:OWT983109 OMX983081:OMX983109 ODB983081:ODB983109 NTF983081:NTF983109 NJJ983081:NJJ983109 MZN983081:MZN983109 MPR983081:MPR983109 MFV983081:MFV983109 LVZ983081:LVZ983109 LMD983081:LMD983109 LCH983081:LCH983109 KSL983081:KSL983109 KIP983081:KIP983109 JYT983081:JYT983109 JOX983081:JOX983109 JFB983081:JFB983109 IVF983081:IVF983109 ILJ983081:ILJ983109 IBN983081:IBN983109 HRR983081:HRR983109 HHV983081:HHV983109 GXZ983081:GXZ983109 GOD983081:GOD983109 GEH983081:GEH983109 FUL983081:FUL983109 FKP983081:FKP983109 FAT983081:FAT983109 EQX983081:EQX983109 EHB983081:EHB983109 DXF983081:DXF983109 DNJ983081:DNJ983109 DDN983081:DDN983109 CTR983081:CTR983109 CJV983081:CJV983109 BZZ983081:BZZ983109 BQD983081:BQD983109 BGH983081:BGH983109 AWL983081:AWL983109 AMP983081:AMP983109 ACT983081:ACT983109 SX983081:SX983109 JB983081:JB983109 F983081:F983109 WVN917545:WVN917573 WLR917545:WLR917573 WBV917545:WBV917573 VRZ917545:VRZ917573 VID917545:VID917573 UYH917545:UYH917573 UOL917545:UOL917573 UEP917545:UEP917573 TUT917545:TUT917573 TKX917545:TKX917573 TBB917545:TBB917573 SRF917545:SRF917573 SHJ917545:SHJ917573 RXN917545:RXN917573 RNR917545:RNR917573 RDV917545:RDV917573 QTZ917545:QTZ917573 QKD917545:QKD917573 QAH917545:QAH917573 PQL917545:PQL917573 PGP917545:PGP917573 OWT917545:OWT917573 OMX917545:OMX917573 ODB917545:ODB917573 NTF917545:NTF917573 NJJ917545:NJJ917573 MZN917545:MZN917573 MPR917545:MPR917573 MFV917545:MFV917573 LVZ917545:LVZ917573 LMD917545:LMD917573 LCH917545:LCH917573 KSL917545:KSL917573 KIP917545:KIP917573 JYT917545:JYT917573 JOX917545:JOX917573 JFB917545:JFB917573 IVF917545:IVF917573 ILJ917545:ILJ917573 IBN917545:IBN917573 HRR917545:HRR917573 HHV917545:HHV917573 GXZ917545:GXZ917573 GOD917545:GOD917573 GEH917545:GEH917573 FUL917545:FUL917573 FKP917545:FKP917573 FAT917545:FAT917573 EQX917545:EQX917573 EHB917545:EHB917573 DXF917545:DXF917573 DNJ917545:DNJ917573 DDN917545:DDN917573 CTR917545:CTR917573 CJV917545:CJV917573 BZZ917545:BZZ917573 BQD917545:BQD917573 BGH917545:BGH917573 AWL917545:AWL917573 AMP917545:AMP917573 ACT917545:ACT917573 SX917545:SX917573 JB917545:JB917573 F917545:F917573 WVN852009:WVN852037 WLR852009:WLR852037 WBV852009:WBV852037 VRZ852009:VRZ852037 VID852009:VID852037 UYH852009:UYH852037 UOL852009:UOL852037 UEP852009:UEP852037 TUT852009:TUT852037 TKX852009:TKX852037 TBB852009:TBB852037 SRF852009:SRF852037 SHJ852009:SHJ852037 RXN852009:RXN852037 RNR852009:RNR852037 RDV852009:RDV852037 QTZ852009:QTZ852037 QKD852009:QKD852037 QAH852009:QAH852037 PQL852009:PQL852037 PGP852009:PGP852037 OWT852009:OWT852037 OMX852009:OMX852037 ODB852009:ODB852037 NTF852009:NTF852037 NJJ852009:NJJ852037 MZN852009:MZN852037 MPR852009:MPR852037 MFV852009:MFV852037 LVZ852009:LVZ852037 LMD852009:LMD852037 LCH852009:LCH852037 KSL852009:KSL852037 KIP852009:KIP852037 JYT852009:JYT852037 JOX852009:JOX852037 JFB852009:JFB852037 IVF852009:IVF852037 ILJ852009:ILJ852037 IBN852009:IBN852037 HRR852009:HRR852037 HHV852009:HHV852037 GXZ852009:GXZ852037 GOD852009:GOD852037 GEH852009:GEH852037 FUL852009:FUL852037 FKP852009:FKP852037 FAT852009:FAT852037 EQX852009:EQX852037 EHB852009:EHB852037 DXF852009:DXF852037 DNJ852009:DNJ852037 DDN852009:DDN852037 CTR852009:CTR852037 CJV852009:CJV852037 BZZ852009:BZZ852037 BQD852009:BQD852037 BGH852009:BGH852037 AWL852009:AWL852037 AMP852009:AMP852037 ACT852009:ACT852037 SX852009:SX852037 JB852009:JB852037 F852009:F852037 WVN786473:WVN786501 WLR786473:WLR786501 WBV786473:WBV786501 VRZ786473:VRZ786501 VID786473:VID786501 UYH786473:UYH786501 UOL786473:UOL786501 UEP786473:UEP786501 TUT786473:TUT786501 TKX786473:TKX786501 TBB786473:TBB786501 SRF786473:SRF786501 SHJ786473:SHJ786501 RXN786473:RXN786501 RNR786473:RNR786501 RDV786473:RDV786501 QTZ786473:QTZ786501 QKD786473:QKD786501 QAH786473:QAH786501 PQL786473:PQL786501 PGP786473:PGP786501 OWT786473:OWT786501 OMX786473:OMX786501 ODB786473:ODB786501 NTF786473:NTF786501 NJJ786473:NJJ786501 MZN786473:MZN786501 MPR786473:MPR786501 MFV786473:MFV786501 LVZ786473:LVZ786501 LMD786473:LMD786501 LCH786473:LCH786501 KSL786473:KSL786501 KIP786473:KIP786501 JYT786473:JYT786501 JOX786473:JOX786501 JFB786473:JFB786501 IVF786473:IVF786501 ILJ786473:ILJ786501 IBN786473:IBN786501 HRR786473:HRR786501 HHV786473:HHV786501 GXZ786473:GXZ786501 GOD786473:GOD786501 GEH786473:GEH786501 FUL786473:FUL786501 FKP786473:FKP786501 FAT786473:FAT786501 EQX786473:EQX786501 EHB786473:EHB786501 DXF786473:DXF786501 DNJ786473:DNJ786501 DDN786473:DDN786501 CTR786473:CTR786501 CJV786473:CJV786501 BZZ786473:BZZ786501 BQD786473:BQD786501 BGH786473:BGH786501 AWL786473:AWL786501 AMP786473:AMP786501 ACT786473:ACT786501 SX786473:SX786501 JB786473:JB786501 F786473:F786501 WVN720937:WVN720965 WLR720937:WLR720965 WBV720937:WBV720965 VRZ720937:VRZ720965 VID720937:VID720965 UYH720937:UYH720965 UOL720937:UOL720965 UEP720937:UEP720965 TUT720937:TUT720965 TKX720937:TKX720965 TBB720937:TBB720965 SRF720937:SRF720965 SHJ720937:SHJ720965 RXN720937:RXN720965 RNR720937:RNR720965 RDV720937:RDV720965 QTZ720937:QTZ720965 QKD720937:QKD720965 QAH720937:QAH720965 PQL720937:PQL720965 PGP720937:PGP720965 OWT720937:OWT720965 OMX720937:OMX720965 ODB720937:ODB720965 NTF720937:NTF720965 NJJ720937:NJJ720965 MZN720937:MZN720965 MPR720937:MPR720965 MFV720937:MFV720965 LVZ720937:LVZ720965 LMD720937:LMD720965 LCH720937:LCH720965 KSL720937:KSL720965 KIP720937:KIP720965 JYT720937:JYT720965 JOX720937:JOX720965 JFB720937:JFB720965 IVF720937:IVF720965 ILJ720937:ILJ720965 IBN720937:IBN720965 HRR720937:HRR720965 HHV720937:HHV720965 GXZ720937:GXZ720965 GOD720937:GOD720965 GEH720937:GEH720965 FUL720937:FUL720965 FKP720937:FKP720965 FAT720937:FAT720965 EQX720937:EQX720965 EHB720937:EHB720965 DXF720937:DXF720965 DNJ720937:DNJ720965 DDN720937:DDN720965 CTR720937:CTR720965 CJV720937:CJV720965 BZZ720937:BZZ720965 BQD720937:BQD720965 BGH720937:BGH720965 AWL720937:AWL720965 AMP720937:AMP720965 ACT720937:ACT720965 SX720937:SX720965 JB720937:JB720965 F720937:F720965 WVN655401:WVN655429 WLR655401:WLR655429 WBV655401:WBV655429 VRZ655401:VRZ655429 VID655401:VID655429 UYH655401:UYH655429 UOL655401:UOL655429 UEP655401:UEP655429 TUT655401:TUT655429 TKX655401:TKX655429 TBB655401:TBB655429 SRF655401:SRF655429 SHJ655401:SHJ655429 RXN655401:RXN655429 RNR655401:RNR655429 RDV655401:RDV655429 QTZ655401:QTZ655429 QKD655401:QKD655429 QAH655401:QAH655429 PQL655401:PQL655429 PGP655401:PGP655429 OWT655401:OWT655429 OMX655401:OMX655429 ODB655401:ODB655429 NTF655401:NTF655429 NJJ655401:NJJ655429 MZN655401:MZN655429 MPR655401:MPR655429 MFV655401:MFV655429 LVZ655401:LVZ655429 LMD655401:LMD655429 LCH655401:LCH655429 KSL655401:KSL655429 KIP655401:KIP655429 JYT655401:JYT655429 JOX655401:JOX655429 JFB655401:JFB655429 IVF655401:IVF655429 ILJ655401:ILJ655429 IBN655401:IBN655429 HRR655401:HRR655429 HHV655401:HHV655429 GXZ655401:GXZ655429 GOD655401:GOD655429 GEH655401:GEH655429 FUL655401:FUL655429 FKP655401:FKP655429 FAT655401:FAT655429 EQX655401:EQX655429 EHB655401:EHB655429 DXF655401:DXF655429 DNJ655401:DNJ655429 DDN655401:DDN655429 CTR655401:CTR655429 CJV655401:CJV655429 BZZ655401:BZZ655429 BQD655401:BQD655429 BGH655401:BGH655429 AWL655401:AWL655429 AMP655401:AMP655429 ACT655401:ACT655429 SX655401:SX655429 JB655401:JB655429 F655401:F655429 WVN589865:WVN589893 WLR589865:WLR589893 WBV589865:WBV589893 VRZ589865:VRZ589893 VID589865:VID589893 UYH589865:UYH589893 UOL589865:UOL589893 UEP589865:UEP589893 TUT589865:TUT589893 TKX589865:TKX589893 TBB589865:TBB589893 SRF589865:SRF589893 SHJ589865:SHJ589893 RXN589865:RXN589893 RNR589865:RNR589893 RDV589865:RDV589893 QTZ589865:QTZ589893 QKD589865:QKD589893 QAH589865:QAH589893 PQL589865:PQL589893 PGP589865:PGP589893 OWT589865:OWT589893 OMX589865:OMX589893 ODB589865:ODB589893 NTF589865:NTF589893 NJJ589865:NJJ589893 MZN589865:MZN589893 MPR589865:MPR589893 MFV589865:MFV589893 LVZ589865:LVZ589893 LMD589865:LMD589893 LCH589865:LCH589893 KSL589865:KSL589893 KIP589865:KIP589893 JYT589865:JYT589893 JOX589865:JOX589893 JFB589865:JFB589893 IVF589865:IVF589893 ILJ589865:ILJ589893 IBN589865:IBN589893 HRR589865:HRR589893 HHV589865:HHV589893 GXZ589865:GXZ589893 GOD589865:GOD589893 GEH589865:GEH589893 FUL589865:FUL589893 FKP589865:FKP589893 FAT589865:FAT589893 EQX589865:EQX589893 EHB589865:EHB589893 DXF589865:DXF589893 DNJ589865:DNJ589893 DDN589865:DDN589893 CTR589865:CTR589893 CJV589865:CJV589893 BZZ589865:BZZ589893 BQD589865:BQD589893 BGH589865:BGH589893 AWL589865:AWL589893 AMP589865:AMP589893 ACT589865:ACT589893 SX589865:SX589893 JB589865:JB589893 F589865:F589893 WVN524329:WVN524357 WLR524329:WLR524357 WBV524329:WBV524357 VRZ524329:VRZ524357 VID524329:VID524357 UYH524329:UYH524357 UOL524329:UOL524357 UEP524329:UEP524357 TUT524329:TUT524357 TKX524329:TKX524357 TBB524329:TBB524357 SRF524329:SRF524357 SHJ524329:SHJ524357 RXN524329:RXN524357 RNR524329:RNR524357 RDV524329:RDV524357 QTZ524329:QTZ524357 QKD524329:QKD524357 QAH524329:QAH524357 PQL524329:PQL524357 PGP524329:PGP524357 OWT524329:OWT524357 OMX524329:OMX524357 ODB524329:ODB524357 NTF524329:NTF524357 NJJ524329:NJJ524357 MZN524329:MZN524357 MPR524329:MPR524357 MFV524329:MFV524357 LVZ524329:LVZ524357 LMD524329:LMD524357 LCH524329:LCH524357 KSL524329:KSL524357 KIP524329:KIP524357 JYT524329:JYT524357 JOX524329:JOX524357 JFB524329:JFB524357 IVF524329:IVF524357 ILJ524329:ILJ524357 IBN524329:IBN524357 HRR524329:HRR524357 HHV524329:HHV524357 GXZ524329:GXZ524357 GOD524329:GOD524357 GEH524329:GEH524357 FUL524329:FUL524357 FKP524329:FKP524357 FAT524329:FAT524357 EQX524329:EQX524357 EHB524329:EHB524357 DXF524329:DXF524357 DNJ524329:DNJ524357 DDN524329:DDN524357 CTR524329:CTR524357 CJV524329:CJV524357 BZZ524329:BZZ524357 BQD524329:BQD524357 BGH524329:BGH524357 AWL524329:AWL524357 AMP524329:AMP524357 ACT524329:ACT524357 SX524329:SX524357 JB524329:JB524357 F524329:F524357 WVN458793:WVN458821 WLR458793:WLR458821 WBV458793:WBV458821 VRZ458793:VRZ458821 VID458793:VID458821 UYH458793:UYH458821 UOL458793:UOL458821 UEP458793:UEP458821 TUT458793:TUT458821 TKX458793:TKX458821 TBB458793:TBB458821 SRF458793:SRF458821 SHJ458793:SHJ458821 RXN458793:RXN458821 RNR458793:RNR458821 RDV458793:RDV458821 QTZ458793:QTZ458821 QKD458793:QKD458821 QAH458793:QAH458821 PQL458793:PQL458821 PGP458793:PGP458821 OWT458793:OWT458821 OMX458793:OMX458821 ODB458793:ODB458821 NTF458793:NTF458821 NJJ458793:NJJ458821 MZN458793:MZN458821 MPR458793:MPR458821 MFV458793:MFV458821 LVZ458793:LVZ458821 LMD458793:LMD458821 LCH458793:LCH458821 KSL458793:KSL458821 KIP458793:KIP458821 JYT458793:JYT458821 JOX458793:JOX458821 JFB458793:JFB458821 IVF458793:IVF458821 ILJ458793:ILJ458821 IBN458793:IBN458821 HRR458793:HRR458821 HHV458793:HHV458821 GXZ458793:GXZ458821 GOD458793:GOD458821 GEH458793:GEH458821 FUL458793:FUL458821 FKP458793:FKP458821 FAT458793:FAT458821 EQX458793:EQX458821 EHB458793:EHB458821 DXF458793:DXF458821 DNJ458793:DNJ458821 DDN458793:DDN458821 CTR458793:CTR458821 CJV458793:CJV458821 BZZ458793:BZZ458821 BQD458793:BQD458821 BGH458793:BGH458821 AWL458793:AWL458821 AMP458793:AMP458821 ACT458793:ACT458821 SX458793:SX458821 JB458793:JB458821 F458793:F458821 WVN393257:WVN393285 WLR393257:WLR393285 WBV393257:WBV393285 VRZ393257:VRZ393285 VID393257:VID393285 UYH393257:UYH393285 UOL393257:UOL393285 UEP393257:UEP393285 TUT393257:TUT393285 TKX393257:TKX393285 TBB393257:TBB393285 SRF393257:SRF393285 SHJ393257:SHJ393285 RXN393257:RXN393285 RNR393257:RNR393285 RDV393257:RDV393285 QTZ393257:QTZ393285 QKD393257:QKD393285 QAH393257:QAH393285 PQL393257:PQL393285 PGP393257:PGP393285 OWT393257:OWT393285 OMX393257:OMX393285 ODB393257:ODB393285 NTF393257:NTF393285 NJJ393257:NJJ393285 MZN393257:MZN393285 MPR393257:MPR393285 MFV393257:MFV393285 LVZ393257:LVZ393285 LMD393257:LMD393285 LCH393257:LCH393285 KSL393257:KSL393285 KIP393257:KIP393285 JYT393257:JYT393285 JOX393257:JOX393285 JFB393257:JFB393285 IVF393257:IVF393285 ILJ393257:ILJ393285 IBN393257:IBN393285 HRR393257:HRR393285 HHV393257:HHV393285 GXZ393257:GXZ393285 GOD393257:GOD393285 GEH393257:GEH393285 FUL393257:FUL393285 FKP393257:FKP393285 FAT393257:FAT393285 EQX393257:EQX393285 EHB393257:EHB393285 DXF393257:DXF393285 DNJ393257:DNJ393285 DDN393257:DDN393285 CTR393257:CTR393285 CJV393257:CJV393285 BZZ393257:BZZ393285 BQD393257:BQD393285 BGH393257:BGH393285 AWL393257:AWL393285 AMP393257:AMP393285 ACT393257:ACT393285 SX393257:SX393285 JB393257:JB393285 F393257:F393285 WVN327721:WVN327749 WLR327721:WLR327749 WBV327721:WBV327749 VRZ327721:VRZ327749 VID327721:VID327749 UYH327721:UYH327749 UOL327721:UOL327749 UEP327721:UEP327749 TUT327721:TUT327749 TKX327721:TKX327749 TBB327721:TBB327749 SRF327721:SRF327749 SHJ327721:SHJ327749 RXN327721:RXN327749 RNR327721:RNR327749 RDV327721:RDV327749 QTZ327721:QTZ327749 QKD327721:QKD327749 QAH327721:QAH327749 PQL327721:PQL327749 PGP327721:PGP327749 OWT327721:OWT327749 OMX327721:OMX327749 ODB327721:ODB327749 NTF327721:NTF327749 NJJ327721:NJJ327749 MZN327721:MZN327749 MPR327721:MPR327749 MFV327721:MFV327749 LVZ327721:LVZ327749 LMD327721:LMD327749 LCH327721:LCH327749 KSL327721:KSL327749 KIP327721:KIP327749 JYT327721:JYT327749 JOX327721:JOX327749 JFB327721:JFB327749 IVF327721:IVF327749 ILJ327721:ILJ327749 IBN327721:IBN327749 HRR327721:HRR327749 HHV327721:HHV327749 GXZ327721:GXZ327749 GOD327721:GOD327749 GEH327721:GEH327749 FUL327721:FUL327749 FKP327721:FKP327749 FAT327721:FAT327749 EQX327721:EQX327749 EHB327721:EHB327749 DXF327721:DXF327749 DNJ327721:DNJ327749 DDN327721:DDN327749 CTR327721:CTR327749 CJV327721:CJV327749 BZZ327721:BZZ327749 BQD327721:BQD327749 BGH327721:BGH327749 AWL327721:AWL327749 AMP327721:AMP327749 ACT327721:ACT327749 SX327721:SX327749 JB327721:JB327749 F327721:F327749 WVN262185:WVN262213 WLR262185:WLR262213 WBV262185:WBV262213 VRZ262185:VRZ262213 VID262185:VID262213 UYH262185:UYH262213 UOL262185:UOL262213 UEP262185:UEP262213 TUT262185:TUT262213 TKX262185:TKX262213 TBB262185:TBB262213 SRF262185:SRF262213 SHJ262185:SHJ262213 RXN262185:RXN262213 RNR262185:RNR262213 RDV262185:RDV262213 QTZ262185:QTZ262213 QKD262185:QKD262213 QAH262185:QAH262213 PQL262185:PQL262213 PGP262185:PGP262213 OWT262185:OWT262213 OMX262185:OMX262213 ODB262185:ODB262213 NTF262185:NTF262213 NJJ262185:NJJ262213 MZN262185:MZN262213 MPR262185:MPR262213 MFV262185:MFV262213 LVZ262185:LVZ262213 LMD262185:LMD262213 LCH262185:LCH262213 KSL262185:KSL262213 KIP262185:KIP262213 JYT262185:JYT262213 JOX262185:JOX262213 JFB262185:JFB262213 IVF262185:IVF262213 ILJ262185:ILJ262213 IBN262185:IBN262213 HRR262185:HRR262213 HHV262185:HHV262213 GXZ262185:GXZ262213 GOD262185:GOD262213 GEH262185:GEH262213 FUL262185:FUL262213 FKP262185:FKP262213 FAT262185:FAT262213 EQX262185:EQX262213 EHB262185:EHB262213 DXF262185:DXF262213 DNJ262185:DNJ262213 DDN262185:DDN262213 CTR262185:CTR262213 CJV262185:CJV262213 BZZ262185:BZZ262213 BQD262185:BQD262213 BGH262185:BGH262213 AWL262185:AWL262213 AMP262185:AMP262213 ACT262185:ACT262213 SX262185:SX262213 JB262185:JB262213 F262185:F262213 WVN196649:WVN196677 WLR196649:WLR196677 WBV196649:WBV196677 VRZ196649:VRZ196677 VID196649:VID196677 UYH196649:UYH196677 UOL196649:UOL196677 UEP196649:UEP196677 TUT196649:TUT196677 TKX196649:TKX196677 TBB196649:TBB196677 SRF196649:SRF196677 SHJ196649:SHJ196677 RXN196649:RXN196677 RNR196649:RNR196677 RDV196649:RDV196677 QTZ196649:QTZ196677 QKD196649:QKD196677 QAH196649:QAH196677 PQL196649:PQL196677 PGP196649:PGP196677 OWT196649:OWT196677 OMX196649:OMX196677 ODB196649:ODB196677 NTF196649:NTF196677 NJJ196649:NJJ196677 MZN196649:MZN196677 MPR196649:MPR196677 MFV196649:MFV196677 LVZ196649:LVZ196677 LMD196649:LMD196677 LCH196649:LCH196677 KSL196649:KSL196677 KIP196649:KIP196677 JYT196649:JYT196677 JOX196649:JOX196677 JFB196649:JFB196677 IVF196649:IVF196677 ILJ196649:ILJ196677 IBN196649:IBN196677 HRR196649:HRR196677 HHV196649:HHV196677 GXZ196649:GXZ196677 GOD196649:GOD196677 GEH196649:GEH196677 FUL196649:FUL196677 FKP196649:FKP196677 FAT196649:FAT196677 EQX196649:EQX196677 EHB196649:EHB196677 DXF196649:DXF196677 DNJ196649:DNJ196677 DDN196649:DDN196677 CTR196649:CTR196677 CJV196649:CJV196677 BZZ196649:BZZ196677 BQD196649:BQD196677 BGH196649:BGH196677 AWL196649:AWL196677 AMP196649:AMP196677 ACT196649:ACT196677 SX196649:SX196677 JB196649:JB196677 F196649:F196677 WVN131113:WVN131141 WLR131113:WLR131141 WBV131113:WBV131141 VRZ131113:VRZ131141 VID131113:VID131141 UYH131113:UYH131141 UOL131113:UOL131141 UEP131113:UEP131141 TUT131113:TUT131141 TKX131113:TKX131141 TBB131113:TBB131141 SRF131113:SRF131141 SHJ131113:SHJ131141 RXN131113:RXN131141 RNR131113:RNR131141 RDV131113:RDV131141 QTZ131113:QTZ131141 QKD131113:QKD131141 QAH131113:QAH131141 PQL131113:PQL131141 PGP131113:PGP131141 OWT131113:OWT131141 OMX131113:OMX131141 ODB131113:ODB131141 NTF131113:NTF131141 NJJ131113:NJJ131141 MZN131113:MZN131141 MPR131113:MPR131141 MFV131113:MFV131141 LVZ131113:LVZ131141 LMD131113:LMD131141 LCH131113:LCH131141 KSL131113:KSL131141 KIP131113:KIP131141 JYT131113:JYT131141 JOX131113:JOX131141 JFB131113:JFB131141 IVF131113:IVF131141 ILJ131113:ILJ131141 IBN131113:IBN131141 HRR131113:HRR131141 HHV131113:HHV131141 GXZ131113:GXZ131141 GOD131113:GOD131141 GEH131113:GEH131141 FUL131113:FUL131141 FKP131113:FKP131141 FAT131113:FAT131141 EQX131113:EQX131141 EHB131113:EHB131141 DXF131113:DXF131141 DNJ131113:DNJ131141 DDN131113:DDN131141 CTR131113:CTR131141 CJV131113:CJV131141 BZZ131113:BZZ131141 BQD131113:BQD131141 BGH131113:BGH131141 AWL131113:AWL131141 AMP131113:AMP131141 ACT131113:ACT131141 SX131113:SX131141 JB131113:JB131141 F131113:F131141 WVN65577:WVN65605 WLR65577:WLR65605 WBV65577:WBV65605 VRZ65577:VRZ65605 VID65577:VID65605 UYH65577:UYH65605 UOL65577:UOL65605 UEP65577:UEP65605 TUT65577:TUT65605 TKX65577:TKX65605 TBB65577:TBB65605 SRF65577:SRF65605 SHJ65577:SHJ65605 RXN65577:RXN65605 RNR65577:RNR65605 RDV65577:RDV65605 QTZ65577:QTZ65605 QKD65577:QKD65605 QAH65577:QAH65605 PQL65577:PQL65605 PGP65577:PGP65605 OWT65577:OWT65605 OMX65577:OMX65605 ODB65577:ODB65605 NTF65577:NTF65605 NJJ65577:NJJ65605 MZN65577:MZN65605 MPR65577:MPR65605 MFV65577:MFV65605 LVZ65577:LVZ65605 LMD65577:LMD65605 LCH65577:LCH65605 KSL65577:KSL65605 KIP65577:KIP65605 JYT65577:JYT65605 JOX65577:JOX65605 JFB65577:JFB65605 IVF65577:IVF65605 ILJ65577:ILJ65605 IBN65577:IBN65605 HRR65577:HRR65605 HHV65577:HHV65605 GXZ65577:GXZ65605 GOD65577:GOD65605 GEH65577:GEH65605 FUL65577:FUL65605 FKP65577:FKP65605 FAT65577:FAT65605 EQX65577:EQX65605 EHB65577:EHB65605 DXF65577:DXF65605 DNJ65577:DNJ65605 DDN65577:DDN65605 CTR65577:CTR65605 CJV65577:CJV65605 BZZ65577:BZZ65605 BQD65577:BQD65605 BGH65577:BGH65605 AWL65577:AWL65605 AMP65577:AMP65605 ACT65577:ACT65605 SX65577:SX65605 JB65577:JB65605 F65577:F65605 F69 SX44:SX69 ACT44:ACT69 AMP44:AMP69 AWL44:AWL69 BGH44:BGH69 BQD44:BQD69 BZZ44:BZZ69 CJV44:CJV69 CTR44:CTR69 DDN44:DDN69 DNJ44:DNJ69 DXF44:DXF69 EHB44:EHB69 EQX44:EQX69 FAT44:FAT69 FKP44:FKP69 FUL44:FUL69 GEH44:GEH69 GOD44:GOD69 GXZ44:GXZ69 HHV44:HHV69 HRR44:HRR69 IBN44:IBN69 ILJ44:ILJ69 IVF44:IVF69 JFB44:JFB69 JOX44:JOX69 JYT44:JYT69 KIP44:KIP69 KSL44:KSL69 LCH44:LCH69 LMD44:LMD69 LVZ44:LVZ69 MFV44:MFV69 MPR44:MPR69 MZN44:MZN69 NJJ44:NJJ69 NTF44:NTF69 ODB44:ODB69 OMX44:OMX69 OWT44:OWT69 PGP44:PGP69 PQL44:PQL69 QAH44:QAH69 QKD44:QKD69 QTZ44:QTZ69 RDV44:RDV69 RNR44:RNR69 RXN44:RXN69 SHJ44:SHJ69 SRF44:SRF69 TBB44:TBB69 TKX44:TKX69 TUT44:TUT69 UEP44:UEP69 UOL44:UOL69 UYH44:UYH69 VID44:VID69 VRZ44:VRZ69 WBV44:WBV69 WLR44:WLR69 WVN44:WVN69 JB44:JB69">
      <formula1>$AK$15:$AK$16</formula1>
    </dataValidation>
    <dataValidation type="list" allowBlank="1" showInputMessage="1" showErrorMessage="1" sqref="WVO983081:WVO983109 WLS983081:WLS983109 WBW983081:WBW983109 VSA983081:VSA983109 VIE983081:VIE983109 UYI983081:UYI983109 UOM983081:UOM983109 UEQ983081:UEQ983109 TUU983081:TUU983109 TKY983081:TKY983109 TBC983081:TBC983109 SRG983081:SRG983109 SHK983081:SHK983109 RXO983081:RXO983109 RNS983081:RNS983109 RDW983081:RDW983109 QUA983081:QUA983109 QKE983081:QKE983109 QAI983081:QAI983109 PQM983081:PQM983109 PGQ983081:PGQ983109 OWU983081:OWU983109 OMY983081:OMY983109 ODC983081:ODC983109 NTG983081:NTG983109 NJK983081:NJK983109 MZO983081:MZO983109 MPS983081:MPS983109 MFW983081:MFW983109 LWA983081:LWA983109 LME983081:LME983109 LCI983081:LCI983109 KSM983081:KSM983109 KIQ983081:KIQ983109 JYU983081:JYU983109 JOY983081:JOY983109 JFC983081:JFC983109 IVG983081:IVG983109 ILK983081:ILK983109 IBO983081:IBO983109 HRS983081:HRS983109 HHW983081:HHW983109 GYA983081:GYA983109 GOE983081:GOE983109 GEI983081:GEI983109 FUM983081:FUM983109 FKQ983081:FKQ983109 FAU983081:FAU983109 EQY983081:EQY983109 EHC983081:EHC983109 DXG983081:DXG983109 DNK983081:DNK983109 DDO983081:DDO983109 CTS983081:CTS983109 CJW983081:CJW983109 CAA983081:CAA983109 BQE983081:BQE983109 BGI983081:BGI983109 AWM983081:AWM983109 AMQ983081:AMQ983109 ACU983081:ACU983109 SY983081:SY983109 JC983081:JC983109 G983081:G983109 WVO917545:WVO917573 WLS917545:WLS917573 WBW917545:WBW917573 VSA917545:VSA917573 VIE917545:VIE917573 UYI917545:UYI917573 UOM917545:UOM917573 UEQ917545:UEQ917573 TUU917545:TUU917573 TKY917545:TKY917573 TBC917545:TBC917573 SRG917545:SRG917573 SHK917545:SHK917573 RXO917545:RXO917573 RNS917545:RNS917573 RDW917545:RDW917573 QUA917545:QUA917573 QKE917545:QKE917573 QAI917545:QAI917573 PQM917545:PQM917573 PGQ917545:PGQ917573 OWU917545:OWU917573 OMY917545:OMY917573 ODC917545:ODC917573 NTG917545:NTG917573 NJK917545:NJK917573 MZO917545:MZO917573 MPS917545:MPS917573 MFW917545:MFW917573 LWA917545:LWA917573 LME917545:LME917573 LCI917545:LCI917573 KSM917545:KSM917573 KIQ917545:KIQ917573 JYU917545:JYU917573 JOY917545:JOY917573 JFC917545:JFC917573 IVG917545:IVG917573 ILK917545:ILK917573 IBO917545:IBO917573 HRS917545:HRS917573 HHW917545:HHW917573 GYA917545:GYA917573 GOE917545:GOE917573 GEI917545:GEI917573 FUM917545:FUM917573 FKQ917545:FKQ917573 FAU917545:FAU917573 EQY917545:EQY917573 EHC917545:EHC917573 DXG917545:DXG917573 DNK917545:DNK917573 DDO917545:DDO917573 CTS917545:CTS917573 CJW917545:CJW917573 CAA917545:CAA917573 BQE917545:BQE917573 BGI917545:BGI917573 AWM917545:AWM917573 AMQ917545:AMQ917573 ACU917545:ACU917573 SY917545:SY917573 JC917545:JC917573 G917545:G917573 WVO852009:WVO852037 WLS852009:WLS852037 WBW852009:WBW852037 VSA852009:VSA852037 VIE852009:VIE852037 UYI852009:UYI852037 UOM852009:UOM852037 UEQ852009:UEQ852037 TUU852009:TUU852037 TKY852009:TKY852037 TBC852009:TBC852037 SRG852009:SRG852037 SHK852009:SHK852037 RXO852009:RXO852037 RNS852009:RNS852037 RDW852009:RDW852037 QUA852009:QUA852037 QKE852009:QKE852037 QAI852009:QAI852037 PQM852009:PQM852037 PGQ852009:PGQ852037 OWU852009:OWU852037 OMY852009:OMY852037 ODC852009:ODC852037 NTG852009:NTG852037 NJK852009:NJK852037 MZO852009:MZO852037 MPS852009:MPS852037 MFW852009:MFW852037 LWA852009:LWA852037 LME852009:LME852037 LCI852009:LCI852037 KSM852009:KSM852037 KIQ852009:KIQ852037 JYU852009:JYU852037 JOY852009:JOY852037 JFC852009:JFC852037 IVG852009:IVG852037 ILK852009:ILK852037 IBO852009:IBO852037 HRS852009:HRS852037 HHW852009:HHW852037 GYA852009:GYA852037 GOE852009:GOE852037 GEI852009:GEI852037 FUM852009:FUM852037 FKQ852009:FKQ852037 FAU852009:FAU852037 EQY852009:EQY852037 EHC852009:EHC852037 DXG852009:DXG852037 DNK852009:DNK852037 DDO852009:DDO852037 CTS852009:CTS852037 CJW852009:CJW852037 CAA852009:CAA852037 BQE852009:BQE852037 BGI852009:BGI852037 AWM852009:AWM852037 AMQ852009:AMQ852037 ACU852009:ACU852037 SY852009:SY852037 JC852009:JC852037 G852009:G852037 WVO786473:WVO786501 WLS786473:WLS786501 WBW786473:WBW786501 VSA786473:VSA786501 VIE786473:VIE786501 UYI786473:UYI786501 UOM786473:UOM786501 UEQ786473:UEQ786501 TUU786473:TUU786501 TKY786473:TKY786501 TBC786473:TBC786501 SRG786473:SRG786501 SHK786473:SHK786501 RXO786473:RXO786501 RNS786473:RNS786501 RDW786473:RDW786501 QUA786473:QUA786501 QKE786473:QKE786501 QAI786473:QAI786501 PQM786473:PQM786501 PGQ786473:PGQ786501 OWU786473:OWU786501 OMY786473:OMY786501 ODC786473:ODC786501 NTG786473:NTG786501 NJK786473:NJK786501 MZO786473:MZO786501 MPS786473:MPS786501 MFW786473:MFW786501 LWA786473:LWA786501 LME786473:LME786501 LCI786473:LCI786501 KSM786473:KSM786501 KIQ786473:KIQ786501 JYU786473:JYU786501 JOY786473:JOY786501 JFC786473:JFC786501 IVG786473:IVG786501 ILK786473:ILK786501 IBO786473:IBO786501 HRS786473:HRS786501 HHW786473:HHW786501 GYA786473:GYA786501 GOE786473:GOE786501 GEI786473:GEI786501 FUM786473:FUM786501 FKQ786473:FKQ786501 FAU786473:FAU786501 EQY786473:EQY786501 EHC786473:EHC786501 DXG786473:DXG786501 DNK786473:DNK786501 DDO786473:DDO786501 CTS786473:CTS786501 CJW786473:CJW786501 CAA786473:CAA786501 BQE786473:BQE786501 BGI786473:BGI786501 AWM786473:AWM786501 AMQ786473:AMQ786501 ACU786473:ACU786501 SY786473:SY786501 JC786473:JC786501 G786473:G786501 WVO720937:WVO720965 WLS720937:WLS720965 WBW720937:WBW720965 VSA720937:VSA720965 VIE720937:VIE720965 UYI720937:UYI720965 UOM720937:UOM720965 UEQ720937:UEQ720965 TUU720937:TUU720965 TKY720937:TKY720965 TBC720937:TBC720965 SRG720937:SRG720965 SHK720937:SHK720965 RXO720937:RXO720965 RNS720937:RNS720965 RDW720937:RDW720965 QUA720937:QUA720965 QKE720937:QKE720965 QAI720937:QAI720965 PQM720937:PQM720965 PGQ720937:PGQ720965 OWU720937:OWU720965 OMY720937:OMY720965 ODC720937:ODC720965 NTG720937:NTG720965 NJK720937:NJK720965 MZO720937:MZO720965 MPS720937:MPS720965 MFW720937:MFW720965 LWA720937:LWA720965 LME720937:LME720965 LCI720937:LCI720965 KSM720937:KSM720965 KIQ720937:KIQ720965 JYU720937:JYU720965 JOY720937:JOY720965 JFC720937:JFC720965 IVG720937:IVG720965 ILK720937:ILK720965 IBO720937:IBO720965 HRS720937:HRS720965 HHW720937:HHW720965 GYA720937:GYA720965 GOE720937:GOE720965 GEI720937:GEI720965 FUM720937:FUM720965 FKQ720937:FKQ720965 FAU720937:FAU720965 EQY720937:EQY720965 EHC720937:EHC720965 DXG720937:DXG720965 DNK720937:DNK720965 DDO720937:DDO720965 CTS720937:CTS720965 CJW720937:CJW720965 CAA720937:CAA720965 BQE720937:BQE720965 BGI720937:BGI720965 AWM720937:AWM720965 AMQ720937:AMQ720965 ACU720937:ACU720965 SY720937:SY720965 JC720937:JC720965 G720937:G720965 WVO655401:WVO655429 WLS655401:WLS655429 WBW655401:WBW655429 VSA655401:VSA655429 VIE655401:VIE655429 UYI655401:UYI655429 UOM655401:UOM655429 UEQ655401:UEQ655429 TUU655401:TUU655429 TKY655401:TKY655429 TBC655401:TBC655429 SRG655401:SRG655429 SHK655401:SHK655429 RXO655401:RXO655429 RNS655401:RNS655429 RDW655401:RDW655429 QUA655401:QUA655429 QKE655401:QKE655429 QAI655401:QAI655429 PQM655401:PQM655429 PGQ655401:PGQ655429 OWU655401:OWU655429 OMY655401:OMY655429 ODC655401:ODC655429 NTG655401:NTG655429 NJK655401:NJK655429 MZO655401:MZO655429 MPS655401:MPS655429 MFW655401:MFW655429 LWA655401:LWA655429 LME655401:LME655429 LCI655401:LCI655429 KSM655401:KSM655429 KIQ655401:KIQ655429 JYU655401:JYU655429 JOY655401:JOY655429 JFC655401:JFC655429 IVG655401:IVG655429 ILK655401:ILK655429 IBO655401:IBO655429 HRS655401:HRS655429 HHW655401:HHW655429 GYA655401:GYA655429 GOE655401:GOE655429 GEI655401:GEI655429 FUM655401:FUM655429 FKQ655401:FKQ655429 FAU655401:FAU655429 EQY655401:EQY655429 EHC655401:EHC655429 DXG655401:DXG655429 DNK655401:DNK655429 DDO655401:DDO655429 CTS655401:CTS655429 CJW655401:CJW655429 CAA655401:CAA655429 BQE655401:BQE655429 BGI655401:BGI655429 AWM655401:AWM655429 AMQ655401:AMQ655429 ACU655401:ACU655429 SY655401:SY655429 JC655401:JC655429 G655401:G655429 WVO589865:WVO589893 WLS589865:WLS589893 WBW589865:WBW589893 VSA589865:VSA589893 VIE589865:VIE589893 UYI589865:UYI589893 UOM589865:UOM589893 UEQ589865:UEQ589893 TUU589865:TUU589893 TKY589865:TKY589893 TBC589865:TBC589893 SRG589865:SRG589893 SHK589865:SHK589893 RXO589865:RXO589893 RNS589865:RNS589893 RDW589865:RDW589893 QUA589865:QUA589893 QKE589865:QKE589893 QAI589865:QAI589893 PQM589865:PQM589893 PGQ589865:PGQ589893 OWU589865:OWU589893 OMY589865:OMY589893 ODC589865:ODC589893 NTG589865:NTG589893 NJK589865:NJK589893 MZO589865:MZO589893 MPS589865:MPS589893 MFW589865:MFW589893 LWA589865:LWA589893 LME589865:LME589893 LCI589865:LCI589893 KSM589865:KSM589893 KIQ589865:KIQ589893 JYU589865:JYU589893 JOY589865:JOY589893 JFC589865:JFC589893 IVG589865:IVG589893 ILK589865:ILK589893 IBO589865:IBO589893 HRS589865:HRS589893 HHW589865:HHW589893 GYA589865:GYA589893 GOE589865:GOE589893 GEI589865:GEI589893 FUM589865:FUM589893 FKQ589865:FKQ589893 FAU589865:FAU589893 EQY589865:EQY589893 EHC589865:EHC589893 DXG589865:DXG589893 DNK589865:DNK589893 DDO589865:DDO589893 CTS589865:CTS589893 CJW589865:CJW589893 CAA589865:CAA589893 BQE589865:BQE589893 BGI589865:BGI589893 AWM589865:AWM589893 AMQ589865:AMQ589893 ACU589865:ACU589893 SY589865:SY589893 JC589865:JC589893 G589865:G589893 WVO524329:WVO524357 WLS524329:WLS524357 WBW524329:WBW524357 VSA524329:VSA524357 VIE524329:VIE524357 UYI524329:UYI524357 UOM524329:UOM524357 UEQ524329:UEQ524357 TUU524329:TUU524357 TKY524329:TKY524357 TBC524329:TBC524357 SRG524329:SRG524357 SHK524329:SHK524357 RXO524329:RXO524357 RNS524329:RNS524357 RDW524329:RDW524357 QUA524329:QUA524357 QKE524329:QKE524357 QAI524329:QAI524357 PQM524329:PQM524357 PGQ524329:PGQ524357 OWU524329:OWU524357 OMY524329:OMY524357 ODC524329:ODC524357 NTG524329:NTG524357 NJK524329:NJK524357 MZO524329:MZO524357 MPS524329:MPS524357 MFW524329:MFW524357 LWA524329:LWA524357 LME524329:LME524357 LCI524329:LCI524357 KSM524329:KSM524357 KIQ524329:KIQ524357 JYU524329:JYU524357 JOY524329:JOY524357 JFC524329:JFC524357 IVG524329:IVG524357 ILK524329:ILK524357 IBO524329:IBO524357 HRS524329:HRS524357 HHW524329:HHW524357 GYA524329:GYA524357 GOE524329:GOE524357 GEI524329:GEI524357 FUM524329:FUM524357 FKQ524329:FKQ524357 FAU524329:FAU524357 EQY524329:EQY524357 EHC524329:EHC524357 DXG524329:DXG524357 DNK524329:DNK524357 DDO524329:DDO524357 CTS524329:CTS524357 CJW524329:CJW524357 CAA524329:CAA524357 BQE524329:BQE524357 BGI524329:BGI524357 AWM524329:AWM524357 AMQ524329:AMQ524357 ACU524329:ACU524357 SY524329:SY524357 JC524329:JC524357 G524329:G524357 WVO458793:WVO458821 WLS458793:WLS458821 WBW458793:WBW458821 VSA458793:VSA458821 VIE458793:VIE458821 UYI458793:UYI458821 UOM458793:UOM458821 UEQ458793:UEQ458821 TUU458793:TUU458821 TKY458793:TKY458821 TBC458793:TBC458821 SRG458793:SRG458821 SHK458793:SHK458821 RXO458793:RXO458821 RNS458793:RNS458821 RDW458793:RDW458821 QUA458793:QUA458821 QKE458793:QKE458821 QAI458793:QAI458821 PQM458793:PQM458821 PGQ458793:PGQ458821 OWU458793:OWU458821 OMY458793:OMY458821 ODC458793:ODC458821 NTG458793:NTG458821 NJK458793:NJK458821 MZO458793:MZO458821 MPS458793:MPS458821 MFW458793:MFW458821 LWA458793:LWA458821 LME458793:LME458821 LCI458793:LCI458821 KSM458793:KSM458821 KIQ458793:KIQ458821 JYU458793:JYU458821 JOY458793:JOY458821 JFC458793:JFC458821 IVG458793:IVG458821 ILK458793:ILK458821 IBO458793:IBO458821 HRS458793:HRS458821 HHW458793:HHW458821 GYA458793:GYA458821 GOE458793:GOE458821 GEI458793:GEI458821 FUM458793:FUM458821 FKQ458793:FKQ458821 FAU458793:FAU458821 EQY458793:EQY458821 EHC458793:EHC458821 DXG458793:DXG458821 DNK458793:DNK458821 DDO458793:DDO458821 CTS458793:CTS458821 CJW458793:CJW458821 CAA458793:CAA458821 BQE458793:BQE458821 BGI458793:BGI458821 AWM458793:AWM458821 AMQ458793:AMQ458821 ACU458793:ACU458821 SY458793:SY458821 JC458793:JC458821 G458793:G458821 WVO393257:WVO393285 WLS393257:WLS393285 WBW393257:WBW393285 VSA393257:VSA393285 VIE393257:VIE393285 UYI393257:UYI393285 UOM393257:UOM393285 UEQ393257:UEQ393285 TUU393257:TUU393285 TKY393257:TKY393285 TBC393257:TBC393285 SRG393257:SRG393285 SHK393257:SHK393285 RXO393257:RXO393285 RNS393257:RNS393285 RDW393257:RDW393285 QUA393257:QUA393285 QKE393257:QKE393285 QAI393257:QAI393285 PQM393257:PQM393285 PGQ393257:PGQ393285 OWU393257:OWU393285 OMY393257:OMY393285 ODC393257:ODC393285 NTG393257:NTG393285 NJK393257:NJK393285 MZO393257:MZO393285 MPS393257:MPS393285 MFW393257:MFW393285 LWA393257:LWA393285 LME393257:LME393285 LCI393257:LCI393285 KSM393257:KSM393285 KIQ393257:KIQ393285 JYU393257:JYU393285 JOY393257:JOY393285 JFC393257:JFC393285 IVG393257:IVG393285 ILK393257:ILK393285 IBO393257:IBO393285 HRS393257:HRS393285 HHW393257:HHW393285 GYA393257:GYA393285 GOE393257:GOE393285 GEI393257:GEI393285 FUM393257:FUM393285 FKQ393257:FKQ393285 FAU393257:FAU393285 EQY393257:EQY393285 EHC393257:EHC393285 DXG393257:DXG393285 DNK393257:DNK393285 DDO393257:DDO393285 CTS393257:CTS393285 CJW393257:CJW393285 CAA393257:CAA393285 BQE393257:BQE393285 BGI393257:BGI393285 AWM393257:AWM393285 AMQ393257:AMQ393285 ACU393257:ACU393285 SY393257:SY393285 JC393257:JC393285 G393257:G393285 WVO327721:WVO327749 WLS327721:WLS327749 WBW327721:WBW327749 VSA327721:VSA327749 VIE327721:VIE327749 UYI327721:UYI327749 UOM327721:UOM327749 UEQ327721:UEQ327749 TUU327721:TUU327749 TKY327721:TKY327749 TBC327721:TBC327749 SRG327721:SRG327749 SHK327721:SHK327749 RXO327721:RXO327749 RNS327721:RNS327749 RDW327721:RDW327749 QUA327721:QUA327749 QKE327721:QKE327749 QAI327721:QAI327749 PQM327721:PQM327749 PGQ327721:PGQ327749 OWU327721:OWU327749 OMY327721:OMY327749 ODC327721:ODC327749 NTG327721:NTG327749 NJK327721:NJK327749 MZO327721:MZO327749 MPS327721:MPS327749 MFW327721:MFW327749 LWA327721:LWA327749 LME327721:LME327749 LCI327721:LCI327749 KSM327721:KSM327749 KIQ327721:KIQ327749 JYU327721:JYU327749 JOY327721:JOY327749 JFC327721:JFC327749 IVG327721:IVG327749 ILK327721:ILK327749 IBO327721:IBO327749 HRS327721:HRS327749 HHW327721:HHW327749 GYA327721:GYA327749 GOE327721:GOE327749 GEI327721:GEI327749 FUM327721:FUM327749 FKQ327721:FKQ327749 FAU327721:FAU327749 EQY327721:EQY327749 EHC327721:EHC327749 DXG327721:DXG327749 DNK327721:DNK327749 DDO327721:DDO327749 CTS327721:CTS327749 CJW327721:CJW327749 CAA327721:CAA327749 BQE327721:BQE327749 BGI327721:BGI327749 AWM327721:AWM327749 AMQ327721:AMQ327749 ACU327721:ACU327749 SY327721:SY327749 JC327721:JC327749 G327721:G327749 WVO262185:WVO262213 WLS262185:WLS262213 WBW262185:WBW262213 VSA262185:VSA262213 VIE262185:VIE262213 UYI262185:UYI262213 UOM262185:UOM262213 UEQ262185:UEQ262213 TUU262185:TUU262213 TKY262185:TKY262213 TBC262185:TBC262213 SRG262185:SRG262213 SHK262185:SHK262213 RXO262185:RXO262213 RNS262185:RNS262213 RDW262185:RDW262213 QUA262185:QUA262213 QKE262185:QKE262213 QAI262185:QAI262213 PQM262185:PQM262213 PGQ262185:PGQ262213 OWU262185:OWU262213 OMY262185:OMY262213 ODC262185:ODC262213 NTG262185:NTG262213 NJK262185:NJK262213 MZO262185:MZO262213 MPS262185:MPS262213 MFW262185:MFW262213 LWA262185:LWA262213 LME262185:LME262213 LCI262185:LCI262213 KSM262185:KSM262213 KIQ262185:KIQ262213 JYU262185:JYU262213 JOY262185:JOY262213 JFC262185:JFC262213 IVG262185:IVG262213 ILK262185:ILK262213 IBO262185:IBO262213 HRS262185:HRS262213 HHW262185:HHW262213 GYA262185:GYA262213 GOE262185:GOE262213 GEI262185:GEI262213 FUM262185:FUM262213 FKQ262185:FKQ262213 FAU262185:FAU262213 EQY262185:EQY262213 EHC262185:EHC262213 DXG262185:DXG262213 DNK262185:DNK262213 DDO262185:DDO262213 CTS262185:CTS262213 CJW262185:CJW262213 CAA262185:CAA262213 BQE262185:BQE262213 BGI262185:BGI262213 AWM262185:AWM262213 AMQ262185:AMQ262213 ACU262185:ACU262213 SY262185:SY262213 JC262185:JC262213 G262185:G262213 WVO196649:WVO196677 WLS196649:WLS196677 WBW196649:WBW196677 VSA196649:VSA196677 VIE196649:VIE196677 UYI196649:UYI196677 UOM196649:UOM196677 UEQ196649:UEQ196677 TUU196649:TUU196677 TKY196649:TKY196677 TBC196649:TBC196677 SRG196649:SRG196677 SHK196649:SHK196677 RXO196649:RXO196677 RNS196649:RNS196677 RDW196649:RDW196677 QUA196649:QUA196677 QKE196649:QKE196677 QAI196649:QAI196677 PQM196649:PQM196677 PGQ196649:PGQ196677 OWU196649:OWU196677 OMY196649:OMY196677 ODC196649:ODC196677 NTG196649:NTG196677 NJK196649:NJK196677 MZO196649:MZO196677 MPS196649:MPS196677 MFW196649:MFW196677 LWA196649:LWA196677 LME196649:LME196677 LCI196649:LCI196677 KSM196649:KSM196677 KIQ196649:KIQ196677 JYU196649:JYU196677 JOY196649:JOY196677 JFC196649:JFC196677 IVG196649:IVG196677 ILK196649:ILK196677 IBO196649:IBO196677 HRS196649:HRS196677 HHW196649:HHW196677 GYA196649:GYA196677 GOE196649:GOE196677 GEI196649:GEI196677 FUM196649:FUM196677 FKQ196649:FKQ196677 FAU196649:FAU196677 EQY196649:EQY196677 EHC196649:EHC196677 DXG196649:DXG196677 DNK196649:DNK196677 DDO196649:DDO196677 CTS196649:CTS196677 CJW196649:CJW196677 CAA196649:CAA196677 BQE196649:BQE196677 BGI196649:BGI196677 AWM196649:AWM196677 AMQ196649:AMQ196677 ACU196649:ACU196677 SY196649:SY196677 JC196649:JC196677 G196649:G196677 WVO131113:WVO131141 WLS131113:WLS131141 WBW131113:WBW131141 VSA131113:VSA131141 VIE131113:VIE131141 UYI131113:UYI131141 UOM131113:UOM131141 UEQ131113:UEQ131141 TUU131113:TUU131141 TKY131113:TKY131141 TBC131113:TBC131141 SRG131113:SRG131141 SHK131113:SHK131141 RXO131113:RXO131141 RNS131113:RNS131141 RDW131113:RDW131141 QUA131113:QUA131141 QKE131113:QKE131141 QAI131113:QAI131141 PQM131113:PQM131141 PGQ131113:PGQ131141 OWU131113:OWU131141 OMY131113:OMY131141 ODC131113:ODC131141 NTG131113:NTG131141 NJK131113:NJK131141 MZO131113:MZO131141 MPS131113:MPS131141 MFW131113:MFW131141 LWA131113:LWA131141 LME131113:LME131141 LCI131113:LCI131141 KSM131113:KSM131141 KIQ131113:KIQ131141 JYU131113:JYU131141 JOY131113:JOY131141 JFC131113:JFC131141 IVG131113:IVG131141 ILK131113:ILK131141 IBO131113:IBO131141 HRS131113:HRS131141 HHW131113:HHW131141 GYA131113:GYA131141 GOE131113:GOE131141 GEI131113:GEI131141 FUM131113:FUM131141 FKQ131113:FKQ131141 FAU131113:FAU131141 EQY131113:EQY131141 EHC131113:EHC131141 DXG131113:DXG131141 DNK131113:DNK131141 DDO131113:DDO131141 CTS131113:CTS131141 CJW131113:CJW131141 CAA131113:CAA131141 BQE131113:BQE131141 BGI131113:BGI131141 AWM131113:AWM131141 AMQ131113:AMQ131141 ACU131113:ACU131141 SY131113:SY131141 JC131113:JC131141 G131113:G131141 WVO65577:WVO65605 WLS65577:WLS65605 WBW65577:WBW65605 VSA65577:VSA65605 VIE65577:VIE65605 UYI65577:UYI65605 UOM65577:UOM65605 UEQ65577:UEQ65605 TUU65577:TUU65605 TKY65577:TKY65605 TBC65577:TBC65605 SRG65577:SRG65605 SHK65577:SHK65605 RXO65577:RXO65605 RNS65577:RNS65605 RDW65577:RDW65605 QUA65577:QUA65605 QKE65577:QKE65605 QAI65577:QAI65605 PQM65577:PQM65605 PGQ65577:PGQ65605 OWU65577:OWU65605 OMY65577:OMY65605 ODC65577:ODC65605 NTG65577:NTG65605 NJK65577:NJK65605 MZO65577:MZO65605 MPS65577:MPS65605 MFW65577:MFW65605 LWA65577:LWA65605 LME65577:LME65605 LCI65577:LCI65605 KSM65577:KSM65605 KIQ65577:KIQ65605 JYU65577:JYU65605 JOY65577:JOY65605 JFC65577:JFC65605 IVG65577:IVG65605 ILK65577:ILK65605 IBO65577:IBO65605 HRS65577:HRS65605 HHW65577:HHW65605 GYA65577:GYA65605 GOE65577:GOE65605 GEI65577:GEI65605 FUM65577:FUM65605 FKQ65577:FKQ65605 FAU65577:FAU65605 EQY65577:EQY65605 EHC65577:EHC65605 DXG65577:DXG65605 DNK65577:DNK65605 DDO65577:DDO65605 CTS65577:CTS65605 CJW65577:CJW65605 CAA65577:CAA65605 BQE65577:BQE65605 BGI65577:BGI65605 AWM65577:AWM65605 AMQ65577:AMQ65605 ACU65577:ACU65605 SY65577:SY65605 JC65577:JC65605 G65577:G65605 G44:G69 SY44:SY69 ACU44:ACU69 AMQ44:AMQ69 AWM44:AWM69 BGI44:BGI69 BQE44:BQE69 CAA44:CAA69 CJW44:CJW69 CTS44:CTS69 DDO44:DDO69 DNK44:DNK69 DXG44:DXG69 EHC44:EHC69 EQY44:EQY69 FAU44:FAU69 FKQ44:FKQ69 FUM44:FUM69 GEI44:GEI69 GOE44:GOE69 GYA44:GYA69 HHW44:HHW69 HRS44:HRS69 IBO44:IBO69 ILK44:ILK69 IVG44:IVG69 JFC44:JFC69 JOY44:JOY69 JYU44:JYU69 KIQ44:KIQ69 KSM44:KSM69 LCI44:LCI69 LME44:LME69 LWA44:LWA69 MFW44:MFW69 MPS44:MPS69 MZO44:MZO69 NJK44:NJK69 NTG44:NTG69 ODC44:ODC69 OMY44:OMY69 OWU44:OWU69 PGQ44:PGQ69 PQM44:PQM69 QAI44:QAI69 QKE44:QKE69 QUA44:QUA69 RDW44:RDW69 RNS44:RNS69 RXO44:RXO69 SHK44:SHK69 SRG44:SRG69 TBC44:TBC69 TKY44:TKY69 TUU44:TUU69 UEQ44:UEQ69 UOM44:UOM69 UYI44:UYI69 VIE44:VIE69 VSA44:VSA69 WBW44:WBW69 WLS44:WLS69 WVO44:WVO69 JC44:JC69">
      <formula1>$AL$15:$AL$17</formula1>
    </dataValidation>
    <dataValidation type="list" allowBlank="1" showInputMessage="1" showErrorMessage="1" sqref="G103:G107">
      <formula1>$AO$15:$AO$17</formula1>
    </dataValidation>
    <dataValidation type="list" allowBlank="1" showInputMessage="1" showErrorMessage="1" sqref="F44:F68">
      <formula1>$AK$15:$AK$17</formula1>
    </dataValidation>
  </dataValidations>
  <hyperlinks>
    <hyperlink ref="J42" r:id="rId1"/>
  </hyperlinks>
  <pageMargins left="0.23622047244094491" right="0" top="0.15748031496062992" bottom="0.15748031496062992" header="0.15748031496062992" footer="0.15748031496062992"/>
  <pageSetup scale="34" fitToHeight="5" orientation="portrait" errors="blank" r:id="rId2"/>
  <headerFooter alignWithMargins="0"/>
  <ignoredErrors>
    <ignoredError sqref="M45:N49 J68 M50:N50 M65:N67 M44:N44 P44 P45:P49 P50 M51:N55 P51:P55 P68 P65:P67 M68:N68 M56:N64 P56:P64" unlockedFormula="1"/>
  </ignoredError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Z101"/>
  <sheetViews>
    <sheetView tabSelected="1" workbookViewId="0">
      <selection activeCell="B70" sqref="B70:G70"/>
    </sheetView>
  </sheetViews>
  <sheetFormatPr defaultRowHeight="12.5" x14ac:dyDescent="0.25"/>
  <cols>
    <col min="1" max="2" width="9.7265625" style="258" customWidth="1"/>
    <col min="3" max="3" width="8" style="258" customWidth="1"/>
    <col min="4" max="4" width="24.1796875" style="258" customWidth="1"/>
    <col min="5" max="5" width="14.54296875" style="258" customWidth="1"/>
    <col min="6" max="6" width="9.7265625" style="258" customWidth="1"/>
    <col min="7" max="7" width="23.453125" style="258" customWidth="1"/>
    <col min="8" max="256" width="9.1796875" style="258"/>
    <col min="257" max="258" width="9.7265625" style="258" customWidth="1"/>
    <col min="259" max="259" width="8" style="258" customWidth="1"/>
    <col min="260" max="260" width="24.1796875" style="258" customWidth="1"/>
    <col min="261" max="261" width="14.54296875" style="258" customWidth="1"/>
    <col min="262" max="262" width="9.7265625" style="258" customWidth="1"/>
    <col min="263" max="263" width="23.453125" style="258" customWidth="1"/>
    <col min="264" max="512" width="9.1796875" style="258"/>
    <col min="513" max="514" width="9.7265625" style="258" customWidth="1"/>
    <col min="515" max="515" width="8" style="258" customWidth="1"/>
    <col min="516" max="516" width="24.1796875" style="258" customWidth="1"/>
    <col min="517" max="517" width="14.54296875" style="258" customWidth="1"/>
    <col min="518" max="518" width="9.7265625" style="258" customWidth="1"/>
    <col min="519" max="519" width="23.453125" style="258" customWidth="1"/>
    <col min="520" max="768" width="9.1796875" style="258"/>
    <col min="769" max="770" width="9.7265625" style="258" customWidth="1"/>
    <col min="771" max="771" width="8" style="258" customWidth="1"/>
    <col min="772" max="772" width="24.1796875" style="258" customWidth="1"/>
    <col min="773" max="773" width="14.54296875" style="258" customWidth="1"/>
    <col min="774" max="774" width="9.7265625" style="258" customWidth="1"/>
    <col min="775" max="775" width="23.453125" style="258" customWidth="1"/>
    <col min="776" max="1024" width="9.1796875" style="258"/>
    <col min="1025" max="1026" width="9.7265625" style="258" customWidth="1"/>
    <col min="1027" max="1027" width="8" style="258" customWidth="1"/>
    <col min="1028" max="1028" width="24.1796875" style="258" customWidth="1"/>
    <col min="1029" max="1029" width="14.54296875" style="258" customWidth="1"/>
    <col min="1030" max="1030" width="9.7265625" style="258" customWidth="1"/>
    <col min="1031" max="1031" width="23.453125" style="258" customWidth="1"/>
    <col min="1032" max="1280" width="9.1796875" style="258"/>
    <col min="1281" max="1282" width="9.7265625" style="258" customWidth="1"/>
    <col min="1283" max="1283" width="8" style="258" customWidth="1"/>
    <col min="1284" max="1284" width="24.1796875" style="258" customWidth="1"/>
    <col min="1285" max="1285" width="14.54296875" style="258" customWidth="1"/>
    <col min="1286" max="1286" width="9.7265625" style="258" customWidth="1"/>
    <col min="1287" max="1287" width="23.453125" style="258" customWidth="1"/>
    <col min="1288" max="1536" width="9.1796875" style="258"/>
    <col min="1537" max="1538" width="9.7265625" style="258" customWidth="1"/>
    <col min="1539" max="1539" width="8" style="258" customWidth="1"/>
    <col min="1540" max="1540" width="24.1796875" style="258" customWidth="1"/>
    <col min="1541" max="1541" width="14.54296875" style="258" customWidth="1"/>
    <col min="1542" max="1542" width="9.7265625" style="258" customWidth="1"/>
    <col min="1543" max="1543" width="23.453125" style="258" customWidth="1"/>
    <col min="1544" max="1792" width="9.1796875" style="258"/>
    <col min="1793" max="1794" width="9.7265625" style="258" customWidth="1"/>
    <col min="1795" max="1795" width="8" style="258" customWidth="1"/>
    <col min="1796" max="1796" width="24.1796875" style="258" customWidth="1"/>
    <col min="1797" max="1797" width="14.54296875" style="258" customWidth="1"/>
    <col min="1798" max="1798" width="9.7265625" style="258" customWidth="1"/>
    <col min="1799" max="1799" width="23.453125" style="258" customWidth="1"/>
    <col min="1800" max="2048" width="9.1796875" style="258"/>
    <col min="2049" max="2050" width="9.7265625" style="258" customWidth="1"/>
    <col min="2051" max="2051" width="8" style="258" customWidth="1"/>
    <col min="2052" max="2052" width="24.1796875" style="258" customWidth="1"/>
    <col min="2053" max="2053" width="14.54296875" style="258" customWidth="1"/>
    <col min="2054" max="2054" width="9.7265625" style="258" customWidth="1"/>
    <col min="2055" max="2055" width="23.453125" style="258" customWidth="1"/>
    <col min="2056" max="2304" width="9.1796875" style="258"/>
    <col min="2305" max="2306" width="9.7265625" style="258" customWidth="1"/>
    <col min="2307" max="2307" width="8" style="258" customWidth="1"/>
    <col min="2308" max="2308" width="24.1796875" style="258" customWidth="1"/>
    <col min="2309" max="2309" width="14.54296875" style="258" customWidth="1"/>
    <col min="2310" max="2310" width="9.7265625" style="258" customWidth="1"/>
    <col min="2311" max="2311" width="23.453125" style="258" customWidth="1"/>
    <col min="2312" max="2560" width="9.1796875" style="258"/>
    <col min="2561" max="2562" width="9.7265625" style="258" customWidth="1"/>
    <col min="2563" max="2563" width="8" style="258" customWidth="1"/>
    <col min="2564" max="2564" width="24.1796875" style="258" customWidth="1"/>
    <col min="2565" max="2565" width="14.54296875" style="258" customWidth="1"/>
    <col min="2566" max="2566" width="9.7265625" style="258" customWidth="1"/>
    <col min="2567" max="2567" width="23.453125" style="258" customWidth="1"/>
    <col min="2568" max="2816" width="9.1796875" style="258"/>
    <col min="2817" max="2818" width="9.7265625" style="258" customWidth="1"/>
    <col min="2819" max="2819" width="8" style="258" customWidth="1"/>
    <col min="2820" max="2820" width="24.1796875" style="258" customWidth="1"/>
    <col min="2821" max="2821" width="14.54296875" style="258" customWidth="1"/>
    <col min="2822" max="2822" width="9.7265625" style="258" customWidth="1"/>
    <col min="2823" max="2823" width="23.453125" style="258" customWidth="1"/>
    <col min="2824" max="3072" width="9.1796875" style="258"/>
    <col min="3073" max="3074" width="9.7265625" style="258" customWidth="1"/>
    <col min="3075" max="3075" width="8" style="258" customWidth="1"/>
    <col min="3076" max="3076" width="24.1796875" style="258" customWidth="1"/>
    <col min="3077" max="3077" width="14.54296875" style="258" customWidth="1"/>
    <col min="3078" max="3078" width="9.7265625" style="258" customWidth="1"/>
    <col min="3079" max="3079" width="23.453125" style="258" customWidth="1"/>
    <col min="3080" max="3328" width="9.1796875" style="258"/>
    <col min="3329" max="3330" width="9.7265625" style="258" customWidth="1"/>
    <col min="3331" max="3331" width="8" style="258" customWidth="1"/>
    <col min="3332" max="3332" width="24.1796875" style="258" customWidth="1"/>
    <col min="3333" max="3333" width="14.54296875" style="258" customWidth="1"/>
    <col min="3334" max="3334" width="9.7265625" style="258" customWidth="1"/>
    <col min="3335" max="3335" width="23.453125" style="258" customWidth="1"/>
    <col min="3336" max="3584" width="9.1796875" style="258"/>
    <col min="3585" max="3586" width="9.7265625" style="258" customWidth="1"/>
    <col min="3587" max="3587" width="8" style="258" customWidth="1"/>
    <col min="3588" max="3588" width="24.1796875" style="258" customWidth="1"/>
    <col min="3589" max="3589" width="14.54296875" style="258" customWidth="1"/>
    <col min="3590" max="3590" width="9.7265625" style="258" customWidth="1"/>
    <col min="3591" max="3591" width="23.453125" style="258" customWidth="1"/>
    <col min="3592" max="3840" width="9.1796875" style="258"/>
    <col min="3841" max="3842" width="9.7265625" style="258" customWidth="1"/>
    <col min="3843" max="3843" width="8" style="258" customWidth="1"/>
    <col min="3844" max="3844" width="24.1796875" style="258" customWidth="1"/>
    <col min="3845" max="3845" width="14.54296875" style="258" customWidth="1"/>
    <col min="3846" max="3846" width="9.7265625" style="258" customWidth="1"/>
    <col min="3847" max="3847" width="23.453125" style="258" customWidth="1"/>
    <col min="3848" max="4096" width="9.1796875" style="258"/>
    <col min="4097" max="4098" width="9.7265625" style="258" customWidth="1"/>
    <col min="4099" max="4099" width="8" style="258" customWidth="1"/>
    <col min="4100" max="4100" width="24.1796875" style="258" customWidth="1"/>
    <col min="4101" max="4101" width="14.54296875" style="258" customWidth="1"/>
    <col min="4102" max="4102" width="9.7265625" style="258" customWidth="1"/>
    <col min="4103" max="4103" width="23.453125" style="258" customWidth="1"/>
    <col min="4104" max="4352" width="9.1796875" style="258"/>
    <col min="4353" max="4354" width="9.7265625" style="258" customWidth="1"/>
    <col min="4355" max="4355" width="8" style="258" customWidth="1"/>
    <col min="4356" max="4356" width="24.1796875" style="258" customWidth="1"/>
    <col min="4357" max="4357" width="14.54296875" style="258" customWidth="1"/>
    <col min="4358" max="4358" width="9.7265625" style="258" customWidth="1"/>
    <col min="4359" max="4359" width="23.453125" style="258" customWidth="1"/>
    <col min="4360" max="4608" width="9.1796875" style="258"/>
    <col min="4609" max="4610" width="9.7265625" style="258" customWidth="1"/>
    <col min="4611" max="4611" width="8" style="258" customWidth="1"/>
    <col min="4612" max="4612" width="24.1796875" style="258" customWidth="1"/>
    <col min="4613" max="4613" width="14.54296875" style="258" customWidth="1"/>
    <col min="4614" max="4614" width="9.7265625" style="258" customWidth="1"/>
    <col min="4615" max="4615" width="23.453125" style="258" customWidth="1"/>
    <col min="4616" max="4864" width="9.1796875" style="258"/>
    <col min="4865" max="4866" width="9.7265625" style="258" customWidth="1"/>
    <col min="4867" max="4867" width="8" style="258" customWidth="1"/>
    <col min="4868" max="4868" width="24.1796875" style="258" customWidth="1"/>
    <col min="4869" max="4869" width="14.54296875" style="258" customWidth="1"/>
    <col min="4870" max="4870" width="9.7265625" style="258" customWidth="1"/>
    <col min="4871" max="4871" width="23.453125" style="258" customWidth="1"/>
    <col min="4872" max="5120" width="9.1796875" style="258"/>
    <col min="5121" max="5122" width="9.7265625" style="258" customWidth="1"/>
    <col min="5123" max="5123" width="8" style="258" customWidth="1"/>
    <col min="5124" max="5124" width="24.1796875" style="258" customWidth="1"/>
    <col min="5125" max="5125" width="14.54296875" style="258" customWidth="1"/>
    <col min="5126" max="5126" width="9.7265625" style="258" customWidth="1"/>
    <col min="5127" max="5127" width="23.453125" style="258" customWidth="1"/>
    <col min="5128" max="5376" width="9.1796875" style="258"/>
    <col min="5377" max="5378" width="9.7265625" style="258" customWidth="1"/>
    <col min="5379" max="5379" width="8" style="258" customWidth="1"/>
    <col min="5380" max="5380" width="24.1796875" style="258" customWidth="1"/>
    <col min="5381" max="5381" width="14.54296875" style="258" customWidth="1"/>
    <col min="5382" max="5382" width="9.7265625" style="258" customWidth="1"/>
    <col min="5383" max="5383" width="23.453125" style="258" customWidth="1"/>
    <col min="5384" max="5632" width="9.1796875" style="258"/>
    <col min="5633" max="5634" width="9.7265625" style="258" customWidth="1"/>
    <col min="5635" max="5635" width="8" style="258" customWidth="1"/>
    <col min="5636" max="5636" width="24.1796875" style="258" customWidth="1"/>
    <col min="5637" max="5637" width="14.54296875" style="258" customWidth="1"/>
    <col min="5638" max="5638" width="9.7265625" style="258" customWidth="1"/>
    <col min="5639" max="5639" width="23.453125" style="258" customWidth="1"/>
    <col min="5640" max="5888" width="9.1796875" style="258"/>
    <col min="5889" max="5890" width="9.7265625" style="258" customWidth="1"/>
    <col min="5891" max="5891" width="8" style="258" customWidth="1"/>
    <col min="5892" max="5892" width="24.1796875" style="258" customWidth="1"/>
    <col min="5893" max="5893" width="14.54296875" style="258" customWidth="1"/>
    <col min="5894" max="5894" width="9.7265625" style="258" customWidth="1"/>
    <col min="5895" max="5895" width="23.453125" style="258" customWidth="1"/>
    <col min="5896" max="6144" width="9.1796875" style="258"/>
    <col min="6145" max="6146" width="9.7265625" style="258" customWidth="1"/>
    <col min="6147" max="6147" width="8" style="258" customWidth="1"/>
    <col min="6148" max="6148" width="24.1796875" style="258" customWidth="1"/>
    <col min="6149" max="6149" width="14.54296875" style="258" customWidth="1"/>
    <col min="6150" max="6150" width="9.7265625" style="258" customWidth="1"/>
    <col min="6151" max="6151" width="23.453125" style="258" customWidth="1"/>
    <col min="6152" max="6400" width="9.1796875" style="258"/>
    <col min="6401" max="6402" width="9.7265625" style="258" customWidth="1"/>
    <col min="6403" max="6403" width="8" style="258" customWidth="1"/>
    <col min="6404" max="6404" width="24.1796875" style="258" customWidth="1"/>
    <col min="6405" max="6405" width="14.54296875" style="258" customWidth="1"/>
    <col min="6406" max="6406" width="9.7265625" style="258" customWidth="1"/>
    <col min="6407" max="6407" width="23.453125" style="258" customWidth="1"/>
    <col min="6408" max="6656" width="9.1796875" style="258"/>
    <col min="6657" max="6658" width="9.7265625" style="258" customWidth="1"/>
    <col min="6659" max="6659" width="8" style="258" customWidth="1"/>
    <col min="6660" max="6660" width="24.1796875" style="258" customWidth="1"/>
    <col min="6661" max="6661" width="14.54296875" style="258" customWidth="1"/>
    <col min="6662" max="6662" width="9.7265625" style="258" customWidth="1"/>
    <col min="6663" max="6663" width="23.453125" style="258" customWidth="1"/>
    <col min="6664" max="6912" width="9.1796875" style="258"/>
    <col min="6913" max="6914" width="9.7265625" style="258" customWidth="1"/>
    <col min="6915" max="6915" width="8" style="258" customWidth="1"/>
    <col min="6916" max="6916" width="24.1796875" style="258" customWidth="1"/>
    <col min="6917" max="6917" width="14.54296875" style="258" customWidth="1"/>
    <col min="6918" max="6918" width="9.7265625" style="258" customWidth="1"/>
    <col min="6919" max="6919" width="23.453125" style="258" customWidth="1"/>
    <col min="6920" max="7168" width="9.1796875" style="258"/>
    <col min="7169" max="7170" width="9.7265625" style="258" customWidth="1"/>
    <col min="7171" max="7171" width="8" style="258" customWidth="1"/>
    <col min="7172" max="7172" width="24.1796875" style="258" customWidth="1"/>
    <col min="7173" max="7173" width="14.54296875" style="258" customWidth="1"/>
    <col min="7174" max="7174" width="9.7265625" style="258" customWidth="1"/>
    <col min="7175" max="7175" width="23.453125" style="258" customWidth="1"/>
    <col min="7176" max="7424" width="9.1796875" style="258"/>
    <col min="7425" max="7426" width="9.7265625" style="258" customWidth="1"/>
    <col min="7427" max="7427" width="8" style="258" customWidth="1"/>
    <col min="7428" max="7428" width="24.1796875" style="258" customWidth="1"/>
    <col min="7429" max="7429" width="14.54296875" style="258" customWidth="1"/>
    <col min="7430" max="7430" width="9.7265625" style="258" customWidth="1"/>
    <col min="7431" max="7431" width="23.453125" style="258" customWidth="1"/>
    <col min="7432" max="7680" width="9.1796875" style="258"/>
    <col min="7681" max="7682" width="9.7265625" style="258" customWidth="1"/>
    <col min="7683" max="7683" width="8" style="258" customWidth="1"/>
    <col min="7684" max="7684" width="24.1796875" style="258" customWidth="1"/>
    <col min="7685" max="7685" width="14.54296875" style="258" customWidth="1"/>
    <col min="7686" max="7686" width="9.7265625" style="258" customWidth="1"/>
    <col min="7687" max="7687" width="23.453125" style="258" customWidth="1"/>
    <col min="7688" max="7936" width="9.1796875" style="258"/>
    <col min="7937" max="7938" width="9.7265625" style="258" customWidth="1"/>
    <col min="7939" max="7939" width="8" style="258" customWidth="1"/>
    <col min="7940" max="7940" width="24.1796875" style="258" customWidth="1"/>
    <col min="7941" max="7941" width="14.54296875" style="258" customWidth="1"/>
    <col min="7942" max="7942" width="9.7265625" style="258" customWidth="1"/>
    <col min="7943" max="7943" width="23.453125" style="258" customWidth="1"/>
    <col min="7944" max="8192" width="9.1796875" style="258"/>
    <col min="8193" max="8194" width="9.7265625" style="258" customWidth="1"/>
    <col min="8195" max="8195" width="8" style="258" customWidth="1"/>
    <col min="8196" max="8196" width="24.1796875" style="258" customWidth="1"/>
    <col min="8197" max="8197" width="14.54296875" style="258" customWidth="1"/>
    <col min="8198" max="8198" width="9.7265625" style="258" customWidth="1"/>
    <col min="8199" max="8199" width="23.453125" style="258" customWidth="1"/>
    <col min="8200" max="8448" width="9.1796875" style="258"/>
    <col min="8449" max="8450" width="9.7265625" style="258" customWidth="1"/>
    <col min="8451" max="8451" width="8" style="258" customWidth="1"/>
    <col min="8452" max="8452" width="24.1796875" style="258" customWidth="1"/>
    <col min="8453" max="8453" width="14.54296875" style="258" customWidth="1"/>
    <col min="8454" max="8454" width="9.7265625" style="258" customWidth="1"/>
    <col min="8455" max="8455" width="23.453125" style="258" customWidth="1"/>
    <col min="8456" max="8704" width="9.1796875" style="258"/>
    <col min="8705" max="8706" width="9.7265625" style="258" customWidth="1"/>
    <col min="8707" max="8707" width="8" style="258" customWidth="1"/>
    <col min="8708" max="8708" width="24.1796875" style="258" customWidth="1"/>
    <col min="8709" max="8709" width="14.54296875" style="258" customWidth="1"/>
    <col min="8710" max="8710" width="9.7265625" style="258" customWidth="1"/>
    <col min="8711" max="8711" width="23.453125" style="258" customWidth="1"/>
    <col min="8712" max="8960" width="9.1796875" style="258"/>
    <col min="8961" max="8962" width="9.7265625" style="258" customWidth="1"/>
    <col min="8963" max="8963" width="8" style="258" customWidth="1"/>
    <col min="8964" max="8964" width="24.1796875" style="258" customWidth="1"/>
    <col min="8965" max="8965" width="14.54296875" style="258" customWidth="1"/>
    <col min="8966" max="8966" width="9.7265625" style="258" customWidth="1"/>
    <col min="8967" max="8967" width="23.453125" style="258" customWidth="1"/>
    <col min="8968" max="9216" width="9.1796875" style="258"/>
    <col min="9217" max="9218" width="9.7265625" style="258" customWidth="1"/>
    <col min="9219" max="9219" width="8" style="258" customWidth="1"/>
    <col min="9220" max="9220" width="24.1796875" style="258" customWidth="1"/>
    <col min="9221" max="9221" width="14.54296875" style="258" customWidth="1"/>
    <col min="9222" max="9222" width="9.7265625" style="258" customWidth="1"/>
    <col min="9223" max="9223" width="23.453125" style="258" customWidth="1"/>
    <col min="9224" max="9472" width="9.1796875" style="258"/>
    <col min="9473" max="9474" width="9.7265625" style="258" customWidth="1"/>
    <col min="9475" max="9475" width="8" style="258" customWidth="1"/>
    <col min="9476" max="9476" width="24.1796875" style="258" customWidth="1"/>
    <col min="9477" max="9477" width="14.54296875" style="258" customWidth="1"/>
    <col min="9478" max="9478" width="9.7265625" style="258" customWidth="1"/>
    <col min="9479" max="9479" width="23.453125" style="258" customWidth="1"/>
    <col min="9480" max="9728" width="9.1796875" style="258"/>
    <col min="9729" max="9730" width="9.7265625" style="258" customWidth="1"/>
    <col min="9731" max="9731" width="8" style="258" customWidth="1"/>
    <col min="9732" max="9732" width="24.1796875" style="258" customWidth="1"/>
    <col min="9733" max="9733" width="14.54296875" style="258" customWidth="1"/>
    <col min="9734" max="9734" width="9.7265625" style="258" customWidth="1"/>
    <col min="9735" max="9735" width="23.453125" style="258" customWidth="1"/>
    <col min="9736" max="9984" width="9.1796875" style="258"/>
    <col min="9985" max="9986" width="9.7265625" style="258" customWidth="1"/>
    <col min="9987" max="9987" width="8" style="258" customWidth="1"/>
    <col min="9988" max="9988" width="24.1796875" style="258" customWidth="1"/>
    <col min="9989" max="9989" width="14.54296875" style="258" customWidth="1"/>
    <col min="9990" max="9990" width="9.7265625" style="258" customWidth="1"/>
    <col min="9991" max="9991" width="23.453125" style="258" customWidth="1"/>
    <col min="9992" max="10240" width="9.1796875" style="258"/>
    <col min="10241" max="10242" width="9.7265625" style="258" customWidth="1"/>
    <col min="10243" max="10243" width="8" style="258" customWidth="1"/>
    <col min="10244" max="10244" width="24.1796875" style="258" customWidth="1"/>
    <col min="10245" max="10245" width="14.54296875" style="258" customWidth="1"/>
    <col min="10246" max="10246" width="9.7265625" style="258" customWidth="1"/>
    <col min="10247" max="10247" width="23.453125" style="258" customWidth="1"/>
    <col min="10248" max="10496" width="9.1796875" style="258"/>
    <col min="10497" max="10498" width="9.7265625" style="258" customWidth="1"/>
    <col min="10499" max="10499" width="8" style="258" customWidth="1"/>
    <col min="10500" max="10500" width="24.1796875" style="258" customWidth="1"/>
    <col min="10501" max="10501" width="14.54296875" style="258" customWidth="1"/>
    <col min="10502" max="10502" width="9.7265625" style="258" customWidth="1"/>
    <col min="10503" max="10503" width="23.453125" style="258" customWidth="1"/>
    <col min="10504" max="10752" width="9.1796875" style="258"/>
    <col min="10753" max="10754" width="9.7265625" style="258" customWidth="1"/>
    <col min="10755" max="10755" width="8" style="258" customWidth="1"/>
    <col min="10756" max="10756" width="24.1796875" style="258" customWidth="1"/>
    <col min="10757" max="10757" width="14.54296875" style="258" customWidth="1"/>
    <col min="10758" max="10758" width="9.7265625" style="258" customWidth="1"/>
    <col min="10759" max="10759" width="23.453125" style="258" customWidth="1"/>
    <col min="10760" max="11008" width="9.1796875" style="258"/>
    <col min="11009" max="11010" width="9.7265625" style="258" customWidth="1"/>
    <col min="11011" max="11011" width="8" style="258" customWidth="1"/>
    <col min="11012" max="11012" width="24.1796875" style="258" customWidth="1"/>
    <col min="11013" max="11013" width="14.54296875" style="258" customWidth="1"/>
    <col min="11014" max="11014" width="9.7265625" style="258" customWidth="1"/>
    <col min="11015" max="11015" width="23.453125" style="258" customWidth="1"/>
    <col min="11016" max="11264" width="9.1796875" style="258"/>
    <col min="11265" max="11266" width="9.7265625" style="258" customWidth="1"/>
    <col min="11267" max="11267" width="8" style="258" customWidth="1"/>
    <col min="11268" max="11268" width="24.1796875" style="258" customWidth="1"/>
    <col min="11269" max="11269" width="14.54296875" style="258" customWidth="1"/>
    <col min="11270" max="11270" width="9.7265625" style="258" customWidth="1"/>
    <col min="11271" max="11271" width="23.453125" style="258" customWidth="1"/>
    <col min="11272" max="11520" width="9.1796875" style="258"/>
    <col min="11521" max="11522" width="9.7265625" style="258" customWidth="1"/>
    <col min="11523" max="11523" width="8" style="258" customWidth="1"/>
    <col min="11524" max="11524" width="24.1796875" style="258" customWidth="1"/>
    <col min="11525" max="11525" width="14.54296875" style="258" customWidth="1"/>
    <col min="11526" max="11526" width="9.7265625" style="258" customWidth="1"/>
    <col min="11527" max="11527" width="23.453125" style="258" customWidth="1"/>
    <col min="11528" max="11776" width="9.1796875" style="258"/>
    <col min="11777" max="11778" width="9.7265625" style="258" customWidth="1"/>
    <col min="11779" max="11779" width="8" style="258" customWidth="1"/>
    <col min="11780" max="11780" width="24.1796875" style="258" customWidth="1"/>
    <col min="11781" max="11781" width="14.54296875" style="258" customWidth="1"/>
    <col min="11782" max="11782" width="9.7265625" style="258" customWidth="1"/>
    <col min="11783" max="11783" width="23.453125" style="258" customWidth="1"/>
    <col min="11784" max="12032" width="9.1796875" style="258"/>
    <col min="12033" max="12034" width="9.7265625" style="258" customWidth="1"/>
    <col min="12035" max="12035" width="8" style="258" customWidth="1"/>
    <col min="12036" max="12036" width="24.1796875" style="258" customWidth="1"/>
    <col min="12037" max="12037" width="14.54296875" style="258" customWidth="1"/>
    <col min="12038" max="12038" width="9.7265625" style="258" customWidth="1"/>
    <col min="12039" max="12039" width="23.453125" style="258" customWidth="1"/>
    <col min="12040" max="12288" width="9.1796875" style="258"/>
    <col min="12289" max="12290" width="9.7265625" style="258" customWidth="1"/>
    <col min="12291" max="12291" width="8" style="258" customWidth="1"/>
    <col min="12292" max="12292" width="24.1796875" style="258" customWidth="1"/>
    <col min="12293" max="12293" width="14.54296875" style="258" customWidth="1"/>
    <col min="12294" max="12294" width="9.7265625" style="258" customWidth="1"/>
    <col min="12295" max="12295" width="23.453125" style="258" customWidth="1"/>
    <col min="12296" max="12544" width="9.1796875" style="258"/>
    <col min="12545" max="12546" width="9.7265625" style="258" customWidth="1"/>
    <col min="12547" max="12547" width="8" style="258" customWidth="1"/>
    <col min="12548" max="12548" width="24.1796875" style="258" customWidth="1"/>
    <col min="12549" max="12549" width="14.54296875" style="258" customWidth="1"/>
    <col min="12550" max="12550" width="9.7265625" style="258" customWidth="1"/>
    <col min="12551" max="12551" width="23.453125" style="258" customWidth="1"/>
    <col min="12552" max="12800" width="9.1796875" style="258"/>
    <col min="12801" max="12802" width="9.7265625" style="258" customWidth="1"/>
    <col min="12803" max="12803" width="8" style="258" customWidth="1"/>
    <col min="12804" max="12804" width="24.1796875" style="258" customWidth="1"/>
    <col min="12805" max="12805" width="14.54296875" style="258" customWidth="1"/>
    <col min="12806" max="12806" width="9.7265625" style="258" customWidth="1"/>
    <col min="12807" max="12807" width="23.453125" style="258" customWidth="1"/>
    <col min="12808" max="13056" width="9.1796875" style="258"/>
    <col min="13057" max="13058" width="9.7265625" style="258" customWidth="1"/>
    <col min="13059" max="13059" width="8" style="258" customWidth="1"/>
    <col min="13060" max="13060" width="24.1796875" style="258" customWidth="1"/>
    <col min="13061" max="13061" width="14.54296875" style="258" customWidth="1"/>
    <col min="13062" max="13062" width="9.7265625" style="258" customWidth="1"/>
    <col min="13063" max="13063" width="23.453125" style="258" customWidth="1"/>
    <col min="13064" max="13312" width="9.1796875" style="258"/>
    <col min="13313" max="13314" width="9.7265625" style="258" customWidth="1"/>
    <col min="13315" max="13315" width="8" style="258" customWidth="1"/>
    <col min="13316" max="13316" width="24.1796875" style="258" customWidth="1"/>
    <col min="13317" max="13317" width="14.54296875" style="258" customWidth="1"/>
    <col min="13318" max="13318" width="9.7265625" style="258" customWidth="1"/>
    <col min="13319" max="13319" width="23.453125" style="258" customWidth="1"/>
    <col min="13320" max="13568" width="9.1796875" style="258"/>
    <col min="13569" max="13570" width="9.7265625" style="258" customWidth="1"/>
    <col min="13571" max="13571" width="8" style="258" customWidth="1"/>
    <col min="13572" max="13572" width="24.1796875" style="258" customWidth="1"/>
    <col min="13573" max="13573" width="14.54296875" style="258" customWidth="1"/>
    <col min="13574" max="13574" width="9.7265625" style="258" customWidth="1"/>
    <col min="13575" max="13575" width="23.453125" style="258" customWidth="1"/>
    <col min="13576" max="13824" width="9.1796875" style="258"/>
    <col min="13825" max="13826" width="9.7265625" style="258" customWidth="1"/>
    <col min="13827" max="13827" width="8" style="258" customWidth="1"/>
    <col min="13828" max="13828" width="24.1796875" style="258" customWidth="1"/>
    <col min="13829" max="13829" width="14.54296875" style="258" customWidth="1"/>
    <col min="13830" max="13830" width="9.7265625" style="258" customWidth="1"/>
    <col min="13831" max="13831" width="23.453125" style="258" customWidth="1"/>
    <col min="13832" max="14080" width="9.1796875" style="258"/>
    <col min="14081" max="14082" width="9.7265625" style="258" customWidth="1"/>
    <col min="14083" max="14083" width="8" style="258" customWidth="1"/>
    <col min="14084" max="14084" width="24.1796875" style="258" customWidth="1"/>
    <col min="14085" max="14085" width="14.54296875" style="258" customWidth="1"/>
    <col min="14086" max="14086" width="9.7265625" style="258" customWidth="1"/>
    <col min="14087" max="14087" width="23.453125" style="258" customWidth="1"/>
    <col min="14088" max="14336" width="9.1796875" style="258"/>
    <col min="14337" max="14338" width="9.7265625" style="258" customWidth="1"/>
    <col min="14339" max="14339" width="8" style="258" customWidth="1"/>
    <col min="14340" max="14340" width="24.1796875" style="258" customWidth="1"/>
    <col min="14341" max="14341" width="14.54296875" style="258" customWidth="1"/>
    <col min="14342" max="14342" width="9.7265625" style="258" customWidth="1"/>
    <col min="14343" max="14343" width="23.453125" style="258" customWidth="1"/>
    <col min="14344" max="14592" width="9.1796875" style="258"/>
    <col min="14593" max="14594" width="9.7265625" style="258" customWidth="1"/>
    <col min="14595" max="14595" width="8" style="258" customWidth="1"/>
    <col min="14596" max="14596" width="24.1796875" style="258" customWidth="1"/>
    <col min="14597" max="14597" width="14.54296875" style="258" customWidth="1"/>
    <col min="14598" max="14598" width="9.7265625" style="258" customWidth="1"/>
    <col min="14599" max="14599" width="23.453125" style="258" customWidth="1"/>
    <col min="14600" max="14848" width="9.1796875" style="258"/>
    <col min="14849" max="14850" width="9.7265625" style="258" customWidth="1"/>
    <col min="14851" max="14851" width="8" style="258" customWidth="1"/>
    <col min="14852" max="14852" width="24.1796875" style="258" customWidth="1"/>
    <col min="14853" max="14853" width="14.54296875" style="258" customWidth="1"/>
    <col min="14854" max="14854" width="9.7265625" style="258" customWidth="1"/>
    <col min="14855" max="14855" width="23.453125" style="258" customWidth="1"/>
    <col min="14856" max="15104" width="9.1796875" style="258"/>
    <col min="15105" max="15106" width="9.7265625" style="258" customWidth="1"/>
    <col min="15107" max="15107" width="8" style="258" customWidth="1"/>
    <col min="15108" max="15108" width="24.1796875" style="258" customWidth="1"/>
    <col min="15109" max="15109" width="14.54296875" style="258" customWidth="1"/>
    <col min="15110" max="15110" width="9.7265625" style="258" customWidth="1"/>
    <col min="15111" max="15111" width="23.453125" style="258" customWidth="1"/>
    <col min="15112" max="15360" width="9.1796875" style="258"/>
    <col min="15361" max="15362" width="9.7265625" style="258" customWidth="1"/>
    <col min="15363" max="15363" width="8" style="258" customWidth="1"/>
    <col min="15364" max="15364" width="24.1796875" style="258" customWidth="1"/>
    <col min="15365" max="15365" width="14.54296875" style="258" customWidth="1"/>
    <col min="15366" max="15366" width="9.7265625" style="258" customWidth="1"/>
    <col min="15367" max="15367" width="23.453125" style="258" customWidth="1"/>
    <col min="15368" max="15616" width="9.1796875" style="258"/>
    <col min="15617" max="15618" width="9.7265625" style="258" customWidth="1"/>
    <col min="15619" max="15619" width="8" style="258" customWidth="1"/>
    <col min="15620" max="15620" width="24.1796875" style="258" customWidth="1"/>
    <col min="15621" max="15621" width="14.54296875" style="258" customWidth="1"/>
    <col min="15622" max="15622" width="9.7265625" style="258" customWidth="1"/>
    <col min="15623" max="15623" width="23.453125" style="258" customWidth="1"/>
    <col min="15624" max="15872" width="9.1796875" style="258"/>
    <col min="15873" max="15874" width="9.7265625" style="258" customWidth="1"/>
    <col min="15875" max="15875" width="8" style="258" customWidth="1"/>
    <col min="15876" max="15876" width="24.1796875" style="258" customWidth="1"/>
    <col min="15877" max="15877" width="14.54296875" style="258" customWidth="1"/>
    <col min="15878" max="15878" width="9.7265625" style="258" customWidth="1"/>
    <col min="15879" max="15879" width="23.453125" style="258" customWidth="1"/>
    <col min="15880" max="16128" width="9.1796875" style="258"/>
    <col min="16129" max="16130" width="9.7265625" style="258" customWidth="1"/>
    <col min="16131" max="16131" width="8" style="258" customWidth="1"/>
    <col min="16132" max="16132" width="24.1796875" style="258" customWidth="1"/>
    <col min="16133" max="16133" width="14.54296875" style="258" customWidth="1"/>
    <col min="16134" max="16134" width="9.7265625" style="258" customWidth="1"/>
    <col min="16135" max="16135" width="23.453125" style="258" customWidth="1"/>
    <col min="16136" max="16384" width="9.1796875" style="258"/>
  </cols>
  <sheetData>
    <row r="1" spans="1:7" ht="20" x14ac:dyDescent="0.4">
      <c r="A1" s="619" t="s">
        <v>199</v>
      </c>
      <c r="B1" s="619"/>
      <c r="C1" s="619"/>
      <c r="D1" s="254"/>
      <c r="E1" s="255"/>
      <c r="F1" s="391" t="s">
        <v>434</v>
      </c>
      <c r="G1" s="257"/>
    </row>
    <row r="2" spans="1:7" ht="13" x14ac:dyDescent="0.3">
      <c r="A2" s="546" t="s">
        <v>58</v>
      </c>
      <c r="B2" s="546"/>
      <c r="C2" s="546"/>
      <c r="D2" s="259"/>
      <c r="F2" s="391" t="s">
        <v>435</v>
      </c>
      <c r="G2" s="257"/>
    </row>
    <row r="3" spans="1:7" ht="18" x14ac:dyDescent="0.4">
      <c r="A3" s="390" t="s">
        <v>433</v>
      </c>
      <c r="B3" s="261"/>
      <c r="C3" s="261"/>
      <c r="D3" s="261"/>
      <c r="E3" s="262"/>
      <c r="F3" s="260" t="s">
        <v>200</v>
      </c>
      <c r="G3" s="263"/>
    </row>
    <row r="4" spans="1:7" ht="18" x14ac:dyDescent="0.4">
      <c r="A4" s="264"/>
      <c r="B4" s="264"/>
      <c r="C4" s="264"/>
      <c r="D4" s="264"/>
      <c r="E4" s="255"/>
      <c r="F4" s="256"/>
      <c r="G4" s="265"/>
    </row>
    <row r="5" spans="1:7" ht="15.5" x14ac:dyDescent="0.35">
      <c r="A5" s="620" t="s">
        <v>201</v>
      </c>
      <c r="B5" s="620"/>
      <c r="C5" s="620"/>
      <c r="D5" s="620"/>
      <c r="E5" s="620"/>
      <c r="F5" s="620"/>
      <c r="G5" s="620"/>
    </row>
    <row r="6" spans="1:7" ht="18" x14ac:dyDescent="0.4">
      <c r="A6" s="261"/>
      <c r="B6" s="261"/>
      <c r="C6" s="261"/>
      <c r="D6" s="261"/>
      <c r="E6" s="262"/>
      <c r="F6" s="260"/>
      <c r="G6" s="263"/>
    </row>
    <row r="7" spans="1:7" ht="13" x14ac:dyDescent="0.3">
      <c r="A7" s="266" t="s">
        <v>202</v>
      </c>
      <c r="B7" s="547">
        <f>'Repair Assessment Sheet'!Q13</f>
        <v>0</v>
      </c>
      <c r="C7" s="548"/>
      <c r="D7" s="267" t="s">
        <v>203</v>
      </c>
      <c r="E7" s="376" t="s">
        <v>424</v>
      </c>
      <c r="F7" s="269" t="s">
        <v>204</v>
      </c>
      <c r="G7" s="270">
        <f>'Repair Assessment Sheet'!R10</f>
        <v>0</v>
      </c>
    </row>
    <row r="8" spans="1:7" ht="13" x14ac:dyDescent="0.3">
      <c r="A8" s="271" t="s">
        <v>205</v>
      </c>
      <c r="B8" s="621">
        <f>'Repair Assessment Sheet'!E17</f>
        <v>0</v>
      </c>
      <c r="C8" s="622"/>
      <c r="D8" s="272" t="s">
        <v>206</v>
      </c>
      <c r="E8" s="273">
        <f>'Repair Assessment Sheet'!E18:G18</f>
        <v>0</v>
      </c>
      <c r="F8" s="274" t="s">
        <v>83</v>
      </c>
      <c r="G8" s="275">
        <f>'Repair Assessment Sheet'!H18</f>
        <v>0</v>
      </c>
    </row>
    <row r="9" spans="1:7" ht="13" x14ac:dyDescent="0.3">
      <c r="A9" s="602"/>
      <c r="B9" s="623"/>
      <c r="C9" s="623"/>
      <c r="D9" s="623"/>
      <c r="E9" s="623"/>
      <c r="F9" s="623"/>
      <c r="G9" s="588"/>
    </row>
    <row r="10" spans="1:7" ht="13" x14ac:dyDescent="0.3">
      <c r="A10" s="271" t="s">
        <v>207</v>
      </c>
      <c r="B10" s="624">
        <f>'Repair Assessment Sheet'!D13</f>
        <v>0</v>
      </c>
      <c r="C10" s="624"/>
      <c r="D10" s="624"/>
      <c r="E10" s="624"/>
      <c r="F10" s="624"/>
      <c r="G10" s="624"/>
    </row>
    <row r="11" spans="1:7" x14ac:dyDescent="0.25">
      <c r="A11" s="625" t="s">
        <v>208</v>
      </c>
      <c r="B11" s="626"/>
      <c r="C11" s="627"/>
      <c r="D11" s="627"/>
      <c r="E11" s="627"/>
      <c r="F11" s="627"/>
      <c r="G11" s="628"/>
    </row>
    <row r="12" spans="1:7" x14ac:dyDescent="0.25">
      <c r="A12" s="625"/>
      <c r="B12" s="629"/>
      <c r="C12" s="630"/>
      <c r="D12" s="630"/>
      <c r="E12" s="630"/>
      <c r="F12" s="630"/>
      <c r="G12" s="631"/>
    </row>
    <row r="13" spans="1:7" ht="13" x14ac:dyDescent="0.3">
      <c r="A13" s="267"/>
      <c r="B13" s="276"/>
      <c r="C13" s="588" t="s">
        <v>209</v>
      </c>
      <c r="D13" s="602"/>
      <c r="E13" s="276"/>
      <c r="F13" s="593" t="s">
        <v>210</v>
      </c>
      <c r="G13" s="594"/>
    </row>
    <row r="14" spans="1:7" x14ac:dyDescent="0.25">
      <c r="A14" s="603" t="s">
        <v>211</v>
      </c>
      <c r="B14" s="606"/>
      <c r="C14" s="617">
        <f>'Repair Assessment Sheet'!E22</f>
        <v>0</v>
      </c>
      <c r="D14" s="614"/>
      <c r="E14" s="277"/>
      <c r="F14" s="617">
        <f>C14</f>
        <v>0</v>
      </c>
      <c r="G14" s="618"/>
    </row>
    <row r="15" spans="1:7" x14ac:dyDescent="0.25">
      <c r="A15" s="603" t="s">
        <v>212</v>
      </c>
      <c r="B15" s="606"/>
      <c r="C15" s="613">
        <f>'Repair Assessment Sheet'!H24</f>
        <v>0</v>
      </c>
      <c r="D15" s="614"/>
      <c r="E15" s="277"/>
      <c r="F15" s="615">
        <f>C15</f>
        <v>0</v>
      </c>
      <c r="G15" s="614"/>
    </row>
    <row r="16" spans="1:7" x14ac:dyDescent="0.25">
      <c r="A16" s="603" t="s">
        <v>213</v>
      </c>
      <c r="B16" s="606"/>
      <c r="C16" s="613">
        <f>'Repair Assessment Sheet'!H25</f>
        <v>0</v>
      </c>
      <c r="D16" s="614"/>
      <c r="E16" s="277"/>
      <c r="F16" s="615">
        <f>C16</f>
        <v>0</v>
      </c>
      <c r="G16" s="614"/>
    </row>
    <row r="17" spans="1:7" x14ac:dyDescent="0.25">
      <c r="A17" s="586"/>
      <c r="B17" s="586"/>
      <c r="C17" s="586"/>
      <c r="D17" s="586"/>
      <c r="E17" s="586"/>
      <c r="F17" s="586"/>
      <c r="G17" s="586"/>
    </row>
    <row r="18" spans="1:7" ht="13" x14ac:dyDescent="0.3">
      <c r="A18" s="588" t="s">
        <v>214</v>
      </c>
      <c r="B18" s="551"/>
      <c r="C18" s="278"/>
      <c r="D18" s="278"/>
      <c r="E18" s="279" t="s">
        <v>215</v>
      </c>
      <c r="F18" s="551" t="s">
        <v>423</v>
      </c>
      <c r="G18" s="602"/>
    </row>
    <row r="19" spans="1:7" x14ac:dyDescent="0.25">
      <c r="A19" s="603" t="s">
        <v>211</v>
      </c>
      <c r="B19" s="606"/>
      <c r="C19" s="564">
        <f>C14</f>
        <v>0</v>
      </c>
      <c r="D19" s="616"/>
      <c r="E19" s="280" t="s">
        <v>216</v>
      </c>
      <c r="F19" s="281"/>
      <c r="G19" s="282">
        <f>'Repair Assessment Sheet'!H26</f>
        <v>0</v>
      </c>
    </row>
    <row r="20" spans="1:7" x14ac:dyDescent="0.25">
      <c r="A20" s="603" t="s">
        <v>217</v>
      </c>
      <c r="B20" s="606"/>
      <c r="C20" s="612">
        <f>C15</f>
        <v>0</v>
      </c>
      <c r="D20" s="608"/>
      <c r="E20" s="280" t="s">
        <v>218</v>
      </c>
      <c r="F20" s="281"/>
      <c r="G20" s="283">
        <f>'Repair Assessment Sheet'!E25</f>
        <v>0</v>
      </c>
    </row>
    <row r="21" spans="1:7" x14ac:dyDescent="0.25">
      <c r="A21" s="603" t="s">
        <v>219</v>
      </c>
      <c r="B21" s="606"/>
      <c r="C21" s="607">
        <f>C16</f>
        <v>0</v>
      </c>
      <c r="D21" s="608"/>
      <c r="E21" s="280" t="s">
        <v>220</v>
      </c>
      <c r="F21" s="281"/>
      <c r="G21" s="284">
        <f>'Repair Assessment Sheet'!E26</f>
        <v>0</v>
      </c>
    </row>
    <row r="22" spans="1:7" x14ac:dyDescent="0.25">
      <c r="A22" s="603" t="s">
        <v>104</v>
      </c>
      <c r="B22" s="606"/>
      <c r="C22" s="609">
        <f>'Repair Assessment Sheet'!E23</f>
        <v>0</v>
      </c>
      <c r="D22" s="610"/>
      <c r="E22" s="280" t="s">
        <v>221</v>
      </c>
      <c r="F22" s="281"/>
      <c r="G22" s="285">
        <f>'Repair Assessment Sheet'!E27</f>
        <v>0</v>
      </c>
    </row>
    <row r="23" spans="1:7" ht="13" x14ac:dyDescent="0.3">
      <c r="A23" s="611"/>
      <c r="B23" s="611"/>
      <c r="C23" s="611"/>
      <c r="D23" s="611"/>
      <c r="E23" s="611"/>
      <c r="F23" s="286"/>
      <c r="G23" s="286"/>
    </row>
    <row r="24" spans="1:7" ht="13" x14ac:dyDescent="0.3">
      <c r="A24" s="588" t="s">
        <v>222</v>
      </c>
      <c r="B24" s="551"/>
      <c r="C24" s="287"/>
      <c r="D24" s="288"/>
      <c r="E24" s="289" t="s">
        <v>223</v>
      </c>
      <c r="F24" s="551" t="s">
        <v>423</v>
      </c>
      <c r="G24" s="602"/>
    </row>
    <row r="25" spans="1:7" x14ac:dyDescent="0.25">
      <c r="A25" s="603" t="s">
        <v>224</v>
      </c>
      <c r="B25" s="604"/>
      <c r="C25" s="605">
        <f>'Repair Assessment Sheet'!P22</f>
        <v>0</v>
      </c>
      <c r="D25" s="599"/>
      <c r="E25" s="599"/>
      <c r="F25" s="290"/>
      <c r="G25" s="291"/>
    </row>
    <row r="26" spans="1:7" x14ac:dyDescent="0.25">
      <c r="A26" s="603" t="s">
        <v>225</v>
      </c>
      <c r="B26" s="604"/>
      <c r="C26" s="605">
        <f>'Repair Assessment Sheet'!P23</f>
        <v>0</v>
      </c>
      <c r="D26" s="599"/>
      <c r="E26" s="599"/>
      <c r="F26" s="600"/>
      <c r="G26" s="601"/>
    </row>
    <row r="27" spans="1:7" x14ac:dyDescent="0.25">
      <c r="A27" s="563" t="s">
        <v>226</v>
      </c>
      <c r="B27" s="563"/>
      <c r="C27" s="597"/>
      <c r="D27" s="597"/>
      <c r="E27" s="597"/>
      <c r="F27" s="598"/>
      <c r="G27" s="598"/>
    </row>
    <row r="28" spans="1:7" x14ac:dyDescent="0.25">
      <c r="A28" s="563" t="s">
        <v>227</v>
      </c>
      <c r="B28" s="563"/>
      <c r="C28" s="597">
        <f>'Repair Assessment Sheet'!P24</f>
        <v>0</v>
      </c>
      <c r="D28" s="599"/>
      <c r="E28" s="599"/>
      <c r="F28" s="600"/>
      <c r="G28" s="601"/>
    </row>
    <row r="29" spans="1:7" ht="13" x14ac:dyDescent="0.3">
      <c r="A29" s="590" t="s">
        <v>228</v>
      </c>
      <c r="B29" s="590"/>
      <c r="C29" s="591">
        <f>'Repair Assessment Sheet'!S24</f>
        <v>0</v>
      </c>
      <c r="D29" s="592"/>
      <c r="E29" s="592"/>
      <c r="F29" s="593"/>
      <c r="G29" s="594"/>
    </row>
    <row r="30" spans="1:7" ht="13" x14ac:dyDescent="0.3">
      <c r="A30" s="590" t="s">
        <v>229</v>
      </c>
      <c r="B30" s="590"/>
      <c r="C30" s="592">
        <f>'Repair Assessment Sheet'!S23</f>
        <v>0</v>
      </c>
      <c r="D30" s="592"/>
      <c r="E30" s="592"/>
      <c r="F30" s="595"/>
      <c r="G30" s="596"/>
    </row>
    <row r="31" spans="1:7" x14ac:dyDescent="0.25">
      <c r="A31" s="586"/>
      <c r="B31" s="587"/>
      <c r="C31" s="587"/>
      <c r="D31" s="587"/>
      <c r="E31" s="587"/>
      <c r="F31" s="262"/>
      <c r="G31" s="262"/>
    </row>
    <row r="32" spans="1:7" ht="13" x14ac:dyDescent="0.3">
      <c r="A32" s="588" t="s">
        <v>230</v>
      </c>
      <c r="B32" s="551"/>
      <c r="C32" s="276"/>
      <c r="D32" s="276"/>
      <c r="E32" s="276"/>
      <c r="F32" s="276"/>
      <c r="G32" s="292"/>
    </row>
    <row r="33" spans="1:7" x14ac:dyDescent="0.25">
      <c r="A33" s="563" t="s">
        <v>231</v>
      </c>
      <c r="B33" s="563"/>
      <c r="C33" s="563"/>
      <c r="D33" s="589">
        <f>'Repair Assessment Sheet'!Q16</f>
        <v>0</v>
      </c>
      <c r="E33" s="565"/>
      <c r="F33" s="565"/>
      <c r="G33" s="293"/>
    </row>
    <row r="34" spans="1:7" x14ac:dyDescent="0.25">
      <c r="A34" s="563" t="s">
        <v>232</v>
      </c>
      <c r="B34" s="563"/>
      <c r="C34" s="563"/>
      <c r="D34" s="564">
        <f>'Repair Assessment Sheet'!Q14</f>
        <v>0</v>
      </c>
      <c r="E34" s="565"/>
      <c r="F34" s="565"/>
      <c r="G34" s="293"/>
    </row>
    <row r="35" spans="1:7" x14ac:dyDescent="0.25">
      <c r="A35" s="563" t="s">
        <v>233</v>
      </c>
      <c r="B35" s="563"/>
      <c r="C35" s="563"/>
      <c r="D35" s="564">
        <f>'Repair Assessment Sheet'!Q15</f>
        <v>0</v>
      </c>
      <c r="E35" s="565"/>
      <c r="F35" s="565"/>
      <c r="G35" s="293"/>
    </row>
    <row r="36" spans="1:7" x14ac:dyDescent="0.25">
      <c r="A36" s="566" t="s">
        <v>60</v>
      </c>
      <c r="B36" s="567"/>
      <c r="C36" s="568">
        <f>'Repair Assessment Sheet'!E10</f>
        <v>0</v>
      </c>
      <c r="D36" s="569"/>
      <c r="E36" s="566" t="s">
        <v>234</v>
      </c>
      <c r="F36" s="569"/>
      <c r="G36" s="294"/>
    </row>
    <row r="37" spans="1:7" x14ac:dyDescent="0.25">
      <c r="A37" s="570"/>
      <c r="B37" s="571"/>
      <c r="C37" s="571"/>
      <c r="D37" s="571"/>
      <c r="E37" s="571"/>
      <c r="F37" s="571"/>
      <c r="G37" s="572"/>
    </row>
    <row r="38" spans="1:7" ht="13" x14ac:dyDescent="0.3">
      <c r="A38" s="573" t="s">
        <v>235</v>
      </c>
      <c r="B38" s="574"/>
      <c r="C38" s="574"/>
      <c r="D38" s="575"/>
      <c r="E38" s="576"/>
      <c r="F38" s="577"/>
      <c r="G38" s="578"/>
    </row>
    <row r="39" spans="1:7" x14ac:dyDescent="0.25">
      <c r="A39" s="579" t="s">
        <v>437</v>
      </c>
      <c r="B39" s="580"/>
      <c r="C39" s="580"/>
      <c r="D39" s="580"/>
      <c r="E39" s="580"/>
      <c r="F39" s="580"/>
      <c r="G39" s="581"/>
    </row>
    <row r="40" spans="1:7" x14ac:dyDescent="0.25">
      <c r="A40" s="582"/>
      <c r="B40" s="583"/>
      <c r="C40" s="583"/>
      <c r="D40" s="583"/>
      <c r="E40" s="583"/>
      <c r="F40" s="583"/>
      <c r="G40" s="584"/>
    </row>
    <row r="41" spans="1:7" x14ac:dyDescent="0.25">
      <c r="A41" s="582"/>
      <c r="B41" s="583"/>
      <c r="C41" s="583"/>
      <c r="D41" s="583"/>
      <c r="E41" s="583"/>
      <c r="F41" s="583"/>
      <c r="G41" s="584"/>
    </row>
    <row r="42" spans="1:7" ht="13" x14ac:dyDescent="0.25">
      <c r="A42" s="585" t="s">
        <v>236</v>
      </c>
      <c r="B42" s="585"/>
      <c r="C42" s="585"/>
      <c r="D42" s="559" t="s">
        <v>237</v>
      </c>
      <c r="E42" s="560"/>
      <c r="F42" s="561"/>
      <c r="G42" s="295"/>
    </row>
    <row r="43" spans="1:7" x14ac:dyDescent="0.25">
      <c r="A43" s="555" t="s">
        <v>238</v>
      </c>
      <c r="B43" s="556"/>
      <c r="C43" s="556"/>
      <c r="D43" s="559" t="s">
        <v>237</v>
      </c>
      <c r="E43" s="560"/>
      <c r="F43" s="561"/>
      <c r="G43" s="296"/>
    </row>
    <row r="44" spans="1:7" x14ac:dyDescent="0.25">
      <c r="A44" s="557"/>
      <c r="B44" s="558"/>
      <c r="C44" s="558"/>
      <c r="D44" s="562"/>
      <c r="E44" s="562"/>
      <c r="F44" s="562"/>
      <c r="G44" s="297"/>
    </row>
    <row r="45" spans="1:7" ht="4.5" customHeight="1" x14ac:dyDescent="0.25">
      <c r="A45" s="298"/>
      <c r="B45" s="298"/>
      <c r="C45" s="298"/>
      <c r="D45" s="299"/>
      <c r="E45" s="299"/>
      <c r="F45" s="299"/>
      <c r="G45" s="300"/>
    </row>
    <row r="46" spans="1:7" x14ac:dyDescent="0.25">
      <c r="A46" s="298"/>
      <c r="B46" s="298"/>
      <c r="C46" s="298"/>
      <c r="D46" s="299"/>
      <c r="E46" s="299"/>
      <c r="F46" s="299"/>
      <c r="G46" s="300"/>
    </row>
    <row r="47" spans="1:7" x14ac:dyDescent="0.25">
      <c r="A47" s="298"/>
      <c r="B47" s="298"/>
      <c r="C47" s="298"/>
      <c r="D47" s="299"/>
      <c r="E47" s="299"/>
      <c r="F47" s="299"/>
      <c r="G47" s="300"/>
    </row>
    <row r="48" spans="1:7" x14ac:dyDescent="0.25">
      <c r="A48" s="298"/>
      <c r="B48" s="298"/>
      <c r="C48" s="298"/>
      <c r="D48" s="299"/>
      <c r="E48" s="299"/>
      <c r="F48" s="299"/>
      <c r="G48" s="300"/>
    </row>
    <row r="49" spans="1:52" x14ac:dyDescent="0.25">
      <c r="A49" s="298"/>
      <c r="B49" s="298"/>
      <c r="C49" s="298"/>
      <c r="D49" s="299"/>
      <c r="E49" s="299"/>
      <c r="F49" s="299"/>
      <c r="G49" s="300"/>
    </row>
    <row r="50" spans="1:52" x14ac:dyDescent="0.25">
      <c r="A50" s="298"/>
      <c r="B50" s="298"/>
      <c r="C50" s="298"/>
      <c r="D50" s="299"/>
      <c r="E50" s="299"/>
      <c r="F50" s="299"/>
      <c r="G50" s="300"/>
    </row>
    <row r="51" spans="1:52" s="262" customFormat="1" x14ac:dyDescent="0.25">
      <c r="A51" s="301"/>
      <c r="B51" s="301"/>
      <c r="C51" s="301"/>
      <c r="D51" s="278"/>
      <c r="E51" s="278"/>
      <c r="F51" s="278"/>
      <c r="G51" s="302"/>
      <c r="H51" s="255"/>
      <c r="I51" s="255"/>
      <c r="J51" s="255"/>
      <c r="K51" s="255"/>
      <c r="L51" s="255"/>
      <c r="M51" s="255"/>
      <c r="N51" s="255"/>
      <c r="O51" s="255"/>
      <c r="P51" s="255"/>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5"/>
      <c r="AX51" s="255"/>
      <c r="AY51" s="255"/>
      <c r="AZ51" s="255"/>
    </row>
    <row r="52" spans="1:52" ht="13" x14ac:dyDescent="0.3">
      <c r="A52" s="537" t="s">
        <v>239</v>
      </c>
      <c r="B52" s="537"/>
      <c r="C52" s="537"/>
      <c r="D52" s="303"/>
      <c r="E52" s="303"/>
      <c r="F52" s="303"/>
      <c r="G52" s="303"/>
      <c r="H52" s="255"/>
      <c r="I52" s="255"/>
      <c r="J52" s="255"/>
      <c r="K52" s="255"/>
      <c r="L52" s="255"/>
      <c r="M52" s="255"/>
      <c r="N52" s="255"/>
      <c r="O52" s="255"/>
      <c r="P52" s="255"/>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c r="AR52" s="255"/>
      <c r="AS52" s="255"/>
      <c r="AT52" s="255"/>
      <c r="AU52" s="255"/>
      <c r="AV52" s="255"/>
      <c r="AW52" s="255"/>
      <c r="AX52" s="255"/>
      <c r="AY52" s="255"/>
      <c r="AZ52" s="255"/>
    </row>
    <row r="53" spans="1:52" x14ac:dyDescent="0.25">
      <c r="A53" s="304">
        <v>1</v>
      </c>
      <c r="B53" s="538"/>
      <c r="C53" s="539"/>
      <c r="D53" s="539"/>
      <c r="E53" s="539"/>
      <c r="F53" s="539"/>
      <c r="G53" s="539"/>
    </row>
    <row r="54" spans="1:52" ht="13" x14ac:dyDescent="0.3">
      <c r="A54" s="304">
        <v>2</v>
      </c>
      <c r="B54" s="540"/>
      <c r="C54" s="541"/>
      <c r="D54" s="541"/>
      <c r="E54" s="541"/>
      <c r="F54" s="541"/>
      <c r="G54" s="541"/>
    </row>
    <row r="55" spans="1:52" ht="13" x14ac:dyDescent="0.3">
      <c r="A55" s="305"/>
      <c r="B55" s="542"/>
      <c r="C55" s="542"/>
      <c r="D55" s="542"/>
      <c r="E55" s="542"/>
      <c r="F55" s="542"/>
      <c r="G55" s="542"/>
    </row>
    <row r="56" spans="1:52" x14ac:dyDescent="0.25">
      <c r="A56" s="543" t="s">
        <v>240</v>
      </c>
      <c r="B56" s="544"/>
      <c r="C56" s="544"/>
      <c r="D56" s="544"/>
      <c r="E56" s="544"/>
      <c r="F56" s="544"/>
      <c r="G56" s="544"/>
    </row>
    <row r="57" spans="1:52" x14ac:dyDescent="0.25">
      <c r="A57" s="306"/>
      <c r="B57" s="306"/>
      <c r="C57" s="306"/>
      <c r="D57" s="306"/>
      <c r="E57" s="306"/>
      <c r="F57" s="306"/>
      <c r="G57" s="306"/>
    </row>
    <row r="59" spans="1:52" ht="13" x14ac:dyDescent="0.3">
      <c r="G59" s="307" t="s">
        <v>199</v>
      </c>
    </row>
    <row r="60" spans="1:52" ht="18" x14ac:dyDescent="0.4">
      <c r="A60" s="545" t="s">
        <v>199</v>
      </c>
      <c r="B60" s="545"/>
      <c r="C60" s="545"/>
      <c r="D60" s="254"/>
      <c r="E60" s="255"/>
      <c r="F60" s="391" t="s">
        <v>434</v>
      </c>
      <c r="G60" s="257"/>
    </row>
    <row r="61" spans="1:52" ht="13" x14ac:dyDescent="0.3">
      <c r="A61" s="546" t="s">
        <v>58</v>
      </c>
      <c r="B61" s="546"/>
      <c r="C61" s="546"/>
      <c r="D61" s="259"/>
      <c r="F61" s="391" t="s">
        <v>435</v>
      </c>
      <c r="G61" s="257"/>
    </row>
    <row r="62" spans="1:52" ht="18" x14ac:dyDescent="0.4">
      <c r="A62" s="391" t="s">
        <v>433</v>
      </c>
      <c r="B62" s="256"/>
      <c r="C62" s="256"/>
      <c r="D62" s="256"/>
      <c r="E62" s="308"/>
      <c r="F62" s="256" t="s">
        <v>200</v>
      </c>
      <c r="G62" s="265"/>
    </row>
    <row r="63" spans="1:52" x14ac:dyDescent="0.25">
      <c r="A63" s="262"/>
      <c r="B63" s="262"/>
      <c r="C63" s="262"/>
      <c r="D63" s="262"/>
      <c r="E63" s="262"/>
      <c r="F63" s="262"/>
      <c r="G63" s="262"/>
    </row>
    <row r="67" spans="1:15" ht="13" x14ac:dyDescent="0.3">
      <c r="A67" s="271" t="s">
        <v>202</v>
      </c>
      <c r="B67" s="547">
        <f>B7</f>
        <v>0</v>
      </c>
      <c r="C67" s="548"/>
      <c r="D67" s="267" t="s">
        <v>203</v>
      </c>
      <c r="E67" s="268" t="str">
        <f>E7</f>
        <v>Tata-</v>
      </c>
      <c r="F67" s="269" t="s">
        <v>204</v>
      </c>
      <c r="G67" s="270">
        <f>G7</f>
        <v>0</v>
      </c>
    </row>
    <row r="68" spans="1:15" ht="13" x14ac:dyDescent="0.3">
      <c r="A68" s="271" t="s">
        <v>205</v>
      </c>
      <c r="B68" s="549">
        <f>+B8</f>
        <v>0</v>
      </c>
      <c r="C68" s="550"/>
      <c r="D68" s="272" t="s">
        <v>206</v>
      </c>
      <c r="E68" s="309">
        <f>E8</f>
        <v>0</v>
      </c>
      <c r="F68" s="274" t="s">
        <v>83</v>
      </c>
      <c r="G68" s="310">
        <f>G8</f>
        <v>0</v>
      </c>
    </row>
    <row r="69" spans="1:15" ht="13" x14ac:dyDescent="0.3">
      <c r="A69" s="551"/>
      <c r="B69" s="551"/>
      <c r="C69" s="551"/>
      <c r="D69" s="551"/>
      <c r="E69" s="551"/>
      <c r="F69" s="551"/>
      <c r="G69" s="551"/>
    </row>
    <row r="70" spans="1:15" ht="13" x14ac:dyDescent="0.3">
      <c r="A70" s="271" t="s">
        <v>438</v>
      </c>
      <c r="B70" s="552"/>
      <c r="C70" s="553"/>
      <c r="D70" s="553"/>
      <c r="E70" s="553"/>
      <c r="F70" s="553"/>
      <c r="G70" s="554"/>
    </row>
    <row r="71" spans="1:15" ht="13.5" x14ac:dyDescent="0.3">
      <c r="A71" s="311"/>
      <c r="B71" s="311"/>
      <c r="C71" s="311"/>
      <c r="D71" s="311"/>
      <c r="E71" s="311"/>
      <c r="F71" s="312"/>
      <c r="G71" s="313"/>
    </row>
    <row r="72" spans="1:15" ht="13" x14ac:dyDescent="0.3">
      <c r="A72" s="271" t="s">
        <v>207</v>
      </c>
      <c r="B72" s="552">
        <f>B12</f>
        <v>0</v>
      </c>
      <c r="C72" s="553"/>
      <c r="D72" s="553"/>
      <c r="E72" s="553"/>
      <c r="F72" s="553"/>
      <c r="G72" s="554"/>
    </row>
    <row r="73" spans="1:15" ht="13.5" x14ac:dyDescent="0.3">
      <c r="A73" s="311"/>
      <c r="B73" s="311"/>
      <c r="C73" s="311"/>
      <c r="D73" s="311"/>
      <c r="E73" s="311"/>
      <c r="F73" s="312"/>
      <c r="G73" s="313"/>
    </row>
    <row r="74" spans="1:15" ht="13.5" x14ac:dyDescent="0.3">
      <c r="A74" s="314" t="s">
        <v>241</v>
      </c>
      <c r="B74" s="315"/>
      <c r="C74" s="536">
        <f>C14</f>
        <v>0</v>
      </c>
      <c r="D74" s="536"/>
      <c r="E74" s="316"/>
      <c r="F74" s="317"/>
      <c r="G74" s="318"/>
    </row>
    <row r="75" spans="1:15" ht="13.5" x14ac:dyDescent="0.3">
      <c r="A75" s="319"/>
      <c r="B75" s="319"/>
      <c r="C75" s="319"/>
      <c r="D75" s="319"/>
      <c r="E75" s="319"/>
      <c r="F75" s="312"/>
      <c r="G75" s="313"/>
    </row>
    <row r="76" spans="1:15" ht="13.5" x14ac:dyDescent="0.3">
      <c r="A76" s="319"/>
      <c r="B76" s="319"/>
      <c r="C76" s="319"/>
      <c r="D76" s="319"/>
      <c r="E76" s="319"/>
      <c r="F76" s="312"/>
      <c r="G76" s="313"/>
    </row>
    <row r="77" spans="1:15" ht="13.5" x14ac:dyDescent="0.3">
      <c r="A77" s="319"/>
      <c r="B77" s="319"/>
      <c r="C77" s="319"/>
      <c r="D77" s="319"/>
      <c r="E77" s="319"/>
      <c r="F77" s="319"/>
      <c r="G77" s="320"/>
    </row>
    <row r="78" spans="1:15" ht="15" x14ac:dyDescent="0.3">
      <c r="A78" s="319"/>
      <c r="B78" s="319"/>
      <c r="D78" s="321" t="s">
        <v>242</v>
      </c>
      <c r="E78" s="319"/>
      <c r="G78" s="322"/>
    </row>
    <row r="79" spans="1:15" ht="13.5" x14ac:dyDescent="0.3">
      <c r="A79" s="319"/>
      <c r="B79" s="319"/>
      <c r="C79" s="319"/>
      <c r="D79" s="319"/>
      <c r="E79" s="319"/>
      <c r="F79" s="319"/>
      <c r="G79" s="323"/>
    </row>
    <row r="80" spans="1:15" ht="13.5" x14ac:dyDescent="0.3">
      <c r="A80" s="324" t="s">
        <v>243</v>
      </c>
      <c r="B80" s="316" t="s">
        <v>244</v>
      </c>
      <c r="E80" s="325" t="s">
        <v>245</v>
      </c>
      <c r="F80" s="325"/>
      <c r="G80" s="325"/>
      <c r="L80" s="258" t="s">
        <v>259</v>
      </c>
      <c r="M80" s="258" t="s">
        <v>260</v>
      </c>
      <c r="O80" s="337" t="s">
        <v>261</v>
      </c>
    </row>
    <row r="81" spans="1:15" ht="13.5" x14ac:dyDescent="0.3">
      <c r="A81" s="313"/>
      <c r="B81" s="319"/>
      <c r="E81" s="326"/>
      <c r="F81" s="327"/>
      <c r="G81" s="326"/>
    </row>
    <row r="82" spans="1:15" ht="13.5" x14ac:dyDescent="0.3">
      <c r="A82" s="313">
        <v>1</v>
      </c>
      <c r="B82" s="319" t="s">
        <v>246</v>
      </c>
      <c r="E82" s="327">
        <v>2700</v>
      </c>
      <c r="F82" s="327"/>
      <c r="G82" s="327"/>
      <c r="K82" s="258" t="s">
        <v>262</v>
      </c>
      <c r="L82" s="258">
        <v>1200</v>
      </c>
      <c r="M82" s="258">
        <v>300</v>
      </c>
      <c r="O82" s="258">
        <f>+L82+M82</f>
        <v>1500</v>
      </c>
    </row>
    <row r="83" spans="1:15" ht="13.5" x14ac:dyDescent="0.3">
      <c r="A83" s="313"/>
      <c r="B83" s="319"/>
      <c r="E83" s="327"/>
      <c r="F83" s="327"/>
      <c r="G83" s="327"/>
    </row>
    <row r="84" spans="1:15" ht="13.5" x14ac:dyDescent="0.3">
      <c r="A84" s="313"/>
      <c r="B84" s="319"/>
      <c r="E84" s="327"/>
      <c r="F84" s="327"/>
      <c r="G84" s="327"/>
      <c r="K84" s="258" t="s">
        <v>263</v>
      </c>
      <c r="L84" s="258">
        <v>2200</v>
      </c>
      <c r="M84" s="258">
        <v>300</v>
      </c>
      <c r="O84" s="258">
        <f t="shared" ref="O84:O88" si="0">+L84+M84</f>
        <v>2500</v>
      </c>
    </row>
    <row r="85" spans="1:15" ht="13.5" x14ac:dyDescent="0.3">
      <c r="A85" s="313"/>
      <c r="B85" s="319"/>
      <c r="E85" s="327"/>
      <c r="F85" s="327"/>
      <c r="G85" s="327"/>
    </row>
    <row r="86" spans="1:15" ht="13.5" x14ac:dyDescent="0.3">
      <c r="A86" s="313">
        <v>2</v>
      </c>
      <c r="B86" s="319" t="s">
        <v>247</v>
      </c>
      <c r="E86" s="327">
        <v>300</v>
      </c>
      <c r="F86" s="327"/>
      <c r="G86" s="327"/>
      <c r="K86" s="258" t="s">
        <v>264</v>
      </c>
      <c r="L86" s="258">
        <v>2700</v>
      </c>
      <c r="M86" s="258">
        <v>300</v>
      </c>
      <c r="O86" s="258">
        <f t="shared" si="0"/>
        <v>3000</v>
      </c>
    </row>
    <row r="87" spans="1:15" ht="13.5" x14ac:dyDescent="0.3">
      <c r="A87" s="313"/>
      <c r="B87" s="319"/>
      <c r="E87" s="327"/>
      <c r="F87" s="327"/>
      <c r="G87" s="327"/>
    </row>
    <row r="88" spans="1:15" ht="13.5" x14ac:dyDescent="0.3">
      <c r="A88" s="313"/>
      <c r="B88" s="319"/>
      <c r="E88" s="327"/>
      <c r="F88" s="327"/>
      <c r="G88" s="327"/>
      <c r="K88" s="338" t="s">
        <v>265</v>
      </c>
      <c r="L88" s="258">
        <v>3200</v>
      </c>
      <c r="M88" s="258">
        <v>300</v>
      </c>
      <c r="O88" s="258">
        <f t="shared" si="0"/>
        <v>3500</v>
      </c>
    </row>
    <row r="89" spans="1:15" ht="13.5" x14ac:dyDescent="0.3">
      <c r="A89" s="313"/>
      <c r="B89" s="319"/>
      <c r="E89" s="327"/>
      <c r="F89" s="327"/>
      <c r="G89" s="327"/>
    </row>
    <row r="90" spans="1:15" ht="13.5" x14ac:dyDescent="0.3">
      <c r="A90" s="313">
        <v>3</v>
      </c>
      <c r="B90" s="319" t="s">
        <v>248</v>
      </c>
      <c r="E90" s="327">
        <v>0</v>
      </c>
      <c r="F90" s="327"/>
      <c r="G90" s="327"/>
      <c r="K90" s="258" t="s">
        <v>266</v>
      </c>
      <c r="M90" s="258" t="s">
        <v>267</v>
      </c>
    </row>
    <row r="91" spans="1:15" ht="13.5" x14ac:dyDescent="0.3">
      <c r="B91" s="313"/>
      <c r="C91" s="319"/>
      <c r="E91" s="327"/>
      <c r="F91" s="328"/>
      <c r="G91" s="327"/>
    </row>
    <row r="92" spans="1:15" ht="13.5" x14ac:dyDescent="0.3">
      <c r="A92" s="313"/>
      <c r="B92" s="319"/>
      <c r="C92" s="319"/>
      <c r="D92" s="329" t="s">
        <v>152</v>
      </c>
      <c r="E92" s="330">
        <f>+SUM(E82:E91)</f>
        <v>3000</v>
      </c>
      <c r="G92" s="329"/>
    </row>
    <row r="93" spans="1:15" ht="13.5" x14ac:dyDescent="0.3">
      <c r="A93" s="313"/>
      <c r="B93" s="319"/>
      <c r="C93" s="319"/>
      <c r="D93" s="331"/>
      <c r="E93" s="329">
        <v>0</v>
      </c>
      <c r="G93" s="329"/>
    </row>
    <row r="94" spans="1:15" ht="14" thickBot="1" x14ac:dyDescent="0.35">
      <c r="A94" s="313"/>
      <c r="B94" s="319"/>
      <c r="C94" s="319"/>
      <c r="D94" s="319"/>
      <c r="E94" s="332">
        <f>+E92+E93</f>
        <v>3000</v>
      </c>
      <c r="F94" s="319"/>
      <c r="G94" s="329"/>
    </row>
    <row r="95" spans="1:15" ht="14" thickTop="1" x14ac:dyDescent="0.3">
      <c r="A95" s="313"/>
      <c r="B95" s="319"/>
      <c r="C95" s="319"/>
      <c r="D95" s="319"/>
      <c r="E95" s="319"/>
      <c r="F95" s="319"/>
      <c r="G95" s="333"/>
    </row>
    <row r="96" spans="1:15" ht="13.5" x14ac:dyDescent="0.3">
      <c r="A96" s="313"/>
      <c r="B96" s="319"/>
      <c r="C96" s="319"/>
      <c r="D96" s="319"/>
      <c r="E96" s="319"/>
      <c r="F96" s="319"/>
      <c r="G96" s="319"/>
    </row>
    <row r="97" spans="1:11" ht="13.5" x14ac:dyDescent="0.3">
      <c r="A97" s="313"/>
      <c r="B97" s="319" t="s">
        <v>249</v>
      </c>
      <c r="C97" s="319"/>
      <c r="E97" s="319"/>
      <c r="F97" s="319"/>
      <c r="G97" s="319"/>
      <c r="K97" s="258">
        <v>3200</v>
      </c>
    </row>
    <row r="98" spans="1:11" ht="13.5" x14ac:dyDescent="0.3">
      <c r="A98" s="319"/>
      <c r="B98" s="319" t="s">
        <v>250</v>
      </c>
      <c r="C98" s="319"/>
      <c r="E98" s="319"/>
      <c r="F98" s="319"/>
      <c r="G98" s="319"/>
      <c r="K98" s="258">
        <f>550000*0.7%</f>
        <v>3849.9999999999995</v>
      </c>
    </row>
    <row r="99" spans="1:11" ht="13.5" x14ac:dyDescent="0.3">
      <c r="A99" s="319"/>
      <c r="B99" s="319" t="s">
        <v>251</v>
      </c>
      <c r="C99" s="319"/>
      <c r="E99" s="319"/>
      <c r="F99" s="319"/>
      <c r="G99" s="319"/>
    </row>
    <row r="100" spans="1:11" ht="14" x14ac:dyDescent="0.3">
      <c r="A100" s="319"/>
      <c r="B100" s="319"/>
      <c r="C100" s="319"/>
      <c r="D100" s="319"/>
      <c r="E100" s="319"/>
      <c r="F100" s="334" t="s">
        <v>252</v>
      </c>
    </row>
    <row r="101" spans="1:11" ht="13.5" x14ac:dyDescent="0.3">
      <c r="A101" s="319"/>
      <c r="B101" s="319"/>
      <c r="C101" s="319"/>
      <c r="D101" s="319"/>
      <c r="E101" s="319"/>
      <c r="F101" s="320" t="s">
        <v>253</v>
      </c>
    </row>
  </sheetData>
  <mergeCells count="84">
    <mergeCell ref="A14:B14"/>
    <mergeCell ref="C14:D14"/>
    <mergeCell ref="F14:G14"/>
    <mergeCell ref="A1:C1"/>
    <mergeCell ref="A2:C2"/>
    <mergeCell ref="A5:G5"/>
    <mergeCell ref="B7:C7"/>
    <mergeCell ref="B8:C8"/>
    <mergeCell ref="A9:G9"/>
    <mergeCell ref="B10:G10"/>
    <mergeCell ref="A11:A12"/>
    <mergeCell ref="B11:G12"/>
    <mergeCell ref="C13:D13"/>
    <mergeCell ref="F13:G13"/>
    <mergeCell ref="A20:B20"/>
    <mergeCell ref="C20:D20"/>
    <mergeCell ref="A15:B15"/>
    <mergeCell ref="C15:D15"/>
    <mergeCell ref="F15:G15"/>
    <mergeCell ref="A16:B16"/>
    <mergeCell ref="C16:D16"/>
    <mergeCell ref="F16:G16"/>
    <mergeCell ref="A17:G17"/>
    <mergeCell ref="A18:B18"/>
    <mergeCell ref="F18:G18"/>
    <mergeCell ref="A19:B19"/>
    <mergeCell ref="C19:D19"/>
    <mergeCell ref="A21:B21"/>
    <mergeCell ref="C21:D21"/>
    <mergeCell ref="A22:B22"/>
    <mergeCell ref="C22:D22"/>
    <mergeCell ref="A23:E23"/>
    <mergeCell ref="F24:G24"/>
    <mergeCell ref="A25:B25"/>
    <mergeCell ref="C25:E25"/>
    <mergeCell ref="A26:B26"/>
    <mergeCell ref="C26:E26"/>
    <mergeCell ref="F26:G26"/>
    <mergeCell ref="A24:B24"/>
    <mergeCell ref="A27:B27"/>
    <mergeCell ref="C27:E27"/>
    <mergeCell ref="F27:G27"/>
    <mergeCell ref="A28:B28"/>
    <mergeCell ref="C28:E28"/>
    <mergeCell ref="F28:G28"/>
    <mergeCell ref="A29:B29"/>
    <mergeCell ref="C29:E29"/>
    <mergeCell ref="F29:G29"/>
    <mergeCell ref="A30:B30"/>
    <mergeCell ref="C30:E30"/>
    <mergeCell ref="F30:G30"/>
    <mergeCell ref="A31:E31"/>
    <mergeCell ref="A32:B32"/>
    <mergeCell ref="A33:C33"/>
    <mergeCell ref="D33:F33"/>
    <mergeCell ref="A34:C34"/>
    <mergeCell ref="D34:F34"/>
    <mergeCell ref="A43:C44"/>
    <mergeCell ref="D43:F43"/>
    <mergeCell ref="D44:F44"/>
    <mergeCell ref="A35:C35"/>
    <mergeCell ref="D35:F35"/>
    <mergeCell ref="A36:B36"/>
    <mergeCell ref="C36:D36"/>
    <mergeCell ref="E36:F36"/>
    <mergeCell ref="A37:G37"/>
    <mergeCell ref="A38:D38"/>
    <mergeCell ref="E38:G38"/>
    <mergeCell ref="A39:G41"/>
    <mergeCell ref="A42:C42"/>
    <mergeCell ref="D42:F42"/>
    <mergeCell ref="C74:D74"/>
    <mergeCell ref="A52:C52"/>
    <mergeCell ref="B53:G53"/>
    <mergeCell ref="B54:G54"/>
    <mergeCell ref="B55:G55"/>
    <mergeCell ref="A56:G56"/>
    <mergeCell ref="A60:C60"/>
    <mergeCell ref="A61:C61"/>
    <mergeCell ref="B67:C67"/>
    <mergeCell ref="B68:C68"/>
    <mergeCell ref="A69:G69"/>
    <mergeCell ref="B70:G70"/>
    <mergeCell ref="B72:G72"/>
  </mergeCells>
  <dataValidations count="1">
    <dataValidation type="list" allowBlank="1" showInputMessage="1" showErrorMessage="1" sqref="F29:F30 JB29:JB30 SX29:SX30 ACT29:ACT30 AMP29:AMP30 AWL29:AWL30 BGH29:BGH30 BQD29:BQD30 BZZ29:BZZ30 CJV29:CJV30 CTR29:CTR30 DDN29:DDN30 DNJ29:DNJ30 DXF29:DXF30 EHB29:EHB30 EQX29:EQX30 FAT29:FAT30 FKP29:FKP30 FUL29:FUL30 GEH29:GEH30 GOD29:GOD30 GXZ29:GXZ30 HHV29:HHV30 HRR29:HRR30 IBN29:IBN30 ILJ29:ILJ30 IVF29:IVF30 JFB29:JFB30 JOX29:JOX30 JYT29:JYT30 KIP29:KIP30 KSL29:KSL30 LCH29:LCH30 LMD29:LMD30 LVZ29:LVZ30 MFV29:MFV30 MPR29:MPR30 MZN29:MZN30 NJJ29:NJJ30 NTF29:NTF30 ODB29:ODB30 OMX29:OMX30 OWT29:OWT30 PGP29:PGP30 PQL29:PQL30 QAH29:QAH30 QKD29:QKD30 QTZ29:QTZ30 RDV29:RDV30 RNR29:RNR30 RXN29:RXN30 SHJ29:SHJ30 SRF29:SRF30 TBB29:TBB30 TKX29:TKX30 TUT29:TUT30 UEP29:UEP30 UOL29:UOL30 UYH29:UYH30 VID29:VID30 VRZ29:VRZ30 WBV29:WBV30 WLR29:WLR30 WVN29:WVN30 F65566:F65567 JB65566:JB65567 SX65566:SX65567 ACT65566:ACT65567 AMP65566:AMP65567 AWL65566:AWL65567 BGH65566:BGH65567 BQD65566:BQD65567 BZZ65566:BZZ65567 CJV65566:CJV65567 CTR65566:CTR65567 DDN65566:DDN65567 DNJ65566:DNJ65567 DXF65566:DXF65567 EHB65566:EHB65567 EQX65566:EQX65567 FAT65566:FAT65567 FKP65566:FKP65567 FUL65566:FUL65567 GEH65566:GEH65567 GOD65566:GOD65567 GXZ65566:GXZ65567 HHV65566:HHV65567 HRR65566:HRR65567 IBN65566:IBN65567 ILJ65566:ILJ65567 IVF65566:IVF65567 JFB65566:JFB65567 JOX65566:JOX65567 JYT65566:JYT65567 KIP65566:KIP65567 KSL65566:KSL65567 LCH65566:LCH65567 LMD65566:LMD65567 LVZ65566:LVZ65567 MFV65566:MFV65567 MPR65566:MPR65567 MZN65566:MZN65567 NJJ65566:NJJ65567 NTF65566:NTF65567 ODB65566:ODB65567 OMX65566:OMX65567 OWT65566:OWT65567 PGP65566:PGP65567 PQL65566:PQL65567 QAH65566:QAH65567 QKD65566:QKD65567 QTZ65566:QTZ65567 RDV65566:RDV65567 RNR65566:RNR65567 RXN65566:RXN65567 SHJ65566:SHJ65567 SRF65566:SRF65567 TBB65566:TBB65567 TKX65566:TKX65567 TUT65566:TUT65567 UEP65566:UEP65567 UOL65566:UOL65567 UYH65566:UYH65567 VID65566:VID65567 VRZ65566:VRZ65567 WBV65566:WBV65567 WLR65566:WLR65567 WVN65566:WVN65567 F131102:F131103 JB131102:JB131103 SX131102:SX131103 ACT131102:ACT131103 AMP131102:AMP131103 AWL131102:AWL131103 BGH131102:BGH131103 BQD131102:BQD131103 BZZ131102:BZZ131103 CJV131102:CJV131103 CTR131102:CTR131103 DDN131102:DDN131103 DNJ131102:DNJ131103 DXF131102:DXF131103 EHB131102:EHB131103 EQX131102:EQX131103 FAT131102:FAT131103 FKP131102:FKP131103 FUL131102:FUL131103 GEH131102:GEH131103 GOD131102:GOD131103 GXZ131102:GXZ131103 HHV131102:HHV131103 HRR131102:HRR131103 IBN131102:IBN131103 ILJ131102:ILJ131103 IVF131102:IVF131103 JFB131102:JFB131103 JOX131102:JOX131103 JYT131102:JYT131103 KIP131102:KIP131103 KSL131102:KSL131103 LCH131102:LCH131103 LMD131102:LMD131103 LVZ131102:LVZ131103 MFV131102:MFV131103 MPR131102:MPR131103 MZN131102:MZN131103 NJJ131102:NJJ131103 NTF131102:NTF131103 ODB131102:ODB131103 OMX131102:OMX131103 OWT131102:OWT131103 PGP131102:PGP131103 PQL131102:PQL131103 QAH131102:QAH131103 QKD131102:QKD131103 QTZ131102:QTZ131103 RDV131102:RDV131103 RNR131102:RNR131103 RXN131102:RXN131103 SHJ131102:SHJ131103 SRF131102:SRF131103 TBB131102:TBB131103 TKX131102:TKX131103 TUT131102:TUT131103 UEP131102:UEP131103 UOL131102:UOL131103 UYH131102:UYH131103 VID131102:VID131103 VRZ131102:VRZ131103 WBV131102:WBV131103 WLR131102:WLR131103 WVN131102:WVN131103 F196638:F196639 JB196638:JB196639 SX196638:SX196639 ACT196638:ACT196639 AMP196638:AMP196639 AWL196638:AWL196639 BGH196638:BGH196639 BQD196638:BQD196639 BZZ196638:BZZ196639 CJV196638:CJV196639 CTR196638:CTR196639 DDN196638:DDN196639 DNJ196638:DNJ196639 DXF196638:DXF196639 EHB196638:EHB196639 EQX196638:EQX196639 FAT196638:FAT196639 FKP196638:FKP196639 FUL196638:FUL196639 GEH196638:GEH196639 GOD196638:GOD196639 GXZ196638:GXZ196639 HHV196638:HHV196639 HRR196638:HRR196639 IBN196638:IBN196639 ILJ196638:ILJ196639 IVF196638:IVF196639 JFB196638:JFB196639 JOX196638:JOX196639 JYT196638:JYT196639 KIP196638:KIP196639 KSL196638:KSL196639 LCH196638:LCH196639 LMD196638:LMD196639 LVZ196638:LVZ196639 MFV196638:MFV196639 MPR196638:MPR196639 MZN196638:MZN196639 NJJ196638:NJJ196639 NTF196638:NTF196639 ODB196638:ODB196639 OMX196638:OMX196639 OWT196638:OWT196639 PGP196638:PGP196639 PQL196638:PQL196639 QAH196638:QAH196639 QKD196638:QKD196639 QTZ196638:QTZ196639 RDV196638:RDV196639 RNR196638:RNR196639 RXN196638:RXN196639 SHJ196638:SHJ196639 SRF196638:SRF196639 TBB196638:TBB196639 TKX196638:TKX196639 TUT196638:TUT196639 UEP196638:UEP196639 UOL196638:UOL196639 UYH196638:UYH196639 VID196638:VID196639 VRZ196638:VRZ196639 WBV196638:WBV196639 WLR196638:WLR196639 WVN196638:WVN196639 F262174:F262175 JB262174:JB262175 SX262174:SX262175 ACT262174:ACT262175 AMP262174:AMP262175 AWL262174:AWL262175 BGH262174:BGH262175 BQD262174:BQD262175 BZZ262174:BZZ262175 CJV262174:CJV262175 CTR262174:CTR262175 DDN262174:DDN262175 DNJ262174:DNJ262175 DXF262174:DXF262175 EHB262174:EHB262175 EQX262174:EQX262175 FAT262174:FAT262175 FKP262174:FKP262175 FUL262174:FUL262175 GEH262174:GEH262175 GOD262174:GOD262175 GXZ262174:GXZ262175 HHV262174:HHV262175 HRR262174:HRR262175 IBN262174:IBN262175 ILJ262174:ILJ262175 IVF262174:IVF262175 JFB262174:JFB262175 JOX262174:JOX262175 JYT262174:JYT262175 KIP262174:KIP262175 KSL262174:KSL262175 LCH262174:LCH262175 LMD262174:LMD262175 LVZ262174:LVZ262175 MFV262174:MFV262175 MPR262174:MPR262175 MZN262174:MZN262175 NJJ262174:NJJ262175 NTF262174:NTF262175 ODB262174:ODB262175 OMX262174:OMX262175 OWT262174:OWT262175 PGP262174:PGP262175 PQL262174:PQL262175 QAH262174:QAH262175 QKD262174:QKD262175 QTZ262174:QTZ262175 RDV262174:RDV262175 RNR262174:RNR262175 RXN262174:RXN262175 SHJ262174:SHJ262175 SRF262174:SRF262175 TBB262174:TBB262175 TKX262174:TKX262175 TUT262174:TUT262175 UEP262174:UEP262175 UOL262174:UOL262175 UYH262174:UYH262175 VID262174:VID262175 VRZ262174:VRZ262175 WBV262174:WBV262175 WLR262174:WLR262175 WVN262174:WVN262175 F327710:F327711 JB327710:JB327711 SX327710:SX327711 ACT327710:ACT327711 AMP327710:AMP327711 AWL327710:AWL327711 BGH327710:BGH327711 BQD327710:BQD327711 BZZ327710:BZZ327711 CJV327710:CJV327711 CTR327710:CTR327711 DDN327710:DDN327711 DNJ327710:DNJ327711 DXF327710:DXF327711 EHB327710:EHB327711 EQX327710:EQX327711 FAT327710:FAT327711 FKP327710:FKP327711 FUL327710:FUL327711 GEH327710:GEH327711 GOD327710:GOD327711 GXZ327710:GXZ327711 HHV327710:HHV327711 HRR327710:HRR327711 IBN327710:IBN327711 ILJ327710:ILJ327711 IVF327710:IVF327711 JFB327710:JFB327711 JOX327710:JOX327711 JYT327710:JYT327711 KIP327710:KIP327711 KSL327710:KSL327711 LCH327710:LCH327711 LMD327710:LMD327711 LVZ327710:LVZ327711 MFV327710:MFV327711 MPR327710:MPR327711 MZN327710:MZN327711 NJJ327710:NJJ327711 NTF327710:NTF327711 ODB327710:ODB327711 OMX327710:OMX327711 OWT327710:OWT327711 PGP327710:PGP327711 PQL327710:PQL327711 QAH327710:QAH327711 QKD327710:QKD327711 QTZ327710:QTZ327711 RDV327710:RDV327711 RNR327710:RNR327711 RXN327710:RXN327711 SHJ327710:SHJ327711 SRF327710:SRF327711 TBB327710:TBB327711 TKX327710:TKX327711 TUT327710:TUT327711 UEP327710:UEP327711 UOL327710:UOL327711 UYH327710:UYH327711 VID327710:VID327711 VRZ327710:VRZ327711 WBV327710:WBV327711 WLR327710:WLR327711 WVN327710:WVN327711 F393246:F393247 JB393246:JB393247 SX393246:SX393247 ACT393246:ACT393247 AMP393246:AMP393247 AWL393246:AWL393247 BGH393246:BGH393247 BQD393246:BQD393247 BZZ393246:BZZ393247 CJV393246:CJV393247 CTR393246:CTR393247 DDN393246:DDN393247 DNJ393246:DNJ393247 DXF393246:DXF393247 EHB393246:EHB393247 EQX393246:EQX393247 FAT393246:FAT393247 FKP393246:FKP393247 FUL393246:FUL393247 GEH393246:GEH393247 GOD393246:GOD393247 GXZ393246:GXZ393247 HHV393246:HHV393247 HRR393246:HRR393247 IBN393246:IBN393247 ILJ393246:ILJ393247 IVF393246:IVF393247 JFB393246:JFB393247 JOX393246:JOX393247 JYT393246:JYT393247 KIP393246:KIP393247 KSL393246:KSL393247 LCH393246:LCH393247 LMD393246:LMD393247 LVZ393246:LVZ393247 MFV393246:MFV393247 MPR393246:MPR393247 MZN393246:MZN393247 NJJ393246:NJJ393247 NTF393246:NTF393247 ODB393246:ODB393247 OMX393246:OMX393247 OWT393246:OWT393247 PGP393246:PGP393247 PQL393246:PQL393247 QAH393246:QAH393247 QKD393246:QKD393247 QTZ393246:QTZ393247 RDV393246:RDV393247 RNR393246:RNR393247 RXN393246:RXN393247 SHJ393246:SHJ393247 SRF393246:SRF393247 TBB393246:TBB393247 TKX393246:TKX393247 TUT393246:TUT393247 UEP393246:UEP393247 UOL393246:UOL393247 UYH393246:UYH393247 VID393246:VID393247 VRZ393246:VRZ393247 WBV393246:WBV393247 WLR393246:WLR393247 WVN393246:WVN393247 F458782:F458783 JB458782:JB458783 SX458782:SX458783 ACT458782:ACT458783 AMP458782:AMP458783 AWL458782:AWL458783 BGH458782:BGH458783 BQD458782:BQD458783 BZZ458782:BZZ458783 CJV458782:CJV458783 CTR458782:CTR458783 DDN458782:DDN458783 DNJ458782:DNJ458783 DXF458782:DXF458783 EHB458782:EHB458783 EQX458782:EQX458783 FAT458782:FAT458783 FKP458782:FKP458783 FUL458782:FUL458783 GEH458782:GEH458783 GOD458782:GOD458783 GXZ458782:GXZ458783 HHV458782:HHV458783 HRR458782:HRR458783 IBN458782:IBN458783 ILJ458782:ILJ458783 IVF458782:IVF458783 JFB458782:JFB458783 JOX458782:JOX458783 JYT458782:JYT458783 KIP458782:KIP458783 KSL458782:KSL458783 LCH458782:LCH458783 LMD458782:LMD458783 LVZ458782:LVZ458783 MFV458782:MFV458783 MPR458782:MPR458783 MZN458782:MZN458783 NJJ458782:NJJ458783 NTF458782:NTF458783 ODB458782:ODB458783 OMX458782:OMX458783 OWT458782:OWT458783 PGP458782:PGP458783 PQL458782:PQL458783 QAH458782:QAH458783 QKD458782:QKD458783 QTZ458782:QTZ458783 RDV458782:RDV458783 RNR458782:RNR458783 RXN458782:RXN458783 SHJ458782:SHJ458783 SRF458782:SRF458783 TBB458782:TBB458783 TKX458782:TKX458783 TUT458782:TUT458783 UEP458782:UEP458783 UOL458782:UOL458783 UYH458782:UYH458783 VID458782:VID458783 VRZ458782:VRZ458783 WBV458782:WBV458783 WLR458782:WLR458783 WVN458782:WVN458783 F524318:F524319 JB524318:JB524319 SX524318:SX524319 ACT524318:ACT524319 AMP524318:AMP524319 AWL524318:AWL524319 BGH524318:BGH524319 BQD524318:BQD524319 BZZ524318:BZZ524319 CJV524318:CJV524319 CTR524318:CTR524319 DDN524318:DDN524319 DNJ524318:DNJ524319 DXF524318:DXF524319 EHB524318:EHB524319 EQX524318:EQX524319 FAT524318:FAT524319 FKP524318:FKP524319 FUL524318:FUL524319 GEH524318:GEH524319 GOD524318:GOD524319 GXZ524318:GXZ524319 HHV524318:HHV524319 HRR524318:HRR524319 IBN524318:IBN524319 ILJ524318:ILJ524319 IVF524318:IVF524319 JFB524318:JFB524319 JOX524318:JOX524319 JYT524318:JYT524319 KIP524318:KIP524319 KSL524318:KSL524319 LCH524318:LCH524319 LMD524318:LMD524319 LVZ524318:LVZ524319 MFV524318:MFV524319 MPR524318:MPR524319 MZN524318:MZN524319 NJJ524318:NJJ524319 NTF524318:NTF524319 ODB524318:ODB524319 OMX524318:OMX524319 OWT524318:OWT524319 PGP524318:PGP524319 PQL524318:PQL524319 QAH524318:QAH524319 QKD524318:QKD524319 QTZ524318:QTZ524319 RDV524318:RDV524319 RNR524318:RNR524319 RXN524318:RXN524319 SHJ524318:SHJ524319 SRF524318:SRF524319 TBB524318:TBB524319 TKX524318:TKX524319 TUT524318:TUT524319 UEP524318:UEP524319 UOL524318:UOL524319 UYH524318:UYH524319 VID524318:VID524319 VRZ524318:VRZ524319 WBV524318:WBV524319 WLR524318:WLR524319 WVN524318:WVN524319 F589854:F589855 JB589854:JB589855 SX589854:SX589855 ACT589854:ACT589855 AMP589854:AMP589855 AWL589854:AWL589855 BGH589854:BGH589855 BQD589854:BQD589855 BZZ589854:BZZ589855 CJV589854:CJV589855 CTR589854:CTR589855 DDN589854:DDN589855 DNJ589854:DNJ589855 DXF589854:DXF589855 EHB589854:EHB589855 EQX589854:EQX589855 FAT589854:FAT589855 FKP589854:FKP589855 FUL589854:FUL589855 GEH589854:GEH589855 GOD589854:GOD589855 GXZ589854:GXZ589855 HHV589854:HHV589855 HRR589854:HRR589855 IBN589854:IBN589855 ILJ589854:ILJ589855 IVF589854:IVF589855 JFB589854:JFB589855 JOX589854:JOX589855 JYT589854:JYT589855 KIP589854:KIP589855 KSL589854:KSL589855 LCH589854:LCH589855 LMD589854:LMD589855 LVZ589854:LVZ589855 MFV589854:MFV589855 MPR589854:MPR589855 MZN589854:MZN589855 NJJ589854:NJJ589855 NTF589854:NTF589855 ODB589854:ODB589855 OMX589854:OMX589855 OWT589854:OWT589855 PGP589854:PGP589855 PQL589854:PQL589855 QAH589854:QAH589855 QKD589854:QKD589855 QTZ589854:QTZ589855 RDV589854:RDV589855 RNR589854:RNR589855 RXN589854:RXN589855 SHJ589854:SHJ589855 SRF589854:SRF589855 TBB589854:TBB589855 TKX589854:TKX589855 TUT589854:TUT589855 UEP589854:UEP589855 UOL589854:UOL589855 UYH589854:UYH589855 VID589854:VID589855 VRZ589854:VRZ589855 WBV589854:WBV589855 WLR589854:WLR589855 WVN589854:WVN589855 F655390:F655391 JB655390:JB655391 SX655390:SX655391 ACT655390:ACT655391 AMP655390:AMP655391 AWL655390:AWL655391 BGH655390:BGH655391 BQD655390:BQD655391 BZZ655390:BZZ655391 CJV655390:CJV655391 CTR655390:CTR655391 DDN655390:DDN655391 DNJ655390:DNJ655391 DXF655390:DXF655391 EHB655390:EHB655391 EQX655390:EQX655391 FAT655390:FAT655391 FKP655390:FKP655391 FUL655390:FUL655391 GEH655390:GEH655391 GOD655390:GOD655391 GXZ655390:GXZ655391 HHV655390:HHV655391 HRR655390:HRR655391 IBN655390:IBN655391 ILJ655390:ILJ655391 IVF655390:IVF655391 JFB655390:JFB655391 JOX655390:JOX655391 JYT655390:JYT655391 KIP655390:KIP655391 KSL655390:KSL655391 LCH655390:LCH655391 LMD655390:LMD655391 LVZ655390:LVZ655391 MFV655390:MFV655391 MPR655390:MPR655391 MZN655390:MZN655391 NJJ655390:NJJ655391 NTF655390:NTF655391 ODB655390:ODB655391 OMX655390:OMX655391 OWT655390:OWT655391 PGP655390:PGP655391 PQL655390:PQL655391 QAH655390:QAH655391 QKD655390:QKD655391 QTZ655390:QTZ655391 RDV655390:RDV655391 RNR655390:RNR655391 RXN655390:RXN655391 SHJ655390:SHJ655391 SRF655390:SRF655391 TBB655390:TBB655391 TKX655390:TKX655391 TUT655390:TUT655391 UEP655390:UEP655391 UOL655390:UOL655391 UYH655390:UYH655391 VID655390:VID655391 VRZ655390:VRZ655391 WBV655390:WBV655391 WLR655390:WLR655391 WVN655390:WVN655391 F720926:F720927 JB720926:JB720927 SX720926:SX720927 ACT720926:ACT720927 AMP720926:AMP720927 AWL720926:AWL720927 BGH720926:BGH720927 BQD720926:BQD720927 BZZ720926:BZZ720927 CJV720926:CJV720927 CTR720926:CTR720927 DDN720926:DDN720927 DNJ720926:DNJ720927 DXF720926:DXF720927 EHB720926:EHB720927 EQX720926:EQX720927 FAT720926:FAT720927 FKP720926:FKP720927 FUL720926:FUL720927 GEH720926:GEH720927 GOD720926:GOD720927 GXZ720926:GXZ720927 HHV720926:HHV720927 HRR720926:HRR720927 IBN720926:IBN720927 ILJ720926:ILJ720927 IVF720926:IVF720927 JFB720926:JFB720927 JOX720926:JOX720927 JYT720926:JYT720927 KIP720926:KIP720927 KSL720926:KSL720927 LCH720926:LCH720927 LMD720926:LMD720927 LVZ720926:LVZ720927 MFV720926:MFV720927 MPR720926:MPR720927 MZN720926:MZN720927 NJJ720926:NJJ720927 NTF720926:NTF720927 ODB720926:ODB720927 OMX720926:OMX720927 OWT720926:OWT720927 PGP720926:PGP720927 PQL720926:PQL720927 QAH720926:QAH720927 QKD720926:QKD720927 QTZ720926:QTZ720927 RDV720926:RDV720927 RNR720926:RNR720927 RXN720926:RXN720927 SHJ720926:SHJ720927 SRF720926:SRF720927 TBB720926:TBB720927 TKX720926:TKX720927 TUT720926:TUT720927 UEP720926:UEP720927 UOL720926:UOL720927 UYH720926:UYH720927 VID720926:VID720927 VRZ720926:VRZ720927 WBV720926:WBV720927 WLR720926:WLR720927 WVN720926:WVN720927 F786462:F786463 JB786462:JB786463 SX786462:SX786463 ACT786462:ACT786463 AMP786462:AMP786463 AWL786462:AWL786463 BGH786462:BGH786463 BQD786462:BQD786463 BZZ786462:BZZ786463 CJV786462:CJV786463 CTR786462:CTR786463 DDN786462:DDN786463 DNJ786462:DNJ786463 DXF786462:DXF786463 EHB786462:EHB786463 EQX786462:EQX786463 FAT786462:FAT786463 FKP786462:FKP786463 FUL786462:FUL786463 GEH786462:GEH786463 GOD786462:GOD786463 GXZ786462:GXZ786463 HHV786462:HHV786463 HRR786462:HRR786463 IBN786462:IBN786463 ILJ786462:ILJ786463 IVF786462:IVF786463 JFB786462:JFB786463 JOX786462:JOX786463 JYT786462:JYT786463 KIP786462:KIP786463 KSL786462:KSL786463 LCH786462:LCH786463 LMD786462:LMD786463 LVZ786462:LVZ786463 MFV786462:MFV786463 MPR786462:MPR786463 MZN786462:MZN786463 NJJ786462:NJJ786463 NTF786462:NTF786463 ODB786462:ODB786463 OMX786462:OMX786463 OWT786462:OWT786463 PGP786462:PGP786463 PQL786462:PQL786463 QAH786462:QAH786463 QKD786462:QKD786463 QTZ786462:QTZ786463 RDV786462:RDV786463 RNR786462:RNR786463 RXN786462:RXN786463 SHJ786462:SHJ786463 SRF786462:SRF786463 TBB786462:TBB786463 TKX786462:TKX786463 TUT786462:TUT786463 UEP786462:UEP786463 UOL786462:UOL786463 UYH786462:UYH786463 VID786462:VID786463 VRZ786462:VRZ786463 WBV786462:WBV786463 WLR786462:WLR786463 WVN786462:WVN786463 F851998:F851999 JB851998:JB851999 SX851998:SX851999 ACT851998:ACT851999 AMP851998:AMP851999 AWL851998:AWL851999 BGH851998:BGH851999 BQD851998:BQD851999 BZZ851998:BZZ851999 CJV851998:CJV851999 CTR851998:CTR851999 DDN851998:DDN851999 DNJ851998:DNJ851999 DXF851998:DXF851999 EHB851998:EHB851999 EQX851998:EQX851999 FAT851998:FAT851999 FKP851998:FKP851999 FUL851998:FUL851999 GEH851998:GEH851999 GOD851998:GOD851999 GXZ851998:GXZ851999 HHV851998:HHV851999 HRR851998:HRR851999 IBN851998:IBN851999 ILJ851998:ILJ851999 IVF851998:IVF851999 JFB851998:JFB851999 JOX851998:JOX851999 JYT851998:JYT851999 KIP851998:KIP851999 KSL851998:KSL851999 LCH851998:LCH851999 LMD851998:LMD851999 LVZ851998:LVZ851999 MFV851998:MFV851999 MPR851998:MPR851999 MZN851998:MZN851999 NJJ851998:NJJ851999 NTF851998:NTF851999 ODB851998:ODB851999 OMX851998:OMX851999 OWT851998:OWT851999 PGP851998:PGP851999 PQL851998:PQL851999 QAH851998:QAH851999 QKD851998:QKD851999 QTZ851998:QTZ851999 RDV851998:RDV851999 RNR851998:RNR851999 RXN851998:RXN851999 SHJ851998:SHJ851999 SRF851998:SRF851999 TBB851998:TBB851999 TKX851998:TKX851999 TUT851998:TUT851999 UEP851998:UEP851999 UOL851998:UOL851999 UYH851998:UYH851999 VID851998:VID851999 VRZ851998:VRZ851999 WBV851998:WBV851999 WLR851998:WLR851999 WVN851998:WVN851999 F917534:F917535 JB917534:JB917535 SX917534:SX917535 ACT917534:ACT917535 AMP917534:AMP917535 AWL917534:AWL917535 BGH917534:BGH917535 BQD917534:BQD917535 BZZ917534:BZZ917535 CJV917534:CJV917535 CTR917534:CTR917535 DDN917534:DDN917535 DNJ917534:DNJ917535 DXF917534:DXF917535 EHB917534:EHB917535 EQX917534:EQX917535 FAT917534:FAT917535 FKP917534:FKP917535 FUL917534:FUL917535 GEH917534:GEH917535 GOD917534:GOD917535 GXZ917534:GXZ917535 HHV917534:HHV917535 HRR917534:HRR917535 IBN917534:IBN917535 ILJ917534:ILJ917535 IVF917534:IVF917535 JFB917534:JFB917535 JOX917534:JOX917535 JYT917534:JYT917535 KIP917534:KIP917535 KSL917534:KSL917535 LCH917534:LCH917535 LMD917534:LMD917535 LVZ917534:LVZ917535 MFV917534:MFV917535 MPR917534:MPR917535 MZN917534:MZN917535 NJJ917534:NJJ917535 NTF917534:NTF917535 ODB917534:ODB917535 OMX917534:OMX917535 OWT917534:OWT917535 PGP917534:PGP917535 PQL917534:PQL917535 QAH917534:QAH917535 QKD917534:QKD917535 QTZ917534:QTZ917535 RDV917534:RDV917535 RNR917534:RNR917535 RXN917534:RXN917535 SHJ917534:SHJ917535 SRF917534:SRF917535 TBB917534:TBB917535 TKX917534:TKX917535 TUT917534:TUT917535 UEP917534:UEP917535 UOL917534:UOL917535 UYH917534:UYH917535 VID917534:VID917535 VRZ917534:VRZ917535 WBV917534:WBV917535 WLR917534:WLR917535 WVN917534:WVN917535 F983070:F983071 JB983070:JB983071 SX983070:SX983071 ACT983070:ACT983071 AMP983070:AMP983071 AWL983070:AWL983071 BGH983070:BGH983071 BQD983070:BQD983071 BZZ983070:BZZ983071 CJV983070:CJV983071 CTR983070:CTR983071 DDN983070:DDN983071 DNJ983070:DNJ983071 DXF983070:DXF983071 EHB983070:EHB983071 EQX983070:EQX983071 FAT983070:FAT983071 FKP983070:FKP983071 FUL983070:FUL983071 GEH983070:GEH983071 GOD983070:GOD983071 GXZ983070:GXZ983071 HHV983070:HHV983071 HRR983070:HRR983071 IBN983070:IBN983071 ILJ983070:ILJ983071 IVF983070:IVF983071 JFB983070:JFB983071 JOX983070:JOX983071 JYT983070:JYT983071 KIP983070:KIP983071 KSL983070:KSL983071 LCH983070:LCH983071 LMD983070:LMD983071 LVZ983070:LVZ983071 MFV983070:MFV983071 MPR983070:MPR983071 MZN983070:MZN983071 NJJ983070:NJJ983071 NTF983070:NTF983071 ODB983070:ODB983071 OMX983070:OMX983071 OWT983070:OWT983071 PGP983070:PGP983071 PQL983070:PQL983071 QAH983070:QAH983071 QKD983070:QKD983071 QTZ983070:QTZ983071 RDV983070:RDV983071 RNR983070:RNR983071 RXN983070:RXN983071 SHJ983070:SHJ983071 SRF983070:SRF983071 TBB983070:TBB983071 TKX983070:TKX983071 TUT983070:TUT983071 UEP983070:UEP983071 UOL983070:UOL983071 UYH983070:UYH983071 VID983070:VID983071 VRZ983070:VRZ983071 WBV983070:WBV983071 WLR983070:WLR983071 WVN983070:WVN983071">
      <formula1>$Q$22:$Q$27</formula1>
    </dataValidation>
  </dataValidations>
  <pageMargins left="0.75" right="0.75" top="1" bottom="1" header="0.5" footer="0.5"/>
  <pageSetup scale="84" orientation="portrait" r:id="rId1"/>
  <headerFooter alignWithMargins="0"/>
  <rowBreaks count="1" manualBreakCount="1">
    <brk id="59"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EZ514"/>
  <sheetViews>
    <sheetView workbookViewId="0">
      <pane ySplit="13" topLeftCell="A14" activePane="bottomLeft" state="frozen"/>
      <selection pane="bottomLeft" activeCell="A14" sqref="A14"/>
    </sheetView>
  </sheetViews>
  <sheetFormatPr defaultRowHeight="14.5" x14ac:dyDescent="0.35"/>
  <cols>
    <col min="1" max="1" width="17.453125" customWidth="1"/>
    <col min="2" max="2" width="12" style="50" customWidth="1"/>
    <col min="3" max="3" width="9.7265625" customWidth="1"/>
    <col min="4" max="4" width="13" customWidth="1"/>
    <col min="5" max="5" width="11.81640625" customWidth="1"/>
    <col min="6" max="6" width="9.81640625" customWidth="1"/>
    <col min="7" max="7" width="14.1796875" customWidth="1"/>
    <col min="8" max="8" width="11.54296875" customWidth="1"/>
    <col min="9" max="9" width="5.81640625" customWidth="1"/>
    <col min="10" max="10" width="17.1796875" customWidth="1"/>
    <col min="11" max="11" width="17.1796875" bestFit="1" customWidth="1"/>
    <col min="12" max="12" width="8.7265625" customWidth="1"/>
    <col min="13" max="13" width="10.54296875" customWidth="1"/>
    <col min="14" max="14" width="9.81640625" customWidth="1"/>
    <col min="15" max="15" width="10.26953125" customWidth="1"/>
    <col min="16" max="16" width="13.1796875" customWidth="1"/>
    <col min="17" max="17" width="12.453125" customWidth="1"/>
    <col min="18" max="18" width="12" customWidth="1"/>
    <col min="19" max="19" width="18" customWidth="1"/>
    <col min="20" max="20" width="15" customWidth="1"/>
    <col min="16370" max="16370" width="8.7265625" customWidth="1"/>
    <col min="16371" max="16371" width="22.7265625" customWidth="1"/>
    <col min="16372" max="16372" width="0" hidden="1" customWidth="1"/>
    <col min="16373" max="16373" width="11.1796875" customWidth="1"/>
    <col min="16374" max="16374" width="1.81640625" hidden="1" customWidth="1"/>
    <col min="16375" max="16375" width="16.81640625" hidden="1" customWidth="1"/>
    <col min="16376" max="16376" width="31.7265625" customWidth="1"/>
    <col min="16377" max="16377" width="7.7265625" customWidth="1"/>
    <col min="16378" max="16378" width="5.81640625" customWidth="1"/>
    <col min="16379" max="16379" width="10.81640625" customWidth="1"/>
    <col min="16380" max="16380" width="12.54296875" customWidth="1"/>
  </cols>
  <sheetData>
    <row r="1" spans="1:21 16372:16380" s="39" customFormat="1" ht="34.5" customHeight="1" thickBot="1" x14ac:dyDescent="0.4">
      <c r="A1" s="642" t="s">
        <v>10</v>
      </c>
      <c r="B1" s="643"/>
      <c r="C1" s="643"/>
      <c r="D1" s="643"/>
      <c r="E1" s="643"/>
      <c r="F1" s="643"/>
      <c r="G1" s="643"/>
      <c r="H1" s="643"/>
      <c r="I1" s="643"/>
      <c r="J1" s="643"/>
      <c r="K1" s="643"/>
      <c r="L1" s="643"/>
      <c r="M1" s="643"/>
      <c r="N1" s="643"/>
      <c r="O1" s="643"/>
      <c r="P1" s="644"/>
      <c r="Q1" s="38"/>
      <c r="R1" s="38"/>
      <c r="S1" s="38"/>
      <c r="T1" s="38"/>
      <c r="XER1" s="39" t="s">
        <v>1</v>
      </c>
      <c r="XET1" s="39" t="s">
        <v>48</v>
      </c>
      <c r="XEV1" s="39" t="s">
        <v>17</v>
      </c>
      <c r="XEW1" s="39" t="s">
        <v>25</v>
      </c>
      <c r="XEX1" s="39" t="s">
        <v>28</v>
      </c>
      <c r="XEY1" s="39">
        <v>0</v>
      </c>
      <c r="XEZ1" s="39" t="s">
        <v>31</v>
      </c>
    </row>
    <row r="2" spans="1:21 16372:16380" ht="15" thickBot="1" x14ac:dyDescent="0.4">
      <c r="B2"/>
      <c r="C2" s="2"/>
      <c r="D2" s="2"/>
      <c r="E2" s="2"/>
      <c r="F2" s="2"/>
      <c r="G2" s="2"/>
      <c r="H2" s="2"/>
      <c r="I2" s="2"/>
      <c r="J2" s="2"/>
      <c r="K2" s="2"/>
      <c r="XER2" t="s">
        <v>2</v>
      </c>
      <c r="XET2" t="s">
        <v>12</v>
      </c>
      <c r="XEV2" t="s">
        <v>15</v>
      </c>
      <c r="XEW2" t="s">
        <v>26</v>
      </c>
      <c r="XEX2" t="s">
        <v>29</v>
      </c>
      <c r="XEY2">
        <v>5</v>
      </c>
      <c r="XEZ2" t="s">
        <v>32</v>
      </c>
    </row>
    <row r="3" spans="1:21 16372:16380" ht="34.5" customHeight="1" thickBot="1" x14ac:dyDescent="0.4">
      <c r="A3" s="13" t="s">
        <v>34</v>
      </c>
      <c r="B3" s="45"/>
      <c r="D3" s="15" t="s">
        <v>3</v>
      </c>
      <c r="E3" s="46"/>
      <c r="G3" s="15" t="s">
        <v>6</v>
      </c>
      <c r="H3" s="47"/>
      <c r="J3" s="15" t="s">
        <v>49</v>
      </c>
      <c r="K3" s="48"/>
      <c r="M3" s="640" t="s">
        <v>36</v>
      </c>
      <c r="N3" s="641"/>
      <c r="O3" s="635" t="s">
        <v>37</v>
      </c>
      <c r="P3" s="636"/>
      <c r="T3" t="s">
        <v>256</v>
      </c>
      <c r="U3">
        <f>COUNTIF(D14:D300,"Metal")</f>
        <v>0</v>
      </c>
      <c r="XET3" t="s">
        <v>13</v>
      </c>
      <c r="XEV3" t="s">
        <v>16</v>
      </c>
      <c r="XEW3" t="s">
        <v>27</v>
      </c>
      <c r="XEX3" t="s">
        <v>30</v>
      </c>
      <c r="XEY3">
        <v>12</v>
      </c>
      <c r="XEZ3" t="s">
        <v>33</v>
      </c>
    </row>
    <row r="4" spans="1:21 16372:16380" ht="35.25" customHeight="1" thickBot="1" x14ac:dyDescent="0.4">
      <c r="A4" s="14" t="s">
        <v>0</v>
      </c>
      <c r="B4" s="10" t="s">
        <v>2</v>
      </c>
      <c r="D4" s="8" t="s">
        <v>4</v>
      </c>
      <c r="E4" s="46"/>
      <c r="G4" s="8" t="s">
        <v>7</v>
      </c>
      <c r="H4" s="47"/>
      <c r="J4" s="15" t="s">
        <v>50</v>
      </c>
      <c r="K4" s="40"/>
      <c r="M4" s="27" t="s">
        <v>53</v>
      </c>
      <c r="N4" s="28" t="s">
        <v>52</v>
      </c>
      <c r="O4" s="26" t="s">
        <v>54</v>
      </c>
      <c r="P4" s="29" t="s">
        <v>55</v>
      </c>
      <c r="T4" t="s">
        <v>257</v>
      </c>
      <c r="U4">
        <f>COUNTIF(D14:D300,"Plastic/Rubber")</f>
        <v>0</v>
      </c>
      <c r="XEV4" t="s">
        <v>22</v>
      </c>
      <c r="XEY4">
        <v>18</v>
      </c>
    </row>
    <row r="5" spans="1:21 16372:16380" ht="39" customHeight="1" thickBot="1" x14ac:dyDescent="0.4">
      <c r="A5" s="13" t="s">
        <v>9</v>
      </c>
      <c r="B5" s="11" t="s">
        <v>1</v>
      </c>
      <c r="D5" s="8" t="s">
        <v>5</v>
      </c>
      <c r="E5" s="1"/>
      <c r="G5" s="8" t="s">
        <v>8</v>
      </c>
      <c r="H5" s="9"/>
      <c r="J5" s="15" t="s">
        <v>51</v>
      </c>
      <c r="K5" s="40"/>
      <c r="M5" s="41">
        <v>18</v>
      </c>
      <c r="N5" s="44">
        <v>998729</v>
      </c>
      <c r="O5" s="42">
        <v>18</v>
      </c>
      <c r="P5" s="43">
        <v>998729</v>
      </c>
      <c r="T5" t="s">
        <v>258</v>
      </c>
      <c r="U5">
        <f>COUNTIF(D14:D300,"Consumables")</f>
        <v>0</v>
      </c>
      <c r="XEV5" t="s">
        <v>18</v>
      </c>
      <c r="XEY5">
        <v>28</v>
      </c>
    </row>
    <row r="6" spans="1:21 16372:16380" ht="13.5" customHeight="1" x14ac:dyDescent="0.35">
      <c r="B6"/>
      <c r="L6" s="20"/>
      <c r="M6" s="25"/>
      <c r="N6" s="20"/>
      <c r="O6" s="25"/>
      <c r="P6" s="21"/>
      <c r="Q6" s="22"/>
      <c r="R6" s="22"/>
      <c r="T6" t="s">
        <v>16</v>
      </c>
      <c r="U6">
        <f>COUNTIF(D14:D300,"Glass")</f>
        <v>0</v>
      </c>
      <c r="XEV6" t="s">
        <v>19</v>
      </c>
    </row>
    <row r="7" spans="1:21 16372:16380" ht="4.5" hidden="1" customHeight="1" x14ac:dyDescent="0.35">
      <c r="B7"/>
      <c r="L7" s="20"/>
      <c r="M7" s="25"/>
      <c r="N7" s="20"/>
      <c r="O7" s="25"/>
      <c r="P7" s="21"/>
      <c r="Q7" s="22"/>
      <c r="R7" s="22"/>
      <c r="XEV7" t="s">
        <v>20</v>
      </c>
    </row>
    <row r="8" spans="1:21 16372:16380" hidden="1" x14ac:dyDescent="0.35">
      <c r="B8"/>
      <c r="I8" s="34"/>
      <c r="L8" s="23"/>
      <c r="M8" s="23"/>
      <c r="N8" s="23"/>
      <c r="O8" s="23"/>
      <c r="P8" s="23"/>
      <c r="Q8" s="24"/>
      <c r="R8" s="24"/>
      <c r="XEV8" t="s">
        <v>21</v>
      </c>
    </row>
    <row r="9" spans="1:21 16372:16380" ht="1.5" hidden="1" customHeight="1" x14ac:dyDescent="0.35">
      <c r="B9"/>
    </row>
    <row r="10" spans="1:21 16372:16380" hidden="1" x14ac:dyDescent="0.35">
      <c r="B10"/>
    </row>
    <row r="11" spans="1:21 16372:16380" ht="0.75" customHeight="1" thickBot="1" x14ac:dyDescent="0.4">
      <c r="A11" s="35"/>
      <c r="B11" s="36"/>
      <c r="C11" s="36"/>
      <c r="D11" s="36"/>
      <c r="E11" s="36"/>
      <c r="F11" s="36"/>
      <c r="G11" s="36"/>
      <c r="H11" s="36"/>
      <c r="I11" s="36"/>
      <c r="J11" s="36"/>
      <c r="K11" s="36"/>
      <c r="L11" s="36"/>
      <c r="M11" s="36"/>
      <c r="N11" s="36"/>
      <c r="O11" s="36"/>
      <c r="P11" s="36"/>
    </row>
    <row r="12" spans="1:21 16372:16380" s="37" customFormat="1" ht="27.75" customHeight="1" thickBot="1" x14ac:dyDescent="0.65">
      <c r="A12" s="637" t="s">
        <v>11</v>
      </c>
      <c r="B12" s="638"/>
      <c r="C12" s="638"/>
      <c r="D12" s="638"/>
      <c r="E12" s="638"/>
      <c r="F12" s="638"/>
      <c r="G12" s="638"/>
      <c r="H12" s="638"/>
      <c r="I12" s="638"/>
      <c r="J12" s="638"/>
      <c r="K12" s="638"/>
      <c r="L12" s="638"/>
      <c r="M12" s="638"/>
      <c r="N12" s="638"/>
      <c r="O12" s="638"/>
      <c r="P12" s="639"/>
      <c r="T12" s="37" t="s">
        <v>255</v>
      </c>
      <c r="U12" s="37">
        <f>SUM(L14:L300)</f>
        <v>0</v>
      </c>
    </row>
    <row r="13" spans="1:21 16372:16380" ht="31.5" customHeight="1" thickBot="1" x14ac:dyDescent="0.4">
      <c r="A13" s="17" t="s">
        <v>38</v>
      </c>
      <c r="B13" s="17" t="s">
        <v>39</v>
      </c>
      <c r="C13" s="19" t="s">
        <v>40</v>
      </c>
      <c r="D13" s="17" t="s">
        <v>14</v>
      </c>
      <c r="E13" s="17" t="s">
        <v>23</v>
      </c>
      <c r="F13" s="17" t="s">
        <v>24</v>
      </c>
      <c r="G13" s="645" t="s">
        <v>35</v>
      </c>
      <c r="H13" s="646"/>
      <c r="I13" s="647"/>
      <c r="J13" s="18" t="s">
        <v>41</v>
      </c>
      <c r="K13" s="17" t="s">
        <v>42</v>
      </c>
      <c r="L13" s="17" t="s">
        <v>43</v>
      </c>
      <c r="M13" s="19" t="s">
        <v>44</v>
      </c>
      <c r="N13" s="19" t="s">
        <v>45</v>
      </c>
      <c r="O13" s="30" t="s">
        <v>46</v>
      </c>
      <c r="P13" s="33" t="s">
        <v>47</v>
      </c>
      <c r="Q13" s="32"/>
      <c r="R13" s="32"/>
      <c r="S13" s="32"/>
      <c r="T13" s="32"/>
    </row>
    <row r="14" spans="1:21 16372:16380" ht="15" thickBot="1" x14ac:dyDescent="0.4">
      <c r="A14" s="16">
        <v>1</v>
      </c>
      <c r="B14" s="16"/>
      <c r="C14" s="16"/>
      <c r="D14" s="16"/>
      <c r="E14" s="16"/>
      <c r="F14" s="16"/>
      <c r="G14" s="632">
        <f>'Repair Assessment Sheet'!H44</f>
        <v>0</v>
      </c>
      <c r="H14" s="633"/>
      <c r="I14" s="634"/>
      <c r="J14" s="374"/>
      <c r="K14" s="16">
        <f>'Repair Assessment Sheet'!J44</f>
        <v>0</v>
      </c>
      <c r="L14" s="16"/>
      <c r="M14" s="16">
        <f>'Repair Assessment Sheet'!Q44</f>
        <v>0</v>
      </c>
      <c r="N14" s="16">
        <f>'Repair Assessment Sheet'!R44</f>
        <v>0</v>
      </c>
      <c r="O14" s="51">
        <f>'Repair Assessment Sheet'!S44</f>
        <v>0</v>
      </c>
      <c r="P14" s="51"/>
      <c r="Q14" s="31"/>
      <c r="R14" s="31">
        <f>'Repair Assessment Sheet'!V44</f>
        <v>0.28000000000000003</v>
      </c>
      <c r="S14" s="31"/>
      <c r="T14" s="31"/>
      <c r="U14" s="3"/>
    </row>
    <row r="15" spans="1:21 16372:16380" ht="15" thickBot="1" x14ac:dyDescent="0.4">
      <c r="A15" s="16">
        <v>2</v>
      </c>
      <c r="B15" s="16"/>
      <c r="C15" s="16"/>
      <c r="D15" s="16"/>
      <c r="E15" s="16"/>
      <c r="F15" s="16"/>
      <c r="G15" s="632">
        <f>'Repair Assessment Sheet'!H45</f>
        <v>0</v>
      </c>
      <c r="H15" s="633"/>
      <c r="I15" s="634"/>
      <c r="J15" s="374"/>
      <c r="K15" s="16">
        <f>'Repair Assessment Sheet'!J45</f>
        <v>0</v>
      </c>
      <c r="L15" s="16"/>
      <c r="M15" s="16">
        <f>'Repair Assessment Sheet'!Q45</f>
        <v>0</v>
      </c>
      <c r="N15" s="16">
        <f>'Repair Assessment Sheet'!R45</f>
        <v>0</v>
      </c>
      <c r="O15" s="51">
        <f>'Repair Assessment Sheet'!S45</f>
        <v>0</v>
      </c>
      <c r="P15" s="51"/>
      <c r="Q15" s="31"/>
      <c r="R15" s="31">
        <f>'Repair Assessment Sheet'!V45</f>
        <v>0.18</v>
      </c>
      <c r="S15" s="31"/>
      <c r="T15" s="31"/>
    </row>
    <row r="16" spans="1:21 16372:16380" ht="15" thickBot="1" x14ac:dyDescent="0.4">
      <c r="A16" s="16">
        <v>3</v>
      </c>
      <c r="B16" s="16"/>
      <c r="C16" s="16"/>
      <c r="D16" s="16"/>
      <c r="E16" s="16"/>
      <c r="F16" s="16"/>
      <c r="G16" s="632">
        <f>'Repair Assessment Sheet'!H46</f>
        <v>0</v>
      </c>
      <c r="H16" s="633"/>
      <c r="I16" s="634"/>
      <c r="J16" s="374"/>
      <c r="K16" s="16">
        <f>'Repair Assessment Sheet'!J46</f>
        <v>0</v>
      </c>
      <c r="L16" s="16"/>
      <c r="M16" s="16">
        <f>'Repair Assessment Sheet'!Q46</f>
        <v>0</v>
      </c>
      <c r="N16" s="16">
        <f>'Repair Assessment Sheet'!R46</f>
        <v>0</v>
      </c>
      <c r="O16" s="51">
        <f>'Repair Assessment Sheet'!S46</f>
        <v>0</v>
      </c>
      <c r="P16" s="51"/>
      <c r="Q16" s="31"/>
      <c r="R16" s="31">
        <f>'Repair Assessment Sheet'!V46</f>
        <v>0.28000000000000003</v>
      </c>
      <c r="S16" s="31"/>
      <c r="T16" s="31"/>
    </row>
    <row r="17" spans="1:20" ht="15" thickBot="1" x14ac:dyDescent="0.4">
      <c r="A17" s="16">
        <v>4</v>
      </c>
      <c r="B17" s="16"/>
      <c r="C17" s="16"/>
      <c r="D17" s="16"/>
      <c r="E17" s="16"/>
      <c r="F17" s="16"/>
      <c r="G17" s="632">
        <f>'Repair Assessment Sheet'!H47</f>
        <v>0</v>
      </c>
      <c r="H17" s="633"/>
      <c r="I17" s="634"/>
      <c r="J17" s="374"/>
      <c r="K17" s="16">
        <f>'Repair Assessment Sheet'!J47</f>
        <v>0</v>
      </c>
      <c r="L17" s="16"/>
      <c r="M17" s="16">
        <f>'Repair Assessment Sheet'!Q47</f>
        <v>0</v>
      </c>
      <c r="N17" s="16">
        <f>'Repair Assessment Sheet'!R47</f>
        <v>0</v>
      </c>
      <c r="O17" s="51">
        <f>'Repair Assessment Sheet'!S47</f>
        <v>0</v>
      </c>
      <c r="P17" s="51"/>
      <c r="Q17" s="31"/>
      <c r="R17" s="31">
        <f>'Repair Assessment Sheet'!V47</f>
        <v>0.18</v>
      </c>
      <c r="S17" s="31"/>
      <c r="T17" s="31"/>
    </row>
    <row r="18" spans="1:20" ht="15" thickBot="1" x14ac:dyDescent="0.4">
      <c r="A18" s="16">
        <v>5</v>
      </c>
      <c r="B18" s="16"/>
      <c r="C18" s="16"/>
      <c r="D18" s="16"/>
      <c r="E18" s="16"/>
      <c r="F18" s="16"/>
      <c r="G18" s="632">
        <f>'Repair Assessment Sheet'!H48</f>
        <v>0</v>
      </c>
      <c r="H18" s="633"/>
      <c r="I18" s="634"/>
      <c r="J18" s="374"/>
      <c r="K18" s="16">
        <f>'Repair Assessment Sheet'!J48</f>
        <v>0</v>
      </c>
      <c r="L18" s="16"/>
      <c r="M18" s="16">
        <f>'Repair Assessment Sheet'!Q48</f>
        <v>0</v>
      </c>
      <c r="N18" s="16">
        <f>'Repair Assessment Sheet'!R48</f>
        <v>0</v>
      </c>
      <c r="O18" s="51">
        <f>'Repair Assessment Sheet'!S48</f>
        <v>0</v>
      </c>
      <c r="P18" s="51"/>
      <c r="Q18" s="31"/>
      <c r="R18" s="31">
        <f>'Repair Assessment Sheet'!V48</f>
        <v>0.18</v>
      </c>
      <c r="S18" s="31"/>
      <c r="T18" s="31"/>
    </row>
    <row r="19" spans="1:20" ht="15" thickBot="1" x14ac:dyDescent="0.4">
      <c r="A19" s="16">
        <v>6</v>
      </c>
      <c r="B19" s="16"/>
      <c r="C19" s="16"/>
      <c r="D19" s="16"/>
      <c r="E19" s="16"/>
      <c r="F19" s="16"/>
      <c r="G19" s="632">
        <f>'Repair Assessment Sheet'!H49</f>
        <v>0</v>
      </c>
      <c r="H19" s="633"/>
      <c r="I19" s="634"/>
      <c r="J19" s="374"/>
      <c r="K19" s="16">
        <f>'Repair Assessment Sheet'!J49</f>
        <v>0</v>
      </c>
      <c r="L19" s="16"/>
      <c r="M19" s="16">
        <f>'Repair Assessment Sheet'!Q49</f>
        <v>0</v>
      </c>
      <c r="N19" s="16">
        <f>'Repair Assessment Sheet'!R49</f>
        <v>0</v>
      </c>
      <c r="O19" s="51">
        <f>'Repair Assessment Sheet'!S49</f>
        <v>0</v>
      </c>
      <c r="P19" s="51"/>
      <c r="Q19" s="31"/>
      <c r="R19" s="31">
        <f>'Repair Assessment Sheet'!V49</f>
        <v>0.18</v>
      </c>
      <c r="S19" s="31"/>
      <c r="T19" s="31"/>
    </row>
    <row r="20" spans="1:20" ht="15" thickBot="1" x14ac:dyDescent="0.4">
      <c r="A20" s="16">
        <v>7</v>
      </c>
      <c r="B20" s="16"/>
      <c r="C20" s="16"/>
      <c r="D20" s="16"/>
      <c r="E20" s="16"/>
      <c r="F20" s="16"/>
      <c r="G20" s="632">
        <f>'Repair Assessment Sheet'!H50</f>
        <v>0</v>
      </c>
      <c r="H20" s="633"/>
      <c r="I20" s="634"/>
      <c r="J20" s="374"/>
      <c r="K20" s="16">
        <f>'Repair Assessment Sheet'!J50</f>
        <v>0</v>
      </c>
      <c r="L20" s="16"/>
      <c r="M20" s="16">
        <f>'Repair Assessment Sheet'!Q50</f>
        <v>0</v>
      </c>
      <c r="N20" s="16">
        <f>'Repair Assessment Sheet'!R50</f>
        <v>0</v>
      </c>
      <c r="O20" s="51">
        <f>'Repair Assessment Sheet'!S50</f>
        <v>0</v>
      </c>
      <c r="P20" s="51"/>
      <c r="Q20" s="31"/>
      <c r="R20" s="31">
        <f>'Repair Assessment Sheet'!V50</f>
        <v>0.18</v>
      </c>
      <c r="S20" s="31"/>
      <c r="T20" s="31"/>
    </row>
    <row r="21" spans="1:20" ht="15" thickBot="1" x14ac:dyDescent="0.4">
      <c r="A21" s="4">
        <v>8</v>
      </c>
      <c r="B21" s="16"/>
      <c r="C21" s="16"/>
      <c r="D21" s="16"/>
      <c r="E21" s="16"/>
      <c r="F21" s="16"/>
      <c r="G21" s="632">
        <f>'Repair Assessment Sheet'!H51</f>
        <v>0</v>
      </c>
      <c r="H21" s="633"/>
      <c r="I21" s="634"/>
      <c r="J21" s="374"/>
      <c r="K21" s="16">
        <f>'Repair Assessment Sheet'!J51</f>
        <v>0</v>
      </c>
      <c r="L21" s="16"/>
      <c r="M21" s="16">
        <f>'Repair Assessment Sheet'!Q51</f>
        <v>0</v>
      </c>
      <c r="N21" s="16">
        <f>'Repair Assessment Sheet'!R51</f>
        <v>0</v>
      </c>
      <c r="O21" s="51">
        <f>'Repair Assessment Sheet'!S51</f>
        <v>0</v>
      </c>
      <c r="P21" s="51"/>
      <c r="Q21" s="31"/>
      <c r="R21" s="31">
        <f>'Repair Assessment Sheet'!V51</f>
        <v>0.18</v>
      </c>
      <c r="S21" s="31"/>
      <c r="T21" s="31"/>
    </row>
    <row r="22" spans="1:20" ht="15" thickBot="1" x14ac:dyDescent="0.4">
      <c r="A22" s="4">
        <v>9</v>
      </c>
      <c r="B22" s="16"/>
      <c r="C22" s="16"/>
      <c r="D22" s="16"/>
      <c r="E22" s="16"/>
      <c r="F22" s="16"/>
      <c r="G22" s="632">
        <f>'Repair Assessment Sheet'!H52</f>
        <v>0</v>
      </c>
      <c r="H22" s="633"/>
      <c r="I22" s="634"/>
      <c r="J22" s="374"/>
      <c r="K22" s="16">
        <f>'Repair Assessment Sheet'!J52</f>
        <v>0</v>
      </c>
      <c r="L22" s="16"/>
      <c r="M22" s="16">
        <f>'Repair Assessment Sheet'!Q52</f>
        <v>0</v>
      </c>
      <c r="N22" s="16">
        <f>'Repair Assessment Sheet'!R52</f>
        <v>0</v>
      </c>
      <c r="O22" s="51">
        <f>'Repair Assessment Sheet'!S52</f>
        <v>0</v>
      </c>
      <c r="P22" s="51"/>
      <c r="Q22" s="31"/>
      <c r="R22" s="31">
        <f>'Repair Assessment Sheet'!V52</f>
        <v>0.18</v>
      </c>
      <c r="S22" s="31"/>
      <c r="T22" s="31"/>
    </row>
    <row r="23" spans="1:20" ht="15" thickBot="1" x14ac:dyDescent="0.4">
      <c r="A23" s="4">
        <v>10</v>
      </c>
      <c r="B23" s="16"/>
      <c r="C23" s="16"/>
      <c r="D23" s="16"/>
      <c r="E23" s="16"/>
      <c r="F23" s="16"/>
      <c r="G23" s="632">
        <f>'Repair Assessment Sheet'!H53</f>
        <v>0</v>
      </c>
      <c r="H23" s="633"/>
      <c r="I23" s="634"/>
      <c r="J23" s="374"/>
      <c r="K23" s="16">
        <f>'Repair Assessment Sheet'!J53</f>
        <v>0</v>
      </c>
      <c r="L23" s="16"/>
      <c r="M23" s="16">
        <f>'Repair Assessment Sheet'!Q53</f>
        <v>0</v>
      </c>
      <c r="N23" s="16">
        <f>'Repair Assessment Sheet'!R53</f>
        <v>0</v>
      </c>
      <c r="O23" s="51">
        <f>'Repair Assessment Sheet'!S53</f>
        <v>0</v>
      </c>
      <c r="P23" s="51"/>
      <c r="Q23" s="31"/>
      <c r="R23" s="31">
        <f>'Repair Assessment Sheet'!V53</f>
        <v>0.28000000000000003</v>
      </c>
      <c r="S23" s="31"/>
      <c r="T23" s="31"/>
    </row>
    <row r="24" spans="1:20" ht="15" thickBot="1" x14ac:dyDescent="0.4">
      <c r="A24" s="4">
        <v>11</v>
      </c>
      <c r="B24" s="16"/>
      <c r="C24" s="16"/>
      <c r="D24" s="16"/>
      <c r="E24" s="16"/>
      <c r="F24" s="16"/>
      <c r="G24" s="632">
        <f>'Repair Assessment Sheet'!H54</f>
        <v>0</v>
      </c>
      <c r="H24" s="633"/>
      <c r="I24" s="634"/>
      <c r="J24" s="374"/>
      <c r="K24" s="16">
        <f>'Repair Assessment Sheet'!J54</f>
        <v>0</v>
      </c>
      <c r="L24" s="16"/>
      <c r="M24" s="16">
        <f>'Repair Assessment Sheet'!Q54</f>
        <v>0</v>
      </c>
      <c r="N24" s="16">
        <f>'Repair Assessment Sheet'!R54</f>
        <v>0</v>
      </c>
      <c r="O24" s="51">
        <f>'Repair Assessment Sheet'!S54</f>
        <v>0</v>
      </c>
      <c r="P24" s="51"/>
      <c r="Q24" s="31"/>
      <c r="R24" s="31">
        <f>'Repair Assessment Sheet'!V54</f>
        <v>0.18</v>
      </c>
      <c r="S24" s="31"/>
      <c r="T24" s="31"/>
    </row>
    <row r="25" spans="1:20" ht="15" thickBot="1" x14ac:dyDescent="0.4">
      <c r="A25" s="4">
        <v>12</v>
      </c>
      <c r="B25" s="16"/>
      <c r="C25" s="16"/>
      <c r="D25" s="16"/>
      <c r="E25" s="16"/>
      <c r="F25" s="16"/>
      <c r="G25" s="632">
        <f>'Repair Assessment Sheet'!H55</f>
        <v>0</v>
      </c>
      <c r="H25" s="633"/>
      <c r="I25" s="634"/>
      <c r="J25" s="374"/>
      <c r="K25" s="16">
        <f>'Repair Assessment Sheet'!J55</f>
        <v>0</v>
      </c>
      <c r="L25" s="16"/>
      <c r="M25" s="16">
        <f>'Repair Assessment Sheet'!Q55</f>
        <v>0</v>
      </c>
      <c r="N25" s="16">
        <f>'Repair Assessment Sheet'!R55</f>
        <v>0</v>
      </c>
      <c r="O25" s="51">
        <f>'Repair Assessment Sheet'!S55</f>
        <v>0</v>
      </c>
      <c r="P25" s="51"/>
      <c r="Q25" s="31"/>
      <c r="R25" s="31">
        <f>'Repair Assessment Sheet'!V55</f>
        <v>0.28000000000000003</v>
      </c>
      <c r="S25" s="31"/>
      <c r="T25" s="31"/>
    </row>
    <row r="26" spans="1:20" ht="15" thickBot="1" x14ac:dyDescent="0.4">
      <c r="A26" s="4">
        <v>13</v>
      </c>
      <c r="B26" s="16"/>
      <c r="C26" s="16"/>
      <c r="D26" s="16"/>
      <c r="E26" s="16"/>
      <c r="F26" s="16"/>
      <c r="G26" s="632" t="e">
        <f>'Repair Assessment Sheet'!#REF!</f>
        <v>#REF!</v>
      </c>
      <c r="H26" s="633"/>
      <c r="I26" s="634"/>
      <c r="J26" s="374"/>
      <c r="K26" s="16" t="e">
        <f>'Repair Assessment Sheet'!#REF!</f>
        <v>#REF!</v>
      </c>
      <c r="L26" s="16"/>
      <c r="M26" s="16" t="e">
        <f>'Repair Assessment Sheet'!#REF!</f>
        <v>#REF!</v>
      </c>
      <c r="N26" s="16" t="e">
        <f>'Repair Assessment Sheet'!#REF!</f>
        <v>#REF!</v>
      </c>
      <c r="O26" s="51" t="e">
        <f>'Repair Assessment Sheet'!#REF!</f>
        <v>#REF!</v>
      </c>
      <c r="P26" s="51"/>
      <c r="Q26" s="31"/>
      <c r="R26" s="31" t="e">
        <f>'Repair Assessment Sheet'!#REF!</f>
        <v>#REF!</v>
      </c>
      <c r="S26" s="31"/>
      <c r="T26" s="31"/>
    </row>
    <row r="27" spans="1:20" ht="15" thickBot="1" x14ac:dyDescent="0.4">
      <c r="A27" s="4">
        <v>14</v>
      </c>
      <c r="B27" s="16"/>
      <c r="C27" s="16"/>
      <c r="D27" s="16"/>
      <c r="E27" s="16"/>
      <c r="F27" s="16"/>
      <c r="G27" s="632">
        <f>'Repair Assessment Sheet'!H56</f>
        <v>0</v>
      </c>
      <c r="H27" s="633"/>
      <c r="I27" s="634"/>
      <c r="J27" s="374"/>
      <c r="K27" s="16">
        <f>'Repair Assessment Sheet'!J56</f>
        <v>0</v>
      </c>
      <c r="L27" s="16"/>
      <c r="M27" s="16">
        <f>'Repair Assessment Sheet'!Q56</f>
        <v>0</v>
      </c>
      <c r="N27" s="16">
        <f>'Repair Assessment Sheet'!R56</f>
        <v>0</v>
      </c>
      <c r="O27" s="51">
        <f>'Repair Assessment Sheet'!S56</f>
        <v>0</v>
      </c>
      <c r="P27" s="51"/>
      <c r="Q27" s="31"/>
      <c r="R27" s="31">
        <f>'Repair Assessment Sheet'!V56</f>
        <v>0.28000000000000003</v>
      </c>
      <c r="S27" s="31"/>
      <c r="T27" s="31"/>
    </row>
    <row r="28" spans="1:20" ht="15" thickBot="1" x14ac:dyDescent="0.4">
      <c r="A28" s="4">
        <v>15</v>
      </c>
      <c r="B28" s="16"/>
      <c r="C28" s="16"/>
      <c r="D28" s="16"/>
      <c r="E28" s="16"/>
      <c r="F28" s="16"/>
      <c r="G28" s="632">
        <f>'Repair Assessment Sheet'!H57</f>
        <v>0</v>
      </c>
      <c r="H28" s="633"/>
      <c r="I28" s="634"/>
      <c r="J28" s="374"/>
      <c r="K28" s="16">
        <f>'Repair Assessment Sheet'!J57</f>
        <v>0</v>
      </c>
      <c r="L28" s="16"/>
      <c r="M28" s="16">
        <f>'Repair Assessment Sheet'!Q57</f>
        <v>0</v>
      </c>
      <c r="N28" s="16">
        <f>'Repair Assessment Sheet'!R57</f>
        <v>0</v>
      </c>
      <c r="O28" s="51">
        <f>'Repair Assessment Sheet'!S57</f>
        <v>0</v>
      </c>
      <c r="P28" s="51"/>
      <c r="Q28" s="31"/>
      <c r="R28" s="31">
        <f>'Repair Assessment Sheet'!V57</f>
        <v>0.18</v>
      </c>
      <c r="S28" s="31"/>
      <c r="T28" s="31"/>
    </row>
    <row r="29" spans="1:20" ht="15" thickBot="1" x14ac:dyDescent="0.4">
      <c r="A29" s="4">
        <v>16</v>
      </c>
      <c r="B29" s="16"/>
      <c r="C29" s="16"/>
      <c r="D29" s="16"/>
      <c r="E29" s="16"/>
      <c r="F29" s="16"/>
      <c r="G29" s="632">
        <f>'Repair Assessment Sheet'!H58</f>
        <v>0</v>
      </c>
      <c r="H29" s="633"/>
      <c r="I29" s="634"/>
      <c r="J29" s="374"/>
      <c r="K29" s="16">
        <f>'Repair Assessment Sheet'!J58</f>
        <v>0</v>
      </c>
      <c r="L29" s="16"/>
      <c r="M29" s="16">
        <f>'Repair Assessment Sheet'!Q58</f>
        <v>0</v>
      </c>
      <c r="N29" s="16">
        <f>'Repair Assessment Sheet'!R58</f>
        <v>0</v>
      </c>
      <c r="O29" s="51">
        <f>'Repair Assessment Sheet'!S58</f>
        <v>0</v>
      </c>
      <c r="P29" s="51"/>
      <c r="Q29" s="31"/>
      <c r="R29" s="31">
        <f>'Repair Assessment Sheet'!V58</f>
        <v>0.28000000000000003</v>
      </c>
      <c r="S29" s="31"/>
      <c r="T29" s="31"/>
    </row>
    <row r="30" spans="1:20" ht="15" thickBot="1" x14ac:dyDescent="0.4">
      <c r="A30" s="4">
        <v>17</v>
      </c>
      <c r="B30" s="16"/>
      <c r="C30" s="16"/>
      <c r="D30" s="16"/>
      <c r="E30" s="16"/>
      <c r="F30" s="16"/>
      <c r="G30" s="632">
        <f>'Repair Assessment Sheet'!H59</f>
        <v>0</v>
      </c>
      <c r="H30" s="633"/>
      <c r="I30" s="634"/>
      <c r="J30" s="374"/>
      <c r="K30" s="16">
        <f>'Repair Assessment Sheet'!J59</f>
        <v>0</v>
      </c>
      <c r="L30" s="16"/>
      <c r="M30" s="16">
        <f>'Repair Assessment Sheet'!Q59</f>
        <v>0</v>
      </c>
      <c r="N30" s="16">
        <f>'Repair Assessment Sheet'!R59</f>
        <v>0</v>
      </c>
      <c r="O30" s="51">
        <f>'Repair Assessment Sheet'!S59</f>
        <v>0</v>
      </c>
      <c r="P30" s="51"/>
      <c r="Q30" s="31"/>
      <c r="R30" s="31">
        <f>'Repair Assessment Sheet'!V59</f>
        <v>0.28000000000000003</v>
      </c>
      <c r="S30" s="31"/>
      <c r="T30" s="31"/>
    </row>
    <row r="31" spans="1:20" ht="15" thickBot="1" x14ac:dyDescent="0.4">
      <c r="A31" s="4">
        <v>18</v>
      </c>
      <c r="B31" s="16"/>
      <c r="C31" s="16"/>
      <c r="D31" s="16"/>
      <c r="E31" s="16"/>
      <c r="F31" s="16"/>
      <c r="G31" s="632">
        <f>'Repair Assessment Sheet'!H60</f>
        <v>0</v>
      </c>
      <c r="H31" s="633"/>
      <c r="I31" s="634"/>
      <c r="J31" s="374"/>
      <c r="K31" s="16">
        <f>'Repair Assessment Sheet'!J60</f>
        <v>0</v>
      </c>
      <c r="L31" s="16"/>
      <c r="M31" s="16">
        <f>'Repair Assessment Sheet'!Q60</f>
        <v>0</v>
      </c>
      <c r="N31" s="16">
        <f>'Repair Assessment Sheet'!R60</f>
        <v>0</v>
      </c>
      <c r="O31" s="51">
        <f>'Repair Assessment Sheet'!S60</f>
        <v>0</v>
      </c>
      <c r="P31" s="51"/>
      <c r="Q31" s="31"/>
      <c r="R31" s="31">
        <f>'Repair Assessment Sheet'!V60</f>
        <v>0.28000000000000003</v>
      </c>
      <c r="S31" s="31"/>
      <c r="T31" s="31"/>
    </row>
    <row r="32" spans="1:20" ht="15" thickBot="1" x14ac:dyDescent="0.4">
      <c r="A32" s="16">
        <v>19</v>
      </c>
      <c r="B32" s="16"/>
      <c r="C32" s="16"/>
      <c r="D32" s="16"/>
      <c r="E32" s="16"/>
      <c r="F32" s="16"/>
      <c r="G32" s="632">
        <f>'Repair Assessment Sheet'!H61</f>
        <v>0</v>
      </c>
      <c r="H32" s="633"/>
      <c r="I32" s="634"/>
      <c r="J32" s="374"/>
      <c r="K32" s="16">
        <f>'Repair Assessment Sheet'!J61</f>
        <v>0</v>
      </c>
      <c r="L32" s="16"/>
      <c r="M32" s="16">
        <f>'Repair Assessment Sheet'!Q61</f>
        <v>0</v>
      </c>
      <c r="N32" s="16">
        <f>'Repair Assessment Sheet'!R61</f>
        <v>0</v>
      </c>
      <c r="O32" s="51">
        <f>'Repair Assessment Sheet'!S61</f>
        <v>0</v>
      </c>
      <c r="P32" s="51"/>
      <c r="Q32" s="31"/>
      <c r="R32" s="31">
        <f>'Repair Assessment Sheet'!V61</f>
        <v>0.18</v>
      </c>
      <c r="S32" s="31"/>
      <c r="T32" s="31"/>
    </row>
    <row r="33" spans="1:20" ht="15" thickBot="1" x14ac:dyDescent="0.4">
      <c r="A33" s="4">
        <v>20</v>
      </c>
      <c r="B33" s="16"/>
      <c r="C33" s="16"/>
      <c r="D33" s="16"/>
      <c r="E33" s="16"/>
      <c r="F33" s="16"/>
      <c r="G33" s="632">
        <f>'Repair Assessment Sheet'!H62</f>
        <v>0</v>
      </c>
      <c r="H33" s="633"/>
      <c r="I33" s="634"/>
      <c r="J33" s="374"/>
      <c r="K33" s="16">
        <f>'Repair Assessment Sheet'!J62</f>
        <v>0</v>
      </c>
      <c r="L33" s="16"/>
      <c r="M33" s="16">
        <f>'Repair Assessment Sheet'!Q62</f>
        <v>0</v>
      </c>
      <c r="N33" s="16">
        <f>'Repair Assessment Sheet'!R62</f>
        <v>0</v>
      </c>
      <c r="O33" s="51">
        <f>'Repair Assessment Sheet'!S62</f>
        <v>0</v>
      </c>
      <c r="P33" s="51"/>
      <c r="Q33" s="31"/>
      <c r="R33" s="31">
        <f>'Repair Assessment Sheet'!V62</f>
        <v>0.18</v>
      </c>
      <c r="S33" s="31"/>
      <c r="T33" s="31"/>
    </row>
    <row r="34" spans="1:20" ht="15" thickBot="1" x14ac:dyDescent="0.4">
      <c r="A34" s="4">
        <v>21</v>
      </c>
      <c r="B34" s="16"/>
      <c r="C34" s="16"/>
      <c r="D34" s="16"/>
      <c r="E34" s="16"/>
      <c r="F34" s="16"/>
      <c r="G34" s="632">
        <f>'Repair Assessment Sheet'!H63</f>
        <v>0</v>
      </c>
      <c r="H34" s="633"/>
      <c r="I34" s="634"/>
      <c r="J34" s="374"/>
      <c r="K34" s="16">
        <f>'Repair Assessment Sheet'!J63</f>
        <v>0</v>
      </c>
      <c r="L34" s="16"/>
      <c r="M34" s="16">
        <f>'Repair Assessment Sheet'!Q63</f>
        <v>0</v>
      </c>
      <c r="N34" s="16">
        <f>'Repair Assessment Sheet'!R63</f>
        <v>0</v>
      </c>
      <c r="O34" s="51">
        <f>'Repair Assessment Sheet'!S63</f>
        <v>0</v>
      </c>
      <c r="P34" s="51"/>
      <c r="Q34" s="31"/>
      <c r="R34" s="31">
        <f>'Repair Assessment Sheet'!V63</f>
        <v>0.28000000000000003</v>
      </c>
      <c r="S34" s="31"/>
      <c r="T34" s="31"/>
    </row>
    <row r="35" spans="1:20" ht="15" thickBot="1" x14ac:dyDescent="0.4">
      <c r="A35" s="4">
        <v>22</v>
      </c>
      <c r="B35" s="16"/>
      <c r="C35" s="16"/>
      <c r="D35" s="16"/>
      <c r="E35" s="16"/>
      <c r="F35" s="16"/>
      <c r="G35" s="632">
        <f>'Repair Assessment Sheet'!H64</f>
        <v>0</v>
      </c>
      <c r="H35" s="633"/>
      <c r="I35" s="634"/>
      <c r="J35" s="374"/>
      <c r="K35" s="16">
        <f>'Repair Assessment Sheet'!J64</f>
        <v>0</v>
      </c>
      <c r="L35" s="16"/>
      <c r="M35" s="16">
        <f>'Repair Assessment Sheet'!Q64</f>
        <v>0</v>
      </c>
      <c r="N35" s="16">
        <f>'Repair Assessment Sheet'!R64</f>
        <v>0</v>
      </c>
      <c r="O35" s="51">
        <f>'Repair Assessment Sheet'!S64</f>
        <v>0</v>
      </c>
      <c r="P35" s="51"/>
      <c r="Q35" s="31"/>
      <c r="R35" s="31">
        <f>'Repair Assessment Sheet'!V64</f>
        <v>0.28000000000000003</v>
      </c>
      <c r="S35" s="31"/>
      <c r="T35" s="31"/>
    </row>
    <row r="36" spans="1:20" ht="15" thickBot="1" x14ac:dyDescent="0.4">
      <c r="A36" s="4">
        <v>23</v>
      </c>
      <c r="B36" s="16"/>
      <c r="C36" s="16"/>
      <c r="D36" s="16"/>
      <c r="E36" s="16"/>
      <c r="F36" s="16"/>
      <c r="G36" s="632">
        <f>'Repair Assessment Sheet'!H65</f>
        <v>0</v>
      </c>
      <c r="H36" s="633"/>
      <c r="I36" s="634"/>
      <c r="J36" s="374"/>
      <c r="K36" s="16">
        <f>'Repair Assessment Sheet'!J65</f>
        <v>0</v>
      </c>
      <c r="L36" s="16"/>
      <c r="M36" s="16">
        <f>'Repair Assessment Sheet'!Q65</f>
        <v>0</v>
      </c>
      <c r="N36" s="16">
        <f>'Repair Assessment Sheet'!R65</f>
        <v>0</v>
      </c>
      <c r="O36" s="51">
        <f>'Repair Assessment Sheet'!S65</f>
        <v>0</v>
      </c>
      <c r="P36" s="51"/>
      <c r="Q36" s="31"/>
      <c r="R36" s="31">
        <f>'Repair Assessment Sheet'!V65</f>
        <v>0.28000000000000003</v>
      </c>
      <c r="S36" s="31"/>
      <c r="T36" s="31"/>
    </row>
    <row r="37" spans="1:20" ht="15" thickBot="1" x14ac:dyDescent="0.4">
      <c r="A37" s="4">
        <v>24</v>
      </c>
      <c r="B37" s="16"/>
      <c r="C37" s="16"/>
      <c r="D37" s="16"/>
      <c r="E37" s="16"/>
      <c r="F37" s="16"/>
      <c r="G37" s="632">
        <f>'Repair Assessment Sheet'!H66</f>
        <v>0</v>
      </c>
      <c r="H37" s="633"/>
      <c r="I37" s="634"/>
      <c r="J37" s="374"/>
      <c r="K37" s="16">
        <f>'Repair Assessment Sheet'!J66</f>
        <v>0</v>
      </c>
      <c r="L37" s="16"/>
      <c r="M37" s="16">
        <f>'Repair Assessment Sheet'!Q66</f>
        <v>0</v>
      </c>
      <c r="N37" s="16">
        <f>'Repair Assessment Sheet'!R66</f>
        <v>0</v>
      </c>
      <c r="O37" s="51">
        <f>'Repair Assessment Sheet'!S66</f>
        <v>0</v>
      </c>
      <c r="P37" s="51"/>
      <c r="Q37" s="31"/>
      <c r="R37" s="31">
        <f>'Repair Assessment Sheet'!V66</f>
        <v>0.18</v>
      </c>
      <c r="S37" s="31"/>
      <c r="T37" s="31"/>
    </row>
    <row r="38" spans="1:20" ht="15" thickBot="1" x14ac:dyDescent="0.4">
      <c r="A38" s="4">
        <v>25</v>
      </c>
      <c r="B38" s="16"/>
      <c r="C38" s="16"/>
      <c r="D38" s="16"/>
      <c r="E38" s="16"/>
      <c r="F38" s="16"/>
      <c r="G38" s="632">
        <f>'Repair Assessment Sheet'!H67</f>
        <v>0</v>
      </c>
      <c r="H38" s="633"/>
      <c r="I38" s="634"/>
      <c r="J38" s="374"/>
      <c r="K38" s="16">
        <f>'Repair Assessment Sheet'!J67</f>
        <v>0</v>
      </c>
      <c r="L38" s="16"/>
      <c r="M38" s="16">
        <f>'Repair Assessment Sheet'!Q67</f>
        <v>0</v>
      </c>
      <c r="N38" s="16">
        <f>'Repair Assessment Sheet'!R67</f>
        <v>0</v>
      </c>
      <c r="O38" s="51">
        <f>'Repair Assessment Sheet'!S67</f>
        <v>0</v>
      </c>
      <c r="P38" s="51"/>
      <c r="Q38" s="31"/>
      <c r="R38" s="31">
        <f>'Repair Assessment Sheet'!V67</f>
        <v>0.18</v>
      </c>
      <c r="S38" s="31"/>
      <c r="T38" s="31"/>
    </row>
    <row r="39" spans="1:20" ht="15" thickBot="1" x14ac:dyDescent="0.4">
      <c r="A39" s="4">
        <v>26</v>
      </c>
      <c r="B39" s="16"/>
      <c r="C39" s="16"/>
      <c r="D39" s="16"/>
      <c r="E39" s="16"/>
      <c r="F39" s="16"/>
      <c r="G39" s="632" t="e">
        <f>'Repair Assessment Sheet'!#REF!</f>
        <v>#REF!</v>
      </c>
      <c r="H39" s="633"/>
      <c r="I39" s="634"/>
      <c r="J39" s="374"/>
      <c r="K39" s="16" t="e">
        <f>'Repair Assessment Sheet'!#REF!</f>
        <v>#REF!</v>
      </c>
      <c r="L39" s="16"/>
      <c r="M39" s="16" t="e">
        <f>'Repair Assessment Sheet'!#REF!</f>
        <v>#REF!</v>
      </c>
      <c r="N39" s="16" t="e">
        <f>'Repair Assessment Sheet'!#REF!</f>
        <v>#REF!</v>
      </c>
      <c r="O39" s="51" t="e">
        <f>'Repair Assessment Sheet'!#REF!</f>
        <v>#REF!</v>
      </c>
      <c r="P39" s="51"/>
      <c r="Q39" s="31"/>
      <c r="R39" s="31" t="e">
        <f>'Repair Assessment Sheet'!#REF!</f>
        <v>#REF!</v>
      </c>
      <c r="S39" s="31"/>
      <c r="T39" s="31"/>
    </row>
    <row r="40" spans="1:20" ht="15" thickBot="1" x14ac:dyDescent="0.4">
      <c r="A40" s="4">
        <v>27</v>
      </c>
      <c r="B40" s="16"/>
      <c r="C40" s="16"/>
      <c r="D40" s="16"/>
      <c r="E40" s="16"/>
      <c r="F40" s="16"/>
      <c r="G40" s="632" t="e">
        <f>'Repair Assessment Sheet'!#REF!</f>
        <v>#REF!</v>
      </c>
      <c r="H40" s="633"/>
      <c r="I40" s="634"/>
      <c r="J40" s="374"/>
      <c r="K40" s="16" t="e">
        <f>'Repair Assessment Sheet'!#REF!</f>
        <v>#REF!</v>
      </c>
      <c r="L40" s="16"/>
      <c r="M40" s="16" t="e">
        <f>'Repair Assessment Sheet'!#REF!</f>
        <v>#REF!</v>
      </c>
      <c r="N40" s="16" t="e">
        <f>'Repair Assessment Sheet'!#REF!</f>
        <v>#REF!</v>
      </c>
      <c r="O40" s="51" t="e">
        <f>'Repair Assessment Sheet'!#REF!</f>
        <v>#REF!</v>
      </c>
      <c r="P40" s="51"/>
      <c r="Q40" s="31"/>
      <c r="R40" s="31" t="e">
        <f>'Repair Assessment Sheet'!#REF!</f>
        <v>#REF!</v>
      </c>
      <c r="S40" s="31"/>
      <c r="T40" s="31"/>
    </row>
    <row r="41" spans="1:20" ht="15" thickBot="1" x14ac:dyDescent="0.4">
      <c r="A41" s="4">
        <v>28</v>
      </c>
      <c r="B41" s="16"/>
      <c r="C41" s="16"/>
      <c r="D41" s="16"/>
      <c r="E41" s="16"/>
      <c r="F41" s="16"/>
      <c r="G41" s="632" t="e">
        <f>'Repair Assessment Sheet'!#REF!</f>
        <v>#REF!</v>
      </c>
      <c r="H41" s="633"/>
      <c r="I41" s="634"/>
      <c r="J41" s="374"/>
      <c r="K41" s="16" t="e">
        <f>'Repair Assessment Sheet'!#REF!</f>
        <v>#REF!</v>
      </c>
      <c r="L41" s="16"/>
      <c r="M41" s="16" t="e">
        <f>'Repair Assessment Sheet'!#REF!</f>
        <v>#REF!</v>
      </c>
      <c r="N41" s="16" t="e">
        <f>'Repair Assessment Sheet'!#REF!</f>
        <v>#REF!</v>
      </c>
      <c r="O41" s="51" t="e">
        <f>'Repair Assessment Sheet'!#REF!</f>
        <v>#REF!</v>
      </c>
      <c r="P41" s="51"/>
      <c r="Q41" s="31"/>
      <c r="R41" s="31" t="e">
        <f>'Repair Assessment Sheet'!#REF!</f>
        <v>#REF!</v>
      </c>
      <c r="S41" s="31"/>
      <c r="T41" s="31"/>
    </row>
    <row r="42" spans="1:20" ht="15" thickBot="1" x14ac:dyDescent="0.4">
      <c r="A42" s="4">
        <v>29</v>
      </c>
      <c r="B42" s="16"/>
      <c r="C42" s="16"/>
      <c r="D42" s="16"/>
      <c r="E42" s="16"/>
      <c r="F42" s="16"/>
      <c r="G42" s="632" t="e">
        <f>'Repair Assessment Sheet'!#REF!</f>
        <v>#REF!</v>
      </c>
      <c r="H42" s="633"/>
      <c r="I42" s="634"/>
      <c r="J42" s="374"/>
      <c r="K42" s="16" t="e">
        <f>'Repair Assessment Sheet'!#REF!</f>
        <v>#REF!</v>
      </c>
      <c r="L42" s="16"/>
      <c r="M42" s="16" t="e">
        <f>'Repair Assessment Sheet'!#REF!</f>
        <v>#REF!</v>
      </c>
      <c r="N42" s="16" t="e">
        <f>'Repair Assessment Sheet'!#REF!</f>
        <v>#REF!</v>
      </c>
      <c r="O42" s="51" t="e">
        <f>'Repair Assessment Sheet'!#REF!</f>
        <v>#REF!</v>
      </c>
      <c r="P42" s="51"/>
      <c r="Q42" s="31"/>
      <c r="R42" s="31" t="e">
        <f>'Repair Assessment Sheet'!#REF!</f>
        <v>#REF!</v>
      </c>
      <c r="S42" s="31"/>
      <c r="T42" s="31"/>
    </row>
    <row r="43" spans="1:20" ht="15" thickBot="1" x14ac:dyDescent="0.4">
      <c r="A43" s="4">
        <v>30</v>
      </c>
      <c r="B43" s="16"/>
      <c r="C43" s="16"/>
      <c r="D43" s="16"/>
      <c r="E43" s="16"/>
      <c r="F43" s="16"/>
      <c r="G43" s="632" t="e">
        <f>'Repair Assessment Sheet'!#REF!</f>
        <v>#REF!</v>
      </c>
      <c r="H43" s="633"/>
      <c r="I43" s="634"/>
      <c r="J43" s="374"/>
      <c r="K43" s="16" t="e">
        <f>'Repair Assessment Sheet'!#REF!</f>
        <v>#REF!</v>
      </c>
      <c r="L43" s="16"/>
      <c r="M43" s="16" t="e">
        <f>'Repair Assessment Sheet'!#REF!</f>
        <v>#REF!</v>
      </c>
      <c r="N43" s="16" t="e">
        <f>'Repair Assessment Sheet'!#REF!</f>
        <v>#REF!</v>
      </c>
      <c r="O43" s="51" t="e">
        <f>'Repair Assessment Sheet'!#REF!</f>
        <v>#REF!</v>
      </c>
      <c r="P43" s="51"/>
      <c r="Q43" s="31"/>
      <c r="R43" s="31" t="e">
        <f>'Repair Assessment Sheet'!#REF!</f>
        <v>#REF!</v>
      </c>
      <c r="S43" s="31"/>
      <c r="T43" s="31"/>
    </row>
    <row r="44" spans="1:20" ht="15" thickBot="1" x14ac:dyDescent="0.4">
      <c r="A44" s="4">
        <v>31</v>
      </c>
      <c r="B44" s="16"/>
      <c r="C44" s="16"/>
      <c r="D44" s="16"/>
      <c r="E44" s="16"/>
      <c r="F44" s="16"/>
      <c r="G44" s="632" t="e">
        <f>'Repair Assessment Sheet'!#REF!</f>
        <v>#REF!</v>
      </c>
      <c r="H44" s="633"/>
      <c r="I44" s="634"/>
      <c r="J44" s="374"/>
      <c r="K44" s="16" t="e">
        <f>'Repair Assessment Sheet'!#REF!</f>
        <v>#REF!</v>
      </c>
      <c r="L44" s="16"/>
      <c r="M44" s="16" t="e">
        <f>'Repair Assessment Sheet'!#REF!</f>
        <v>#REF!</v>
      </c>
      <c r="N44" s="16" t="e">
        <f>'Repair Assessment Sheet'!#REF!</f>
        <v>#REF!</v>
      </c>
      <c r="O44" s="51" t="e">
        <f>'Repair Assessment Sheet'!#REF!</f>
        <v>#REF!</v>
      </c>
      <c r="P44" s="51"/>
      <c r="Q44" s="31"/>
      <c r="R44" s="31" t="e">
        <f>'Repair Assessment Sheet'!#REF!</f>
        <v>#REF!</v>
      </c>
      <c r="S44" s="31"/>
      <c r="T44" s="31"/>
    </row>
    <row r="45" spans="1:20" ht="15" thickBot="1" x14ac:dyDescent="0.4">
      <c r="A45" s="4">
        <v>32</v>
      </c>
      <c r="B45" s="16"/>
      <c r="C45" s="16"/>
      <c r="D45" s="16"/>
      <c r="E45" s="16"/>
      <c r="F45" s="16"/>
      <c r="G45" s="632" t="e">
        <f>'Repair Assessment Sheet'!#REF!</f>
        <v>#REF!</v>
      </c>
      <c r="H45" s="633"/>
      <c r="I45" s="634"/>
      <c r="J45" s="374"/>
      <c r="K45" s="16" t="e">
        <f>'Repair Assessment Sheet'!#REF!</f>
        <v>#REF!</v>
      </c>
      <c r="L45" s="16"/>
      <c r="M45" s="16" t="e">
        <f>'Repair Assessment Sheet'!#REF!</f>
        <v>#REF!</v>
      </c>
      <c r="N45" s="16" t="e">
        <f>'Repair Assessment Sheet'!#REF!</f>
        <v>#REF!</v>
      </c>
      <c r="O45" s="51" t="e">
        <f>'Repair Assessment Sheet'!#REF!</f>
        <v>#REF!</v>
      </c>
      <c r="P45" s="51"/>
      <c r="Q45" s="31"/>
      <c r="R45" s="31" t="e">
        <f>'Repair Assessment Sheet'!#REF!</f>
        <v>#REF!</v>
      </c>
      <c r="S45" s="31"/>
      <c r="T45" s="31"/>
    </row>
    <row r="46" spans="1:20" ht="15" thickBot="1" x14ac:dyDescent="0.4">
      <c r="A46" s="4">
        <v>33</v>
      </c>
      <c r="B46" s="16"/>
      <c r="C46" s="16"/>
      <c r="D46" s="16"/>
      <c r="E46" s="16"/>
      <c r="F46" s="16"/>
      <c r="G46" s="632" t="e">
        <f>'Repair Assessment Sheet'!#REF!</f>
        <v>#REF!</v>
      </c>
      <c r="H46" s="633"/>
      <c r="I46" s="634"/>
      <c r="J46" s="374"/>
      <c r="K46" s="16" t="e">
        <f>'Repair Assessment Sheet'!#REF!</f>
        <v>#REF!</v>
      </c>
      <c r="L46" s="16"/>
      <c r="M46" s="16" t="e">
        <f>'Repair Assessment Sheet'!#REF!</f>
        <v>#REF!</v>
      </c>
      <c r="N46" s="16" t="e">
        <f>'Repair Assessment Sheet'!#REF!</f>
        <v>#REF!</v>
      </c>
      <c r="O46" s="51" t="e">
        <f>'Repair Assessment Sheet'!#REF!</f>
        <v>#REF!</v>
      </c>
      <c r="P46" s="51"/>
      <c r="Q46" s="31"/>
      <c r="R46" s="31" t="e">
        <f>'Repair Assessment Sheet'!#REF!</f>
        <v>#REF!</v>
      </c>
      <c r="S46" s="31"/>
      <c r="T46" s="31"/>
    </row>
    <row r="47" spans="1:20" ht="15" thickBot="1" x14ac:dyDescent="0.4">
      <c r="A47" s="4">
        <v>34</v>
      </c>
      <c r="B47" s="16"/>
      <c r="C47" s="16"/>
      <c r="D47" s="16"/>
      <c r="E47" s="16"/>
      <c r="F47" s="16"/>
      <c r="G47" s="632" t="e">
        <f>'Repair Assessment Sheet'!#REF!</f>
        <v>#REF!</v>
      </c>
      <c r="H47" s="633"/>
      <c r="I47" s="634"/>
      <c r="J47" s="374"/>
      <c r="K47" s="16" t="e">
        <f>'Repair Assessment Sheet'!#REF!</f>
        <v>#REF!</v>
      </c>
      <c r="L47" s="16"/>
      <c r="M47" s="16" t="e">
        <f>'Repair Assessment Sheet'!#REF!</f>
        <v>#REF!</v>
      </c>
      <c r="N47" s="16" t="e">
        <f>'Repair Assessment Sheet'!#REF!</f>
        <v>#REF!</v>
      </c>
      <c r="O47" s="51" t="e">
        <f>'Repair Assessment Sheet'!#REF!</f>
        <v>#REF!</v>
      </c>
      <c r="P47" s="51"/>
      <c r="Q47" s="31"/>
      <c r="R47" s="31" t="e">
        <f>'Repair Assessment Sheet'!#REF!</f>
        <v>#REF!</v>
      </c>
      <c r="S47" s="31"/>
      <c r="T47" s="31"/>
    </row>
    <row r="48" spans="1:20" ht="15" thickBot="1" x14ac:dyDescent="0.4">
      <c r="A48" s="4">
        <v>35</v>
      </c>
      <c r="B48" s="16"/>
      <c r="C48" s="16"/>
      <c r="D48" s="16"/>
      <c r="E48" s="16"/>
      <c r="F48" s="16"/>
      <c r="G48" s="632" t="e">
        <f>'Repair Assessment Sheet'!#REF!</f>
        <v>#REF!</v>
      </c>
      <c r="H48" s="633"/>
      <c r="I48" s="634"/>
      <c r="J48" s="374"/>
      <c r="K48" s="16" t="e">
        <f>'Repair Assessment Sheet'!#REF!</f>
        <v>#REF!</v>
      </c>
      <c r="L48" s="16"/>
      <c r="M48" s="16" t="e">
        <f>'Repair Assessment Sheet'!#REF!</f>
        <v>#REF!</v>
      </c>
      <c r="N48" s="16" t="e">
        <f>'Repair Assessment Sheet'!#REF!</f>
        <v>#REF!</v>
      </c>
      <c r="O48" s="51" t="e">
        <f>'Repair Assessment Sheet'!#REF!</f>
        <v>#REF!</v>
      </c>
      <c r="P48" s="51"/>
      <c r="Q48" s="31"/>
      <c r="R48" s="31" t="e">
        <f>'Repair Assessment Sheet'!#REF!</f>
        <v>#REF!</v>
      </c>
      <c r="S48" s="31"/>
      <c r="T48" s="31"/>
    </row>
    <row r="49" spans="1:20" ht="15" thickBot="1" x14ac:dyDescent="0.4">
      <c r="A49" s="4">
        <v>36</v>
      </c>
      <c r="B49" s="16"/>
      <c r="C49" s="16"/>
      <c r="D49" s="16"/>
      <c r="E49" s="16"/>
      <c r="F49" s="16"/>
      <c r="G49" s="632" t="e">
        <f>'Repair Assessment Sheet'!#REF!</f>
        <v>#REF!</v>
      </c>
      <c r="H49" s="633"/>
      <c r="I49" s="634"/>
      <c r="J49" s="374"/>
      <c r="K49" s="16" t="e">
        <f>'Repair Assessment Sheet'!#REF!</f>
        <v>#REF!</v>
      </c>
      <c r="L49" s="16"/>
      <c r="M49" s="16" t="e">
        <f>'Repair Assessment Sheet'!#REF!</f>
        <v>#REF!</v>
      </c>
      <c r="N49" s="16" t="e">
        <f>'Repair Assessment Sheet'!#REF!</f>
        <v>#REF!</v>
      </c>
      <c r="O49" s="51" t="e">
        <f>'Repair Assessment Sheet'!#REF!</f>
        <v>#REF!</v>
      </c>
      <c r="P49" s="51"/>
      <c r="Q49" s="31"/>
      <c r="R49" s="31" t="e">
        <f>'Repair Assessment Sheet'!#REF!</f>
        <v>#REF!</v>
      </c>
      <c r="S49" s="31"/>
      <c r="T49" s="31"/>
    </row>
    <row r="50" spans="1:20" ht="15" thickBot="1" x14ac:dyDescent="0.4">
      <c r="A50" s="4">
        <v>37</v>
      </c>
      <c r="B50" s="16"/>
      <c r="C50" s="16"/>
      <c r="D50" s="16"/>
      <c r="E50" s="16"/>
      <c r="F50" s="16"/>
      <c r="G50" s="632" t="e">
        <f>'Repair Assessment Sheet'!#REF!</f>
        <v>#REF!</v>
      </c>
      <c r="H50" s="633"/>
      <c r="I50" s="634"/>
      <c r="J50" s="374"/>
      <c r="K50" s="16" t="e">
        <f>'Repair Assessment Sheet'!#REF!</f>
        <v>#REF!</v>
      </c>
      <c r="L50" s="16"/>
      <c r="M50" s="16" t="e">
        <f>'Repair Assessment Sheet'!#REF!</f>
        <v>#REF!</v>
      </c>
      <c r="N50" s="16" t="e">
        <f>'Repair Assessment Sheet'!#REF!</f>
        <v>#REF!</v>
      </c>
      <c r="O50" s="51" t="e">
        <f>'Repair Assessment Sheet'!#REF!</f>
        <v>#REF!</v>
      </c>
      <c r="P50" s="51"/>
      <c r="Q50" s="31"/>
      <c r="R50" s="31" t="e">
        <f>'Repair Assessment Sheet'!#REF!</f>
        <v>#REF!</v>
      </c>
      <c r="S50" s="31"/>
      <c r="T50" s="31"/>
    </row>
    <row r="51" spans="1:20" ht="15" thickBot="1" x14ac:dyDescent="0.4">
      <c r="A51" s="4">
        <v>38</v>
      </c>
      <c r="B51" s="16"/>
      <c r="C51" s="16"/>
      <c r="D51" s="16"/>
      <c r="E51" s="16"/>
      <c r="F51" s="16"/>
      <c r="G51" s="632" t="e">
        <f>'Repair Assessment Sheet'!#REF!</f>
        <v>#REF!</v>
      </c>
      <c r="H51" s="633"/>
      <c r="I51" s="634"/>
      <c r="J51" s="374"/>
      <c r="K51" s="16" t="e">
        <f>'Repair Assessment Sheet'!#REF!</f>
        <v>#REF!</v>
      </c>
      <c r="L51" s="16"/>
      <c r="M51" s="16" t="e">
        <f>'Repair Assessment Sheet'!#REF!</f>
        <v>#REF!</v>
      </c>
      <c r="N51" s="16" t="e">
        <f>'Repair Assessment Sheet'!#REF!</f>
        <v>#REF!</v>
      </c>
      <c r="O51" s="51" t="e">
        <f>'Repair Assessment Sheet'!#REF!</f>
        <v>#REF!</v>
      </c>
      <c r="P51" s="51"/>
      <c r="Q51" s="31"/>
      <c r="R51" s="31" t="e">
        <f>'Repair Assessment Sheet'!#REF!</f>
        <v>#REF!</v>
      </c>
      <c r="S51" s="31"/>
      <c r="T51" s="31"/>
    </row>
    <row r="52" spans="1:20" ht="15" thickBot="1" x14ac:dyDescent="0.4">
      <c r="A52" s="4">
        <v>39</v>
      </c>
      <c r="B52" s="16"/>
      <c r="C52" s="16"/>
      <c r="D52" s="16"/>
      <c r="E52" s="16"/>
      <c r="F52" s="16"/>
      <c r="G52" s="632" t="e">
        <f>'Repair Assessment Sheet'!#REF!</f>
        <v>#REF!</v>
      </c>
      <c r="H52" s="633"/>
      <c r="I52" s="634"/>
      <c r="J52" s="374"/>
      <c r="K52" s="16" t="e">
        <f>'Repair Assessment Sheet'!#REF!</f>
        <v>#REF!</v>
      </c>
      <c r="L52" s="16"/>
      <c r="M52" s="16" t="e">
        <f>'Repair Assessment Sheet'!#REF!</f>
        <v>#REF!</v>
      </c>
      <c r="N52" s="16" t="e">
        <f>'Repair Assessment Sheet'!#REF!</f>
        <v>#REF!</v>
      </c>
      <c r="O52" s="51" t="e">
        <f>'Repair Assessment Sheet'!#REF!</f>
        <v>#REF!</v>
      </c>
      <c r="P52" s="51"/>
      <c r="Q52" s="31"/>
      <c r="R52" s="31" t="e">
        <f>'Repair Assessment Sheet'!#REF!</f>
        <v>#REF!</v>
      </c>
      <c r="S52" s="31"/>
      <c r="T52" s="31"/>
    </row>
    <row r="53" spans="1:20" ht="15" thickBot="1" x14ac:dyDescent="0.4">
      <c r="A53" s="4">
        <v>40</v>
      </c>
      <c r="B53" s="16"/>
      <c r="C53" s="16"/>
      <c r="D53" s="16"/>
      <c r="E53" s="16"/>
      <c r="F53" s="16"/>
      <c r="G53" s="632" t="e">
        <f>'Repair Assessment Sheet'!#REF!</f>
        <v>#REF!</v>
      </c>
      <c r="H53" s="633"/>
      <c r="I53" s="634"/>
      <c r="J53" s="374"/>
      <c r="K53" s="16" t="e">
        <f>'Repair Assessment Sheet'!#REF!</f>
        <v>#REF!</v>
      </c>
      <c r="L53" s="16"/>
      <c r="M53" s="16" t="e">
        <f>'Repair Assessment Sheet'!#REF!</f>
        <v>#REF!</v>
      </c>
      <c r="N53" s="16" t="e">
        <f>'Repair Assessment Sheet'!#REF!</f>
        <v>#REF!</v>
      </c>
      <c r="O53" s="51" t="e">
        <f>'Repair Assessment Sheet'!#REF!</f>
        <v>#REF!</v>
      </c>
      <c r="P53" s="51"/>
      <c r="Q53" s="31"/>
      <c r="R53" s="31" t="e">
        <f>'Repair Assessment Sheet'!#REF!</f>
        <v>#REF!</v>
      </c>
      <c r="S53" s="31"/>
      <c r="T53" s="31"/>
    </row>
    <row r="54" spans="1:20" ht="15" thickBot="1" x14ac:dyDescent="0.4">
      <c r="A54" s="4">
        <v>41</v>
      </c>
      <c r="B54" s="16"/>
      <c r="C54" s="16"/>
      <c r="D54" s="16"/>
      <c r="E54" s="16"/>
      <c r="F54" s="16"/>
      <c r="G54" s="632" t="e">
        <f>'Repair Assessment Sheet'!#REF!</f>
        <v>#REF!</v>
      </c>
      <c r="H54" s="633"/>
      <c r="I54" s="634"/>
      <c r="J54" s="374"/>
      <c r="K54" s="16" t="e">
        <f>'Repair Assessment Sheet'!#REF!</f>
        <v>#REF!</v>
      </c>
      <c r="L54" s="16"/>
      <c r="M54" s="16" t="e">
        <f>'Repair Assessment Sheet'!#REF!</f>
        <v>#REF!</v>
      </c>
      <c r="N54" s="16" t="e">
        <f>'Repair Assessment Sheet'!#REF!</f>
        <v>#REF!</v>
      </c>
      <c r="O54" s="51" t="e">
        <f>'Repair Assessment Sheet'!#REF!</f>
        <v>#REF!</v>
      </c>
      <c r="P54" s="51"/>
      <c r="Q54" s="31"/>
      <c r="R54" s="31" t="e">
        <f>'Repair Assessment Sheet'!#REF!</f>
        <v>#REF!</v>
      </c>
      <c r="S54" s="31"/>
      <c r="T54" s="31"/>
    </row>
    <row r="55" spans="1:20" ht="15" thickBot="1" x14ac:dyDescent="0.4">
      <c r="A55" s="4">
        <v>42</v>
      </c>
      <c r="B55" s="16"/>
      <c r="C55" s="16"/>
      <c r="D55" s="16"/>
      <c r="E55" s="16"/>
      <c r="F55" s="16"/>
      <c r="G55" s="632" t="e">
        <f>'Repair Assessment Sheet'!#REF!</f>
        <v>#REF!</v>
      </c>
      <c r="H55" s="633"/>
      <c r="I55" s="634"/>
      <c r="J55" s="374"/>
      <c r="K55" s="16" t="e">
        <f>'Repair Assessment Sheet'!#REF!</f>
        <v>#REF!</v>
      </c>
      <c r="L55" s="16"/>
      <c r="M55" s="16" t="e">
        <f>'Repair Assessment Sheet'!#REF!</f>
        <v>#REF!</v>
      </c>
      <c r="N55" s="16" t="e">
        <f>'Repair Assessment Sheet'!#REF!</f>
        <v>#REF!</v>
      </c>
      <c r="O55" s="51" t="e">
        <f>'Repair Assessment Sheet'!#REF!</f>
        <v>#REF!</v>
      </c>
      <c r="P55" s="51"/>
      <c r="Q55" s="31"/>
      <c r="R55" s="31" t="e">
        <f>'Repair Assessment Sheet'!#REF!</f>
        <v>#REF!</v>
      </c>
      <c r="S55" s="31"/>
      <c r="T55" s="31"/>
    </row>
    <row r="56" spans="1:20" ht="15" thickBot="1" x14ac:dyDescent="0.4">
      <c r="A56" s="4">
        <v>43</v>
      </c>
      <c r="B56" s="16"/>
      <c r="C56" s="16"/>
      <c r="D56" s="16"/>
      <c r="E56" s="16"/>
      <c r="F56" s="16"/>
      <c r="G56" s="632" t="e">
        <f>'Repair Assessment Sheet'!#REF!</f>
        <v>#REF!</v>
      </c>
      <c r="H56" s="633"/>
      <c r="I56" s="634"/>
      <c r="J56" s="374"/>
      <c r="K56" s="16" t="e">
        <f>'Repair Assessment Sheet'!#REF!</f>
        <v>#REF!</v>
      </c>
      <c r="L56" s="16"/>
      <c r="M56" s="16" t="e">
        <f>'Repair Assessment Sheet'!#REF!</f>
        <v>#REF!</v>
      </c>
      <c r="N56" s="16" t="e">
        <f>'Repair Assessment Sheet'!#REF!</f>
        <v>#REF!</v>
      </c>
      <c r="O56" s="51" t="e">
        <f>'Repair Assessment Sheet'!#REF!</f>
        <v>#REF!</v>
      </c>
      <c r="P56" s="51"/>
      <c r="Q56" s="31"/>
      <c r="R56" s="31" t="e">
        <f>'Repair Assessment Sheet'!#REF!</f>
        <v>#REF!</v>
      </c>
      <c r="S56" s="31"/>
      <c r="T56" s="31"/>
    </row>
    <row r="57" spans="1:20" ht="15" thickBot="1" x14ac:dyDescent="0.4">
      <c r="A57" s="4">
        <v>44</v>
      </c>
      <c r="B57" s="16"/>
      <c r="C57" s="16"/>
      <c r="D57" s="16"/>
      <c r="E57" s="16"/>
      <c r="F57" s="16"/>
      <c r="G57" s="632" t="e">
        <f>'Repair Assessment Sheet'!#REF!</f>
        <v>#REF!</v>
      </c>
      <c r="H57" s="633"/>
      <c r="I57" s="634"/>
      <c r="J57" s="374"/>
      <c r="K57" s="16" t="e">
        <f>'Repair Assessment Sheet'!#REF!</f>
        <v>#REF!</v>
      </c>
      <c r="L57" s="16"/>
      <c r="M57" s="16" t="e">
        <f>'Repair Assessment Sheet'!#REF!</f>
        <v>#REF!</v>
      </c>
      <c r="N57" s="16" t="e">
        <f>'Repair Assessment Sheet'!#REF!</f>
        <v>#REF!</v>
      </c>
      <c r="O57" s="51" t="e">
        <f>'Repair Assessment Sheet'!#REF!</f>
        <v>#REF!</v>
      </c>
      <c r="P57" s="51"/>
      <c r="Q57" s="31"/>
      <c r="R57" s="31" t="e">
        <f>'Repair Assessment Sheet'!#REF!</f>
        <v>#REF!</v>
      </c>
      <c r="S57" s="31"/>
      <c r="T57" s="31"/>
    </row>
    <row r="58" spans="1:20" ht="15" thickBot="1" x14ac:dyDescent="0.4">
      <c r="A58" s="4">
        <v>45</v>
      </c>
      <c r="B58" s="16"/>
      <c r="C58" s="16"/>
      <c r="D58" s="16"/>
      <c r="E58" s="16"/>
      <c r="F58" s="16"/>
      <c r="G58" s="632" t="e">
        <f>'Repair Assessment Sheet'!#REF!</f>
        <v>#REF!</v>
      </c>
      <c r="H58" s="633"/>
      <c r="I58" s="634"/>
      <c r="J58" s="374"/>
      <c r="K58" s="16" t="e">
        <f>'Repair Assessment Sheet'!#REF!</f>
        <v>#REF!</v>
      </c>
      <c r="L58" s="16"/>
      <c r="M58" s="16" t="e">
        <f>'Repair Assessment Sheet'!#REF!</f>
        <v>#REF!</v>
      </c>
      <c r="N58" s="16" t="e">
        <f>'Repair Assessment Sheet'!#REF!</f>
        <v>#REF!</v>
      </c>
      <c r="O58" s="51" t="e">
        <f>'Repair Assessment Sheet'!#REF!</f>
        <v>#REF!</v>
      </c>
      <c r="P58" s="51"/>
      <c r="Q58" s="31"/>
      <c r="R58" s="31" t="e">
        <f>'Repair Assessment Sheet'!#REF!</f>
        <v>#REF!</v>
      </c>
      <c r="S58" s="31"/>
      <c r="T58" s="31"/>
    </row>
    <row r="59" spans="1:20" ht="15" thickBot="1" x14ac:dyDescent="0.4">
      <c r="A59" s="4">
        <v>46</v>
      </c>
      <c r="B59" s="16"/>
      <c r="C59" s="16"/>
      <c r="D59" s="16"/>
      <c r="E59" s="16"/>
      <c r="F59" s="16"/>
      <c r="G59" s="632" t="e">
        <f>'Repair Assessment Sheet'!#REF!</f>
        <v>#REF!</v>
      </c>
      <c r="H59" s="633"/>
      <c r="I59" s="634"/>
      <c r="J59" s="374"/>
      <c r="K59" s="16" t="e">
        <f>'Repair Assessment Sheet'!#REF!</f>
        <v>#REF!</v>
      </c>
      <c r="L59" s="16"/>
      <c r="M59" s="16" t="e">
        <f>'Repair Assessment Sheet'!#REF!</f>
        <v>#REF!</v>
      </c>
      <c r="N59" s="16" t="e">
        <f>'Repair Assessment Sheet'!#REF!</f>
        <v>#REF!</v>
      </c>
      <c r="O59" s="51" t="e">
        <f>'Repair Assessment Sheet'!#REF!</f>
        <v>#REF!</v>
      </c>
      <c r="P59" s="51"/>
      <c r="Q59" s="31"/>
      <c r="R59" s="31" t="e">
        <f>'Repair Assessment Sheet'!#REF!</f>
        <v>#REF!</v>
      </c>
      <c r="S59" s="31"/>
      <c r="T59" s="31"/>
    </row>
    <row r="60" spans="1:20" ht="15" thickBot="1" x14ac:dyDescent="0.4">
      <c r="A60" s="4">
        <v>47</v>
      </c>
      <c r="B60" s="16"/>
      <c r="C60" s="16"/>
      <c r="D60" s="16"/>
      <c r="E60" s="16"/>
      <c r="F60" s="16"/>
      <c r="G60" s="632" t="e">
        <f>'Repair Assessment Sheet'!#REF!</f>
        <v>#REF!</v>
      </c>
      <c r="H60" s="633"/>
      <c r="I60" s="634"/>
      <c r="J60" s="374"/>
      <c r="K60" s="16" t="e">
        <f>'Repair Assessment Sheet'!#REF!</f>
        <v>#REF!</v>
      </c>
      <c r="L60" s="16"/>
      <c r="M60" s="16" t="e">
        <f>'Repair Assessment Sheet'!#REF!</f>
        <v>#REF!</v>
      </c>
      <c r="N60" s="16" t="e">
        <f>'Repair Assessment Sheet'!#REF!</f>
        <v>#REF!</v>
      </c>
      <c r="O60" s="51" t="e">
        <f>'Repair Assessment Sheet'!#REF!</f>
        <v>#REF!</v>
      </c>
      <c r="P60" s="51"/>
      <c r="Q60" s="31"/>
      <c r="R60" s="31" t="e">
        <f>'Repair Assessment Sheet'!#REF!</f>
        <v>#REF!</v>
      </c>
      <c r="S60" s="31"/>
      <c r="T60" s="31"/>
    </row>
    <row r="61" spans="1:20" ht="15" thickBot="1" x14ac:dyDescent="0.4">
      <c r="A61" s="4">
        <v>48</v>
      </c>
      <c r="B61" s="16"/>
      <c r="C61" s="16"/>
      <c r="D61" s="16"/>
      <c r="E61" s="16"/>
      <c r="F61" s="16"/>
      <c r="G61" s="632" t="e">
        <f>'Repair Assessment Sheet'!#REF!</f>
        <v>#REF!</v>
      </c>
      <c r="H61" s="633"/>
      <c r="I61" s="634"/>
      <c r="J61" s="374"/>
      <c r="K61" s="16" t="e">
        <f>'Repair Assessment Sheet'!#REF!</f>
        <v>#REF!</v>
      </c>
      <c r="L61" s="16"/>
      <c r="M61" s="16" t="e">
        <f>'Repair Assessment Sheet'!#REF!</f>
        <v>#REF!</v>
      </c>
      <c r="N61" s="16" t="e">
        <f>'Repair Assessment Sheet'!#REF!</f>
        <v>#REF!</v>
      </c>
      <c r="O61" s="51" t="e">
        <f>'Repair Assessment Sheet'!#REF!</f>
        <v>#REF!</v>
      </c>
      <c r="P61" s="51"/>
      <c r="Q61" s="31"/>
      <c r="R61" s="31" t="e">
        <f>'Repair Assessment Sheet'!#REF!</f>
        <v>#REF!</v>
      </c>
      <c r="S61" s="31"/>
      <c r="T61" s="31"/>
    </row>
    <row r="62" spans="1:20" ht="15" thickBot="1" x14ac:dyDescent="0.4">
      <c r="A62" s="4">
        <v>49</v>
      </c>
      <c r="B62" s="16"/>
      <c r="C62" s="16"/>
      <c r="D62" s="16"/>
      <c r="E62" s="16"/>
      <c r="F62" s="16"/>
      <c r="G62" s="632" t="e">
        <f>'Repair Assessment Sheet'!#REF!</f>
        <v>#REF!</v>
      </c>
      <c r="H62" s="633"/>
      <c r="I62" s="634"/>
      <c r="J62" s="374"/>
      <c r="K62" s="16" t="e">
        <f>'Repair Assessment Sheet'!#REF!</f>
        <v>#REF!</v>
      </c>
      <c r="L62" s="16"/>
      <c r="M62" s="16" t="e">
        <f>'Repair Assessment Sheet'!#REF!</f>
        <v>#REF!</v>
      </c>
      <c r="N62" s="16" t="e">
        <f>'Repair Assessment Sheet'!#REF!</f>
        <v>#REF!</v>
      </c>
      <c r="O62" s="51" t="e">
        <f>'Repair Assessment Sheet'!#REF!</f>
        <v>#REF!</v>
      </c>
      <c r="P62" s="51"/>
      <c r="Q62" s="31"/>
      <c r="R62" s="31" t="e">
        <f>'Repair Assessment Sheet'!#REF!</f>
        <v>#REF!</v>
      </c>
      <c r="S62" s="31"/>
      <c r="T62" s="31"/>
    </row>
    <row r="63" spans="1:20" ht="15" thickBot="1" x14ac:dyDescent="0.4">
      <c r="A63" s="4">
        <v>50</v>
      </c>
      <c r="B63" s="16"/>
      <c r="C63" s="16"/>
      <c r="D63" s="16"/>
      <c r="E63" s="16"/>
      <c r="F63" s="16"/>
      <c r="G63" s="632" t="e">
        <f>'Repair Assessment Sheet'!#REF!</f>
        <v>#REF!</v>
      </c>
      <c r="H63" s="633"/>
      <c r="I63" s="634"/>
      <c r="J63" s="374"/>
      <c r="K63" s="16" t="e">
        <f>'Repair Assessment Sheet'!#REF!</f>
        <v>#REF!</v>
      </c>
      <c r="L63" s="16"/>
      <c r="M63" s="16" t="e">
        <f>'Repair Assessment Sheet'!#REF!</f>
        <v>#REF!</v>
      </c>
      <c r="N63" s="16" t="e">
        <f>'Repair Assessment Sheet'!#REF!</f>
        <v>#REF!</v>
      </c>
      <c r="O63" s="51" t="e">
        <f>'Repair Assessment Sheet'!#REF!</f>
        <v>#REF!</v>
      </c>
      <c r="P63" s="51"/>
      <c r="Q63" s="31"/>
      <c r="R63" s="31" t="e">
        <f>'Repair Assessment Sheet'!#REF!</f>
        <v>#REF!</v>
      </c>
      <c r="S63" s="31"/>
      <c r="T63" s="31"/>
    </row>
    <row r="64" spans="1:20" ht="15" thickBot="1" x14ac:dyDescent="0.4">
      <c r="A64" s="4">
        <v>51</v>
      </c>
      <c r="B64" s="16"/>
      <c r="C64" s="16"/>
      <c r="D64" s="16"/>
      <c r="E64" s="16"/>
      <c r="F64" s="16"/>
      <c r="G64" s="632" t="e">
        <f>'Repair Assessment Sheet'!#REF!</f>
        <v>#REF!</v>
      </c>
      <c r="H64" s="633"/>
      <c r="I64" s="634"/>
      <c r="J64" s="374"/>
      <c r="K64" s="16" t="e">
        <f>'Repair Assessment Sheet'!#REF!</f>
        <v>#REF!</v>
      </c>
      <c r="L64" s="16"/>
      <c r="M64" s="16" t="e">
        <f>'Repair Assessment Sheet'!#REF!</f>
        <v>#REF!</v>
      </c>
      <c r="N64" s="16" t="e">
        <f>'Repair Assessment Sheet'!#REF!</f>
        <v>#REF!</v>
      </c>
      <c r="O64" s="51" t="e">
        <f>'Repair Assessment Sheet'!#REF!</f>
        <v>#REF!</v>
      </c>
      <c r="P64" s="51"/>
      <c r="Q64" s="31"/>
      <c r="R64" s="31" t="e">
        <f>'Repair Assessment Sheet'!#REF!</f>
        <v>#REF!</v>
      </c>
      <c r="S64" s="31"/>
      <c r="T64" s="31"/>
    </row>
    <row r="65" spans="1:20" ht="15" thickBot="1" x14ac:dyDescent="0.4">
      <c r="A65" s="4">
        <v>52</v>
      </c>
      <c r="B65" s="16"/>
      <c r="C65" s="16"/>
      <c r="D65" s="16"/>
      <c r="E65" s="16"/>
      <c r="F65" s="16"/>
      <c r="G65" s="632" t="e">
        <f>'Repair Assessment Sheet'!#REF!</f>
        <v>#REF!</v>
      </c>
      <c r="H65" s="633"/>
      <c r="I65" s="634"/>
      <c r="J65" s="374"/>
      <c r="K65" s="16" t="e">
        <f>'Repair Assessment Sheet'!#REF!</f>
        <v>#REF!</v>
      </c>
      <c r="L65" s="16"/>
      <c r="M65" s="16" t="e">
        <f>'Repair Assessment Sheet'!#REF!</f>
        <v>#REF!</v>
      </c>
      <c r="N65" s="16" t="e">
        <f>'Repair Assessment Sheet'!#REF!</f>
        <v>#REF!</v>
      </c>
      <c r="O65" s="51" t="e">
        <f>'Repair Assessment Sheet'!#REF!</f>
        <v>#REF!</v>
      </c>
      <c r="P65" s="51"/>
      <c r="Q65" s="31"/>
      <c r="R65" s="31" t="e">
        <f>'Repair Assessment Sheet'!#REF!</f>
        <v>#REF!</v>
      </c>
      <c r="S65" s="31"/>
      <c r="T65" s="31"/>
    </row>
    <row r="66" spans="1:20" ht="15" thickBot="1" x14ac:dyDescent="0.4">
      <c r="A66" s="4">
        <v>53</v>
      </c>
      <c r="B66" s="16"/>
      <c r="C66" s="16"/>
      <c r="D66" s="16"/>
      <c r="E66" s="16"/>
      <c r="F66" s="16"/>
      <c r="G66" s="632" t="e">
        <f>'Repair Assessment Sheet'!#REF!</f>
        <v>#REF!</v>
      </c>
      <c r="H66" s="633"/>
      <c r="I66" s="634"/>
      <c r="J66" s="374"/>
      <c r="K66" s="16" t="e">
        <f>'Repair Assessment Sheet'!#REF!</f>
        <v>#REF!</v>
      </c>
      <c r="L66" s="16"/>
      <c r="M66" s="16" t="e">
        <f>'Repair Assessment Sheet'!#REF!</f>
        <v>#REF!</v>
      </c>
      <c r="N66" s="16" t="e">
        <f>'Repair Assessment Sheet'!#REF!</f>
        <v>#REF!</v>
      </c>
      <c r="O66" s="51" t="e">
        <f>'Repair Assessment Sheet'!#REF!</f>
        <v>#REF!</v>
      </c>
      <c r="P66" s="51"/>
      <c r="Q66" s="31"/>
      <c r="R66" s="31" t="e">
        <f>'Repair Assessment Sheet'!#REF!</f>
        <v>#REF!</v>
      </c>
      <c r="S66" s="31"/>
      <c r="T66" s="31"/>
    </row>
    <row r="67" spans="1:20" ht="15" thickBot="1" x14ac:dyDescent="0.4">
      <c r="A67" s="4">
        <v>54</v>
      </c>
      <c r="B67" s="16"/>
      <c r="C67" s="16"/>
      <c r="D67" s="16"/>
      <c r="E67" s="16"/>
      <c r="F67" s="16"/>
      <c r="G67" s="632" t="e">
        <f>'Repair Assessment Sheet'!#REF!</f>
        <v>#REF!</v>
      </c>
      <c r="H67" s="633"/>
      <c r="I67" s="634"/>
      <c r="J67" s="374"/>
      <c r="K67" s="16" t="e">
        <f>'Repair Assessment Sheet'!#REF!</f>
        <v>#REF!</v>
      </c>
      <c r="L67" s="16"/>
      <c r="M67" s="16" t="e">
        <f>'Repair Assessment Sheet'!#REF!</f>
        <v>#REF!</v>
      </c>
      <c r="N67" s="16" t="e">
        <f>'Repair Assessment Sheet'!#REF!</f>
        <v>#REF!</v>
      </c>
      <c r="O67" s="51" t="e">
        <f>'Repair Assessment Sheet'!#REF!</f>
        <v>#REF!</v>
      </c>
      <c r="P67" s="51"/>
      <c r="Q67" s="31"/>
      <c r="R67" s="31" t="e">
        <f>'Repair Assessment Sheet'!#REF!</f>
        <v>#REF!</v>
      </c>
      <c r="S67" s="31"/>
      <c r="T67" s="31"/>
    </row>
    <row r="68" spans="1:20" ht="15" thickBot="1" x14ac:dyDescent="0.4">
      <c r="A68" s="4">
        <v>55</v>
      </c>
      <c r="B68" s="16"/>
      <c r="C68" s="16"/>
      <c r="D68" s="16"/>
      <c r="E68" s="16"/>
      <c r="F68" s="16"/>
      <c r="G68" s="632" t="e">
        <f>'Repair Assessment Sheet'!#REF!</f>
        <v>#REF!</v>
      </c>
      <c r="H68" s="633"/>
      <c r="I68" s="634"/>
      <c r="J68" s="374"/>
      <c r="K68" s="16" t="e">
        <f>'Repair Assessment Sheet'!#REF!</f>
        <v>#REF!</v>
      </c>
      <c r="L68" s="16"/>
      <c r="M68" s="16" t="e">
        <f>'Repair Assessment Sheet'!#REF!</f>
        <v>#REF!</v>
      </c>
      <c r="N68" s="16" t="e">
        <f>'Repair Assessment Sheet'!#REF!</f>
        <v>#REF!</v>
      </c>
      <c r="O68" s="51" t="e">
        <f>'Repair Assessment Sheet'!#REF!</f>
        <v>#REF!</v>
      </c>
      <c r="P68" s="51"/>
      <c r="Q68" s="31"/>
      <c r="R68" s="31" t="e">
        <f>'Repair Assessment Sheet'!#REF!</f>
        <v>#REF!</v>
      </c>
      <c r="S68" s="31"/>
      <c r="T68" s="31"/>
    </row>
    <row r="69" spans="1:20" ht="15" thickBot="1" x14ac:dyDescent="0.4">
      <c r="A69" s="4">
        <v>56</v>
      </c>
      <c r="B69" s="16"/>
      <c r="C69" s="16"/>
      <c r="D69" s="16"/>
      <c r="E69" s="16"/>
      <c r="F69" s="16"/>
      <c r="G69" s="632" t="e">
        <f>'Repair Assessment Sheet'!#REF!</f>
        <v>#REF!</v>
      </c>
      <c r="H69" s="633"/>
      <c r="I69" s="634"/>
      <c r="J69" s="374"/>
      <c r="K69" s="16" t="e">
        <f>'Repair Assessment Sheet'!#REF!</f>
        <v>#REF!</v>
      </c>
      <c r="L69" s="16"/>
      <c r="M69" s="16" t="e">
        <f>'Repair Assessment Sheet'!#REF!</f>
        <v>#REF!</v>
      </c>
      <c r="N69" s="16" t="e">
        <f>'Repair Assessment Sheet'!#REF!</f>
        <v>#REF!</v>
      </c>
      <c r="O69" s="51" t="e">
        <f>'Repair Assessment Sheet'!#REF!</f>
        <v>#REF!</v>
      </c>
      <c r="P69" s="51"/>
      <c r="Q69" s="31"/>
      <c r="R69" s="31" t="e">
        <f>'Repair Assessment Sheet'!#REF!</f>
        <v>#REF!</v>
      </c>
      <c r="S69" s="31"/>
      <c r="T69" s="31"/>
    </row>
    <row r="70" spans="1:20" ht="15" thickBot="1" x14ac:dyDescent="0.4">
      <c r="A70" s="4">
        <v>57</v>
      </c>
      <c r="B70" s="16"/>
      <c r="C70" s="16"/>
      <c r="D70" s="16"/>
      <c r="E70" s="16"/>
      <c r="F70" s="16"/>
      <c r="G70" s="632" t="e">
        <f>'Repair Assessment Sheet'!#REF!</f>
        <v>#REF!</v>
      </c>
      <c r="H70" s="633"/>
      <c r="I70" s="634"/>
      <c r="J70" s="374"/>
      <c r="K70" s="16" t="e">
        <f>'Repair Assessment Sheet'!#REF!</f>
        <v>#REF!</v>
      </c>
      <c r="L70" s="16"/>
      <c r="M70" s="16" t="e">
        <f>'Repair Assessment Sheet'!#REF!</f>
        <v>#REF!</v>
      </c>
      <c r="N70" s="16" t="e">
        <f>'Repair Assessment Sheet'!#REF!</f>
        <v>#REF!</v>
      </c>
      <c r="O70" s="51" t="e">
        <f>'Repair Assessment Sheet'!#REF!</f>
        <v>#REF!</v>
      </c>
      <c r="P70" s="51"/>
      <c r="Q70" s="31"/>
      <c r="R70" s="31" t="e">
        <f>'Repair Assessment Sheet'!#REF!</f>
        <v>#REF!</v>
      </c>
      <c r="S70" s="31"/>
      <c r="T70" s="31"/>
    </row>
    <row r="71" spans="1:20" ht="15" thickBot="1" x14ac:dyDescent="0.4">
      <c r="A71" s="4">
        <v>58</v>
      </c>
      <c r="B71" s="16"/>
      <c r="C71" s="16"/>
      <c r="D71" s="16"/>
      <c r="E71" s="16"/>
      <c r="F71" s="16"/>
      <c r="G71" s="632" t="e">
        <f>'Repair Assessment Sheet'!#REF!</f>
        <v>#REF!</v>
      </c>
      <c r="H71" s="633"/>
      <c r="I71" s="634"/>
      <c r="J71" s="374"/>
      <c r="K71" s="16" t="e">
        <f>'Repair Assessment Sheet'!#REF!</f>
        <v>#REF!</v>
      </c>
      <c r="L71" s="16"/>
      <c r="M71" s="16" t="e">
        <f>'Repair Assessment Sheet'!#REF!</f>
        <v>#REF!</v>
      </c>
      <c r="N71" s="16" t="e">
        <f>'Repair Assessment Sheet'!#REF!</f>
        <v>#REF!</v>
      </c>
      <c r="O71" s="51" t="e">
        <f>'Repair Assessment Sheet'!#REF!</f>
        <v>#REF!</v>
      </c>
      <c r="P71" s="51"/>
      <c r="Q71" s="31"/>
      <c r="R71" s="31" t="e">
        <f>'Repair Assessment Sheet'!#REF!</f>
        <v>#REF!</v>
      </c>
      <c r="S71" s="31"/>
      <c r="T71" s="31"/>
    </row>
    <row r="72" spans="1:20" ht="15" thickBot="1" x14ac:dyDescent="0.4">
      <c r="A72" s="4">
        <v>59</v>
      </c>
      <c r="B72" s="16"/>
      <c r="C72" s="16"/>
      <c r="D72" s="16"/>
      <c r="E72" s="16"/>
      <c r="F72" s="16"/>
      <c r="G72" s="632" t="e">
        <f>'Repair Assessment Sheet'!#REF!</f>
        <v>#REF!</v>
      </c>
      <c r="H72" s="633"/>
      <c r="I72" s="634"/>
      <c r="J72" s="374"/>
      <c r="K72" s="16" t="e">
        <f>'Repair Assessment Sheet'!#REF!</f>
        <v>#REF!</v>
      </c>
      <c r="L72" s="16"/>
      <c r="M72" s="16" t="e">
        <f>'Repair Assessment Sheet'!#REF!</f>
        <v>#REF!</v>
      </c>
      <c r="N72" s="16" t="e">
        <f>'Repair Assessment Sheet'!#REF!</f>
        <v>#REF!</v>
      </c>
      <c r="O72" s="51" t="e">
        <f>'Repair Assessment Sheet'!#REF!</f>
        <v>#REF!</v>
      </c>
      <c r="P72" s="51"/>
      <c r="Q72" s="31"/>
      <c r="R72" s="31" t="e">
        <f>'Repair Assessment Sheet'!#REF!</f>
        <v>#REF!</v>
      </c>
      <c r="S72" s="31"/>
      <c r="T72" s="31"/>
    </row>
    <row r="73" spans="1:20" ht="15" thickBot="1" x14ac:dyDescent="0.4">
      <c r="A73" s="4">
        <v>60</v>
      </c>
      <c r="B73" s="16"/>
      <c r="C73" s="16"/>
      <c r="D73" s="16"/>
      <c r="E73" s="16"/>
      <c r="F73" s="16"/>
      <c r="G73" s="632" t="e">
        <f>'Repair Assessment Sheet'!#REF!</f>
        <v>#REF!</v>
      </c>
      <c r="H73" s="633"/>
      <c r="I73" s="634"/>
      <c r="J73" s="374"/>
      <c r="K73" s="16" t="e">
        <f>'Repair Assessment Sheet'!#REF!</f>
        <v>#REF!</v>
      </c>
      <c r="L73" s="16"/>
      <c r="M73" s="16" t="e">
        <f>'Repair Assessment Sheet'!#REF!</f>
        <v>#REF!</v>
      </c>
      <c r="N73" s="16" t="e">
        <f>'Repair Assessment Sheet'!#REF!</f>
        <v>#REF!</v>
      </c>
      <c r="O73" s="51" t="e">
        <f>'Repair Assessment Sheet'!#REF!</f>
        <v>#REF!</v>
      </c>
      <c r="P73" s="51"/>
      <c r="Q73" s="31"/>
      <c r="R73" s="31" t="e">
        <f>'Repair Assessment Sheet'!#REF!</f>
        <v>#REF!</v>
      </c>
      <c r="S73" s="31"/>
      <c r="T73" s="31"/>
    </row>
    <row r="74" spans="1:20" ht="15" thickBot="1" x14ac:dyDescent="0.4">
      <c r="A74" s="4">
        <v>61</v>
      </c>
      <c r="B74" s="16"/>
      <c r="C74" s="16"/>
      <c r="D74" s="16"/>
      <c r="E74" s="16"/>
      <c r="F74" s="16"/>
      <c r="G74" s="632" t="e">
        <f>'Repair Assessment Sheet'!#REF!</f>
        <v>#REF!</v>
      </c>
      <c r="H74" s="633"/>
      <c r="I74" s="634"/>
      <c r="J74" s="374"/>
      <c r="K74" s="16" t="e">
        <f>'Repair Assessment Sheet'!#REF!</f>
        <v>#REF!</v>
      </c>
      <c r="L74" s="16"/>
      <c r="M74" s="16" t="e">
        <f>'Repair Assessment Sheet'!#REF!</f>
        <v>#REF!</v>
      </c>
      <c r="N74" s="16" t="e">
        <f>'Repair Assessment Sheet'!#REF!</f>
        <v>#REF!</v>
      </c>
      <c r="O74" s="51" t="e">
        <f>'Repair Assessment Sheet'!#REF!</f>
        <v>#REF!</v>
      </c>
      <c r="P74" s="51"/>
      <c r="Q74" s="31"/>
      <c r="R74" s="31" t="e">
        <f>'Repair Assessment Sheet'!#REF!</f>
        <v>#REF!</v>
      </c>
      <c r="S74" s="31"/>
      <c r="T74" s="31"/>
    </row>
    <row r="75" spans="1:20" ht="15" thickBot="1" x14ac:dyDescent="0.4">
      <c r="A75" s="4">
        <v>62</v>
      </c>
      <c r="B75" s="16"/>
      <c r="C75" s="16"/>
      <c r="D75" s="16"/>
      <c r="E75" s="16"/>
      <c r="F75" s="16"/>
      <c r="G75" s="632" t="e">
        <f>'Repair Assessment Sheet'!#REF!</f>
        <v>#REF!</v>
      </c>
      <c r="H75" s="633"/>
      <c r="I75" s="634"/>
      <c r="J75" s="374"/>
      <c r="K75" s="16" t="e">
        <f>'Repair Assessment Sheet'!#REF!</f>
        <v>#REF!</v>
      </c>
      <c r="L75" s="16"/>
      <c r="M75" s="16" t="e">
        <f>'Repair Assessment Sheet'!#REF!</f>
        <v>#REF!</v>
      </c>
      <c r="N75" s="16" t="e">
        <f>'Repair Assessment Sheet'!#REF!</f>
        <v>#REF!</v>
      </c>
      <c r="O75" s="51" t="e">
        <f>'Repair Assessment Sheet'!#REF!</f>
        <v>#REF!</v>
      </c>
      <c r="P75" s="51"/>
      <c r="Q75" s="31"/>
      <c r="R75" s="31" t="e">
        <f>'Repair Assessment Sheet'!#REF!</f>
        <v>#REF!</v>
      </c>
      <c r="S75" s="31"/>
      <c r="T75" s="31"/>
    </row>
    <row r="76" spans="1:20" ht="15" thickBot="1" x14ac:dyDescent="0.4">
      <c r="A76" s="4">
        <v>63</v>
      </c>
      <c r="B76" s="16"/>
      <c r="C76" s="16"/>
      <c r="D76" s="16"/>
      <c r="E76" s="16"/>
      <c r="F76" s="16"/>
      <c r="G76" s="632" t="e">
        <f>'Repair Assessment Sheet'!#REF!</f>
        <v>#REF!</v>
      </c>
      <c r="H76" s="633"/>
      <c r="I76" s="634"/>
      <c r="J76" s="374"/>
      <c r="K76" s="16" t="e">
        <f>'Repair Assessment Sheet'!#REF!</f>
        <v>#REF!</v>
      </c>
      <c r="L76" s="16"/>
      <c r="M76" s="16" t="e">
        <f>'Repair Assessment Sheet'!#REF!</f>
        <v>#REF!</v>
      </c>
      <c r="N76" s="16" t="e">
        <f>'Repair Assessment Sheet'!#REF!</f>
        <v>#REF!</v>
      </c>
      <c r="O76" s="51" t="e">
        <f>'Repair Assessment Sheet'!#REF!</f>
        <v>#REF!</v>
      </c>
      <c r="P76" s="51"/>
      <c r="Q76" s="31"/>
      <c r="R76" s="31" t="e">
        <f>'Repair Assessment Sheet'!#REF!</f>
        <v>#REF!</v>
      </c>
      <c r="S76" s="31"/>
      <c r="T76" s="31"/>
    </row>
    <row r="77" spans="1:20" ht="15" thickBot="1" x14ac:dyDescent="0.4">
      <c r="A77" s="4">
        <v>64</v>
      </c>
      <c r="B77" s="16"/>
      <c r="C77" s="16"/>
      <c r="D77" s="16"/>
      <c r="E77" s="16"/>
      <c r="F77" s="16"/>
      <c r="G77" s="632" t="e">
        <f>'Repair Assessment Sheet'!#REF!</f>
        <v>#REF!</v>
      </c>
      <c r="H77" s="633"/>
      <c r="I77" s="634"/>
      <c r="J77" s="374"/>
      <c r="K77" s="16" t="e">
        <f>'Repair Assessment Sheet'!#REF!</f>
        <v>#REF!</v>
      </c>
      <c r="L77" s="16"/>
      <c r="M77" s="16" t="e">
        <f>'Repair Assessment Sheet'!#REF!</f>
        <v>#REF!</v>
      </c>
      <c r="N77" s="16" t="e">
        <f>'Repair Assessment Sheet'!#REF!</f>
        <v>#REF!</v>
      </c>
      <c r="O77" s="51" t="e">
        <f>'Repair Assessment Sheet'!#REF!</f>
        <v>#REF!</v>
      </c>
      <c r="P77" s="51"/>
      <c r="Q77" s="31"/>
      <c r="R77" s="31" t="e">
        <f>'Repair Assessment Sheet'!#REF!</f>
        <v>#REF!</v>
      </c>
      <c r="S77" s="31"/>
      <c r="T77" s="31"/>
    </row>
    <row r="78" spans="1:20" ht="15" thickBot="1" x14ac:dyDescent="0.4">
      <c r="A78" s="4">
        <v>65</v>
      </c>
      <c r="B78" s="16"/>
      <c r="C78" s="16"/>
      <c r="D78" s="16"/>
      <c r="E78" s="16"/>
      <c r="F78" s="16"/>
      <c r="G78" s="632" t="e">
        <f>'Repair Assessment Sheet'!#REF!</f>
        <v>#REF!</v>
      </c>
      <c r="H78" s="633"/>
      <c r="I78" s="634"/>
      <c r="J78" s="374"/>
      <c r="K78" s="16" t="e">
        <f>'Repair Assessment Sheet'!#REF!</f>
        <v>#REF!</v>
      </c>
      <c r="L78" s="16"/>
      <c r="M78" s="16" t="e">
        <f>'Repair Assessment Sheet'!#REF!</f>
        <v>#REF!</v>
      </c>
      <c r="N78" s="16" t="e">
        <f>'Repair Assessment Sheet'!#REF!</f>
        <v>#REF!</v>
      </c>
      <c r="O78" s="51" t="e">
        <f>'Repair Assessment Sheet'!#REF!</f>
        <v>#REF!</v>
      </c>
      <c r="P78" s="51"/>
      <c r="Q78" s="31"/>
      <c r="R78" s="31" t="e">
        <f>'Repair Assessment Sheet'!#REF!</f>
        <v>#REF!</v>
      </c>
      <c r="S78" s="31"/>
      <c r="T78" s="31"/>
    </row>
    <row r="79" spans="1:20" ht="15" thickBot="1" x14ac:dyDescent="0.4">
      <c r="A79" s="4">
        <v>66</v>
      </c>
      <c r="B79" s="16"/>
      <c r="C79" s="16"/>
      <c r="D79" s="16"/>
      <c r="E79" s="16"/>
      <c r="F79" s="16"/>
      <c r="G79" s="632" t="e">
        <f>'Repair Assessment Sheet'!#REF!</f>
        <v>#REF!</v>
      </c>
      <c r="H79" s="633"/>
      <c r="I79" s="634"/>
      <c r="J79" s="374"/>
      <c r="K79" s="16" t="e">
        <f>'Repair Assessment Sheet'!#REF!</f>
        <v>#REF!</v>
      </c>
      <c r="L79" s="16"/>
      <c r="M79" s="16" t="e">
        <f>'Repair Assessment Sheet'!#REF!</f>
        <v>#REF!</v>
      </c>
      <c r="N79" s="16" t="e">
        <f>'Repair Assessment Sheet'!#REF!</f>
        <v>#REF!</v>
      </c>
      <c r="O79" s="51" t="e">
        <f>'Repair Assessment Sheet'!#REF!</f>
        <v>#REF!</v>
      </c>
      <c r="P79" s="51"/>
      <c r="Q79" s="31"/>
      <c r="R79" s="31" t="e">
        <f>'Repair Assessment Sheet'!#REF!</f>
        <v>#REF!</v>
      </c>
      <c r="S79" s="31"/>
      <c r="T79" s="31"/>
    </row>
    <row r="80" spans="1:20" ht="15" thickBot="1" x14ac:dyDescent="0.4">
      <c r="A80" s="4">
        <v>67</v>
      </c>
      <c r="B80" s="16"/>
      <c r="C80" s="16"/>
      <c r="D80" s="16"/>
      <c r="E80" s="16"/>
      <c r="F80" s="16"/>
      <c r="G80" s="632" t="e">
        <f>'Repair Assessment Sheet'!#REF!</f>
        <v>#REF!</v>
      </c>
      <c r="H80" s="633"/>
      <c r="I80" s="634"/>
      <c r="J80" s="374"/>
      <c r="K80" s="16" t="e">
        <f>'Repair Assessment Sheet'!#REF!</f>
        <v>#REF!</v>
      </c>
      <c r="L80" s="16"/>
      <c r="M80" s="16" t="e">
        <f>'Repair Assessment Sheet'!#REF!</f>
        <v>#REF!</v>
      </c>
      <c r="N80" s="16" t="e">
        <f>'Repair Assessment Sheet'!#REF!</f>
        <v>#REF!</v>
      </c>
      <c r="O80" s="51" t="e">
        <f>'Repair Assessment Sheet'!#REF!</f>
        <v>#REF!</v>
      </c>
      <c r="P80" s="51"/>
      <c r="Q80" s="31"/>
      <c r="R80" s="31" t="e">
        <f>'Repair Assessment Sheet'!#REF!</f>
        <v>#REF!</v>
      </c>
      <c r="S80" s="31"/>
      <c r="T80" s="31"/>
    </row>
    <row r="81" spans="1:20" ht="15" thickBot="1" x14ac:dyDescent="0.4">
      <c r="A81" s="4">
        <v>68</v>
      </c>
      <c r="B81" s="16"/>
      <c r="C81" s="16"/>
      <c r="D81" s="16"/>
      <c r="E81" s="16"/>
      <c r="F81" s="16"/>
      <c r="G81" s="632" t="e">
        <f>'Repair Assessment Sheet'!#REF!</f>
        <v>#REF!</v>
      </c>
      <c r="H81" s="633"/>
      <c r="I81" s="634"/>
      <c r="J81" s="374"/>
      <c r="K81" s="16" t="e">
        <f>'Repair Assessment Sheet'!#REF!</f>
        <v>#REF!</v>
      </c>
      <c r="L81" s="16"/>
      <c r="M81" s="16" t="e">
        <f>'Repair Assessment Sheet'!#REF!</f>
        <v>#REF!</v>
      </c>
      <c r="N81" s="16" t="e">
        <f>'Repair Assessment Sheet'!#REF!</f>
        <v>#REF!</v>
      </c>
      <c r="O81" s="51" t="e">
        <f>'Repair Assessment Sheet'!#REF!</f>
        <v>#REF!</v>
      </c>
      <c r="P81" s="51"/>
      <c r="Q81" s="31"/>
      <c r="R81" s="31" t="e">
        <f>'Repair Assessment Sheet'!#REF!</f>
        <v>#REF!</v>
      </c>
      <c r="S81" s="31"/>
      <c r="T81" s="31"/>
    </row>
    <row r="82" spans="1:20" ht="15" thickBot="1" x14ac:dyDescent="0.4">
      <c r="A82" s="4">
        <v>69</v>
      </c>
      <c r="B82" s="16"/>
      <c r="C82" s="16"/>
      <c r="D82" s="16"/>
      <c r="E82" s="16"/>
      <c r="F82" s="16"/>
      <c r="G82" s="632" t="e">
        <f>'Repair Assessment Sheet'!#REF!</f>
        <v>#REF!</v>
      </c>
      <c r="H82" s="633"/>
      <c r="I82" s="634"/>
      <c r="J82" s="374"/>
      <c r="K82" s="16" t="e">
        <f>'Repair Assessment Sheet'!#REF!</f>
        <v>#REF!</v>
      </c>
      <c r="L82" s="16"/>
      <c r="M82" s="16" t="e">
        <f>'Repair Assessment Sheet'!#REF!</f>
        <v>#REF!</v>
      </c>
      <c r="N82" s="16" t="e">
        <f>'Repair Assessment Sheet'!#REF!</f>
        <v>#REF!</v>
      </c>
      <c r="O82" s="51" t="e">
        <f>'Repair Assessment Sheet'!#REF!</f>
        <v>#REF!</v>
      </c>
      <c r="P82" s="51"/>
      <c r="Q82" s="31"/>
      <c r="R82" s="31" t="e">
        <f>'Repair Assessment Sheet'!#REF!</f>
        <v>#REF!</v>
      </c>
      <c r="S82" s="31"/>
      <c r="T82" s="31"/>
    </row>
    <row r="83" spans="1:20" ht="15" thickBot="1" x14ac:dyDescent="0.4">
      <c r="A83" s="4">
        <v>70</v>
      </c>
      <c r="B83" s="16"/>
      <c r="C83" s="16"/>
      <c r="D83" s="16"/>
      <c r="E83" s="16"/>
      <c r="F83" s="16"/>
      <c r="G83" s="632" t="e">
        <f>'Repair Assessment Sheet'!#REF!</f>
        <v>#REF!</v>
      </c>
      <c r="H83" s="633"/>
      <c r="I83" s="634"/>
      <c r="J83" s="374"/>
      <c r="K83" s="16" t="e">
        <f>'Repair Assessment Sheet'!#REF!</f>
        <v>#REF!</v>
      </c>
      <c r="L83" s="16"/>
      <c r="M83" s="16" t="e">
        <f>'Repair Assessment Sheet'!#REF!</f>
        <v>#REF!</v>
      </c>
      <c r="N83" s="16" t="e">
        <f>'Repair Assessment Sheet'!#REF!</f>
        <v>#REF!</v>
      </c>
      <c r="O83" s="51" t="e">
        <f>'Repair Assessment Sheet'!#REF!</f>
        <v>#REF!</v>
      </c>
      <c r="P83" s="51"/>
      <c r="Q83" s="31"/>
      <c r="R83" s="31" t="e">
        <f>'Repair Assessment Sheet'!#REF!</f>
        <v>#REF!</v>
      </c>
      <c r="S83" s="31"/>
      <c r="T83" s="31"/>
    </row>
    <row r="84" spans="1:20" ht="15" thickBot="1" x14ac:dyDescent="0.4">
      <c r="A84" s="4">
        <v>71</v>
      </c>
      <c r="B84" s="16"/>
      <c r="C84" s="16"/>
      <c r="D84" s="16"/>
      <c r="E84" s="16"/>
      <c r="F84" s="16"/>
      <c r="G84" s="632" t="e">
        <f>'Repair Assessment Sheet'!#REF!</f>
        <v>#REF!</v>
      </c>
      <c r="H84" s="633"/>
      <c r="I84" s="634"/>
      <c r="J84" s="374"/>
      <c r="K84" s="16" t="e">
        <f>'Repair Assessment Sheet'!#REF!</f>
        <v>#REF!</v>
      </c>
      <c r="L84" s="16"/>
      <c r="M84" s="16" t="e">
        <f>'Repair Assessment Sheet'!#REF!</f>
        <v>#REF!</v>
      </c>
      <c r="N84" s="16" t="e">
        <f>'Repair Assessment Sheet'!#REF!</f>
        <v>#REF!</v>
      </c>
      <c r="O84" s="51" t="e">
        <f>'Repair Assessment Sheet'!#REF!</f>
        <v>#REF!</v>
      </c>
      <c r="P84" s="51"/>
      <c r="Q84" s="31"/>
      <c r="R84" s="31" t="e">
        <f>'Repair Assessment Sheet'!#REF!</f>
        <v>#REF!</v>
      </c>
      <c r="S84" s="31"/>
      <c r="T84" s="31"/>
    </row>
    <row r="85" spans="1:20" ht="15" thickBot="1" x14ac:dyDescent="0.4">
      <c r="A85" s="4">
        <v>72</v>
      </c>
      <c r="B85" s="16"/>
      <c r="C85" s="16"/>
      <c r="D85" s="16"/>
      <c r="E85" s="16"/>
      <c r="F85" s="16"/>
      <c r="G85" s="632" t="e">
        <f>'Repair Assessment Sheet'!#REF!</f>
        <v>#REF!</v>
      </c>
      <c r="H85" s="633"/>
      <c r="I85" s="634"/>
      <c r="J85" s="374"/>
      <c r="K85" s="16" t="e">
        <f>'Repair Assessment Sheet'!#REF!</f>
        <v>#REF!</v>
      </c>
      <c r="L85" s="16"/>
      <c r="M85" s="16" t="e">
        <f>'Repair Assessment Sheet'!#REF!</f>
        <v>#REF!</v>
      </c>
      <c r="N85" s="16" t="e">
        <f>'Repair Assessment Sheet'!#REF!</f>
        <v>#REF!</v>
      </c>
      <c r="O85" s="51" t="e">
        <f>'Repair Assessment Sheet'!#REF!</f>
        <v>#REF!</v>
      </c>
      <c r="P85" s="51"/>
      <c r="Q85" s="31"/>
      <c r="R85" s="31" t="e">
        <f>'Repair Assessment Sheet'!#REF!</f>
        <v>#REF!</v>
      </c>
      <c r="S85" s="31"/>
      <c r="T85" s="31"/>
    </row>
    <row r="86" spans="1:20" ht="15" thickBot="1" x14ac:dyDescent="0.4">
      <c r="A86" s="4">
        <v>73</v>
      </c>
      <c r="B86" s="16"/>
      <c r="C86" s="16"/>
      <c r="D86" s="16"/>
      <c r="E86" s="16"/>
      <c r="F86" s="16"/>
      <c r="G86" s="632" t="e">
        <f>'Repair Assessment Sheet'!#REF!</f>
        <v>#REF!</v>
      </c>
      <c r="H86" s="633"/>
      <c r="I86" s="634"/>
      <c r="J86" s="374"/>
      <c r="K86" s="16" t="e">
        <f>'Repair Assessment Sheet'!#REF!</f>
        <v>#REF!</v>
      </c>
      <c r="L86" s="16"/>
      <c r="M86" s="16" t="e">
        <f>'Repair Assessment Sheet'!#REF!</f>
        <v>#REF!</v>
      </c>
      <c r="N86" s="16" t="e">
        <f>'Repair Assessment Sheet'!#REF!</f>
        <v>#REF!</v>
      </c>
      <c r="O86" s="51" t="e">
        <f>'Repair Assessment Sheet'!#REF!</f>
        <v>#REF!</v>
      </c>
      <c r="P86" s="51"/>
      <c r="Q86" s="31"/>
      <c r="R86" s="31" t="e">
        <f>'Repair Assessment Sheet'!#REF!</f>
        <v>#REF!</v>
      </c>
      <c r="S86" s="31"/>
      <c r="T86" s="31"/>
    </row>
    <row r="87" spans="1:20" ht="15" thickBot="1" x14ac:dyDescent="0.4">
      <c r="A87" s="4">
        <v>74</v>
      </c>
      <c r="B87" s="16"/>
      <c r="C87" s="16"/>
      <c r="D87" s="16"/>
      <c r="E87" s="16"/>
      <c r="F87" s="16"/>
      <c r="G87" s="632" t="e">
        <f>'Repair Assessment Sheet'!#REF!</f>
        <v>#REF!</v>
      </c>
      <c r="H87" s="633"/>
      <c r="I87" s="634"/>
      <c r="J87" s="374"/>
      <c r="K87" s="16" t="e">
        <f>'Repair Assessment Sheet'!#REF!</f>
        <v>#REF!</v>
      </c>
      <c r="L87" s="16"/>
      <c r="M87" s="16" t="e">
        <f>'Repair Assessment Sheet'!#REF!</f>
        <v>#REF!</v>
      </c>
      <c r="N87" s="16" t="e">
        <f>'Repair Assessment Sheet'!#REF!</f>
        <v>#REF!</v>
      </c>
      <c r="O87" s="51" t="e">
        <f>'Repair Assessment Sheet'!#REF!</f>
        <v>#REF!</v>
      </c>
      <c r="P87" s="51"/>
      <c r="Q87" s="31"/>
      <c r="R87" s="31" t="e">
        <f>'Repair Assessment Sheet'!#REF!</f>
        <v>#REF!</v>
      </c>
      <c r="S87" s="31"/>
      <c r="T87" s="31"/>
    </row>
    <row r="88" spans="1:20" ht="15" thickBot="1" x14ac:dyDescent="0.4">
      <c r="A88" s="4">
        <v>75</v>
      </c>
      <c r="B88" s="16"/>
      <c r="C88" s="16"/>
      <c r="D88" s="16"/>
      <c r="E88" s="16"/>
      <c r="F88" s="16"/>
      <c r="G88" s="632" t="e">
        <f>'Repair Assessment Sheet'!#REF!</f>
        <v>#REF!</v>
      </c>
      <c r="H88" s="633"/>
      <c r="I88" s="634"/>
      <c r="J88" s="374"/>
      <c r="K88" s="16" t="e">
        <f>'Repair Assessment Sheet'!#REF!</f>
        <v>#REF!</v>
      </c>
      <c r="L88" s="16"/>
      <c r="M88" s="16" t="e">
        <f>'Repair Assessment Sheet'!#REF!</f>
        <v>#REF!</v>
      </c>
      <c r="N88" s="16" t="e">
        <f>'Repair Assessment Sheet'!#REF!</f>
        <v>#REF!</v>
      </c>
      <c r="O88" s="51" t="e">
        <f>'Repair Assessment Sheet'!#REF!</f>
        <v>#REF!</v>
      </c>
      <c r="P88" s="51"/>
      <c r="Q88" s="31"/>
      <c r="R88" s="31" t="e">
        <f>'Repair Assessment Sheet'!#REF!</f>
        <v>#REF!</v>
      </c>
      <c r="S88" s="31"/>
      <c r="T88" s="31"/>
    </row>
    <row r="89" spans="1:20" ht="15" thickBot="1" x14ac:dyDescent="0.4">
      <c r="A89" s="4">
        <v>76</v>
      </c>
      <c r="B89" s="16"/>
      <c r="C89" s="16"/>
      <c r="D89" s="16"/>
      <c r="E89" s="16"/>
      <c r="F89" s="16"/>
      <c r="G89" s="632" t="e">
        <f>'Repair Assessment Sheet'!#REF!</f>
        <v>#REF!</v>
      </c>
      <c r="H89" s="633"/>
      <c r="I89" s="634"/>
      <c r="J89" s="374"/>
      <c r="K89" s="16" t="e">
        <f>'Repair Assessment Sheet'!#REF!</f>
        <v>#REF!</v>
      </c>
      <c r="L89" s="16"/>
      <c r="M89" s="16" t="e">
        <f>'Repair Assessment Sheet'!#REF!</f>
        <v>#REF!</v>
      </c>
      <c r="N89" s="16" t="e">
        <f>'Repair Assessment Sheet'!#REF!</f>
        <v>#REF!</v>
      </c>
      <c r="O89" s="51" t="e">
        <f>'Repair Assessment Sheet'!#REF!</f>
        <v>#REF!</v>
      </c>
      <c r="P89" s="51"/>
      <c r="Q89" s="31"/>
      <c r="R89" s="31" t="e">
        <f>'Repair Assessment Sheet'!#REF!</f>
        <v>#REF!</v>
      </c>
      <c r="S89" s="31"/>
      <c r="T89" s="31"/>
    </row>
    <row r="90" spans="1:20" ht="15" thickBot="1" x14ac:dyDescent="0.4">
      <c r="A90" s="4">
        <v>77</v>
      </c>
      <c r="B90" s="16"/>
      <c r="C90" s="16"/>
      <c r="D90" s="16"/>
      <c r="E90" s="16"/>
      <c r="F90" s="16"/>
      <c r="G90" s="632" t="e">
        <f>'Repair Assessment Sheet'!#REF!</f>
        <v>#REF!</v>
      </c>
      <c r="H90" s="633"/>
      <c r="I90" s="634"/>
      <c r="J90" s="374"/>
      <c r="K90" s="16" t="e">
        <f>'Repair Assessment Sheet'!#REF!</f>
        <v>#REF!</v>
      </c>
      <c r="L90" s="16"/>
      <c r="M90" s="16" t="e">
        <f>'Repair Assessment Sheet'!#REF!</f>
        <v>#REF!</v>
      </c>
      <c r="N90" s="16" t="e">
        <f>'Repair Assessment Sheet'!#REF!</f>
        <v>#REF!</v>
      </c>
      <c r="O90" s="51" t="e">
        <f>'Repair Assessment Sheet'!#REF!</f>
        <v>#REF!</v>
      </c>
      <c r="P90" s="51"/>
      <c r="Q90" s="31"/>
      <c r="R90" s="31" t="e">
        <f>'Repair Assessment Sheet'!#REF!</f>
        <v>#REF!</v>
      </c>
      <c r="S90" s="31"/>
      <c r="T90" s="31"/>
    </row>
    <row r="91" spans="1:20" ht="15" thickBot="1" x14ac:dyDescent="0.4">
      <c r="A91" s="4">
        <v>78</v>
      </c>
      <c r="B91" s="16"/>
      <c r="C91" s="16"/>
      <c r="D91" s="16"/>
      <c r="E91" s="16"/>
      <c r="F91" s="16"/>
      <c r="G91" s="632" t="e">
        <f>'Repair Assessment Sheet'!#REF!</f>
        <v>#REF!</v>
      </c>
      <c r="H91" s="633"/>
      <c r="I91" s="634"/>
      <c r="J91" s="374"/>
      <c r="K91" s="16" t="e">
        <f>'Repair Assessment Sheet'!#REF!</f>
        <v>#REF!</v>
      </c>
      <c r="L91" s="16"/>
      <c r="M91" s="16" t="e">
        <f>'Repair Assessment Sheet'!#REF!</f>
        <v>#REF!</v>
      </c>
      <c r="N91" s="16" t="e">
        <f>'Repair Assessment Sheet'!#REF!</f>
        <v>#REF!</v>
      </c>
      <c r="O91" s="51" t="e">
        <f>'Repair Assessment Sheet'!#REF!</f>
        <v>#REF!</v>
      </c>
      <c r="P91" s="51"/>
      <c r="Q91" s="31"/>
      <c r="R91" s="31" t="e">
        <f>'Repair Assessment Sheet'!#REF!</f>
        <v>#REF!</v>
      </c>
      <c r="S91" s="31"/>
      <c r="T91" s="31"/>
    </row>
    <row r="92" spans="1:20" ht="15" thickBot="1" x14ac:dyDescent="0.4">
      <c r="A92" s="4">
        <v>79</v>
      </c>
      <c r="B92" s="16"/>
      <c r="C92" s="16"/>
      <c r="D92" s="16"/>
      <c r="E92" s="16"/>
      <c r="F92" s="16"/>
      <c r="G92" s="632" t="e">
        <f>'Repair Assessment Sheet'!#REF!</f>
        <v>#REF!</v>
      </c>
      <c r="H92" s="633"/>
      <c r="I92" s="634"/>
      <c r="J92" s="374"/>
      <c r="K92" s="16" t="e">
        <f>'Repair Assessment Sheet'!#REF!</f>
        <v>#REF!</v>
      </c>
      <c r="L92" s="16"/>
      <c r="M92" s="16" t="e">
        <f>'Repair Assessment Sheet'!#REF!</f>
        <v>#REF!</v>
      </c>
      <c r="N92" s="16" t="e">
        <f>'Repair Assessment Sheet'!#REF!</f>
        <v>#REF!</v>
      </c>
      <c r="O92" s="51" t="e">
        <f>'Repair Assessment Sheet'!#REF!</f>
        <v>#REF!</v>
      </c>
      <c r="P92" s="51"/>
      <c r="Q92" s="31"/>
      <c r="R92" s="31" t="e">
        <f>'Repair Assessment Sheet'!#REF!</f>
        <v>#REF!</v>
      </c>
      <c r="S92" s="31"/>
      <c r="T92" s="31"/>
    </row>
    <row r="93" spans="1:20" ht="15" thickBot="1" x14ac:dyDescent="0.4">
      <c r="A93" s="4">
        <v>80</v>
      </c>
      <c r="B93" s="16"/>
      <c r="C93" s="16"/>
      <c r="D93" s="16"/>
      <c r="E93" s="16"/>
      <c r="F93" s="16"/>
      <c r="G93" s="632" t="e">
        <f>'Repair Assessment Sheet'!#REF!</f>
        <v>#REF!</v>
      </c>
      <c r="H93" s="633"/>
      <c r="I93" s="634"/>
      <c r="J93" s="374"/>
      <c r="K93" s="16" t="e">
        <f>'Repair Assessment Sheet'!#REF!</f>
        <v>#REF!</v>
      </c>
      <c r="L93" s="16"/>
      <c r="M93" s="16" t="e">
        <f>'Repair Assessment Sheet'!#REF!</f>
        <v>#REF!</v>
      </c>
      <c r="N93" s="16" t="e">
        <f>'Repair Assessment Sheet'!#REF!</f>
        <v>#REF!</v>
      </c>
      <c r="O93" s="51" t="e">
        <f>'Repair Assessment Sheet'!#REF!</f>
        <v>#REF!</v>
      </c>
      <c r="P93" s="51"/>
      <c r="Q93" s="31"/>
      <c r="R93" s="31" t="e">
        <f>'Repair Assessment Sheet'!#REF!</f>
        <v>#REF!</v>
      </c>
      <c r="S93" s="31"/>
      <c r="T93" s="31"/>
    </row>
    <row r="94" spans="1:20" ht="15" thickBot="1" x14ac:dyDescent="0.4">
      <c r="A94" s="4">
        <v>81</v>
      </c>
      <c r="B94" s="16"/>
      <c r="C94" s="16"/>
      <c r="D94" s="16"/>
      <c r="E94" s="16"/>
      <c r="F94" s="16"/>
      <c r="G94" s="632" t="e">
        <f>'Repair Assessment Sheet'!#REF!</f>
        <v>#REF!</v>
      </c>
      <c r="H94" s="633"/>
      <c r="I94" s="634"/>
      <c r="J94" s="374"/>
      <c r="K94" s="16" t="e">
        <f>'Repair Assessment Sheet'!#REF!</f>
        <v>#REF!</v>
      </c>
      <c r="L94" s="16"/>
      <c r="M94" s="16" t="e">
        <f>'Repair Assessment Sheet'!#REF!</f>
        <v>#REF!</v>
      </c>
      <c r="N94" s="16" t="e">
        <f>'Repair Assessment Sheet'!#REF!</f>
        <v>#REF!</v>
      </c>
      <c r="O94" s="51" t="e">
        <f>'Repair Assessment Sheet'!#REF!</f>
        <v>#REF!</v>
      </c>
      <c r="P94" s="51"/>
      <c r="Q94" s="31"/>
      <c r="R94" s="31" t="e">
        <f>'Repair Assessment Sheet'!#REF!</f>
        <v>#REF!</v>
      </c>
      <c r="S94" s="31"/>
      <c r="T94" s="31"/>
    </row>
    <row r="95" spans="1:20" ht="15" thickBot="1" x14ac:dyDescent="0.4">
      <c r="A95" s="4">
        <v>82</v>
      </c>
      <c r="B95" s="16"/>
      <c r="C95" s="16"/>
      <c r="D95" s="16"/>
      <c r="E95" s="16"/>
      <c r="F95" s="16"/>
      <c r="G95" s="632" t="e">
        <f>'Repair Assessment Sheet'!#REF!</f>
        <v>#REF!</v>
      </c>
      <c r="H95" s="633"/>
      <c r="I95" s="634"/>
      <c r="J95" s="374"/>
      <c r="K95" s="16" t="e">
        <f>'Repair Assessment Sheet'!#REF!</f>
        <v>#REF!</v>
      </c>
      <c r="L95" s="16"/>
      <c r="M95" s="16" t="e">
        <f>'Repair Assessment Sheet'!#REF!</f>
        <v>#REF!</v>
      </c>
      <c r="N95" s="16" t="e">
        <f>'Repair Assessment Sheet'!#REF!</f>
        <v>#REF!</v>
      </c>
      <c r="O95" s="51" t="e">
        <f>'Repair Assessment Sheet'!#REF!</f>
        <v>#REF!</v>
      </c>
      <c r="P95" s="51"/>
      <c r="Q95" s="31"/>
      <c r="R95" s="31" t="e">
        <f>'Repair Assessment Sheet'!#REF!</f>
        <v>#REF!</v>
      </c>
      <c r="S95" s="31"/>
      <c r="T95" s="31"/>
    </row>
    <row r="96" spans="1:20" ht="15" thickBot="1" x14ac:dyDescent="0.4">
      <c r="A96" s="4">
        <v>83</v>
      </c>
      <c r="B96" s="16"/>
      <c r="C96" s="16"/>
      <c r="D96" s="16"/>
      <c r="E96" s="16"/>
      <c r="F96" s="16"/>
      <c r="G96" s="632" t="e">
        <f>'Repair Assessment Sheet'!#REF!</f>
        <v>#REF!</v>
      </c>
      <c r="H96" s="633"/>
      <c r="I96" s="634"/>
      <c r="J96" s="374"/>
      <c r="K96" s="16" t="e">
        <f>'Repair Assessment Sheet'!#REF!</f>
        <v>#REF!</v>
      </c>
      <c r="L96" s="16"/>
      <c r="M96" s="16" t="e">
        <f>'Repair Assessment Sheet'!#REF!</f>
        <v>#REF!</v>
      </c>
      <c r="N96" s="16" t="e">
        <f>'Repair Assessment Sheet'!#REF!</f>
        <v>#REF!</v>
      </c>
      <c r="O96" s="51" t="e">
        <f>'Repair Assessment Sheet'!#REF!</f>
        <v>#REF!</v>
      </c>
      <c r="P96" s="51"/>
      <c r="Q96" s="31"/>
      <c r="R96" s="31" t="e">
        <f>'Repair Assessment Sheet'!#REF!</f>
        <v>#REF!</v>
      </c>
      <c r="S96" s="31"/>
      <c r="T96" s="31"/>
    </row>
    <row r="97" spans="1:20" ht="15" thickBot="1" x14ac:dyDescent="0.4">
      <c r="A97" s="4">
        <v>84</v>
      </c>
      <c r="B97" s="16"/>
      <c r="C97" s="16"/>
      <c r="D97" s="16"/>
      <c r="E97" s="16"/>
      <c r="F97" s="16"/>
      <c r="G97" s="632" t="e">
        <f>'Repair Assessment Sheet'!#REF!</f>
        <v>#REF!</v>
      </c>
      <c r="H97" s="633"/>
      <c r="I97" s="634"/>
      <c r="J97" s="374"/>
      <c r="K97" s="16" t="e">
        <f>'Repair Assessment Sheet'!#REF!</f>
        <v>#REF!</v>
      </c>
      <c r="L97" s="16"/>
      <c r="M97" s="16" t="e">
        <f>'Repair Assessment Sheet'!#REF!</f>
        <v>#REF!</v>
      </c>
      <c r="N97" s="16" t="e">
        <f>'Repair Assessment Sheet'!#REF!</f>
        <v>#REF!</v>
      </c>
      <c r="O97" s="51" t="e">
        <f>'Repair Assessment Sheet'!#REF!</f>
        <v>#REF!</v>
      </c>
      <c r="P97" s="51"/>
      <c r="Q97" s="31"/>
      <c r="R97" s="31" t="e">
        <f>'Repair Assessment Sheet'!#REF!</f>
        <v>#REF!</v>
      </c>
      <c r="S97" s="31"/>
      <c r="T97" s="31"/>
    </row>
    <row r="98" spans="1:20" ht="15" thickBot="1" x14ac:dyDescent="0.4">
      <c r="A98" s="4">
        <v>85</v>
      </c>
      <c r="B98" s="16"/>
      <c r="C98" s="16"/>
      <c r="D98" s="16"/>
      <c r="E98" s="16"/>
      <c r="F98" s="16"/>
      <c r="G98" s="632" t="e">
        <f>'Repair Assessment Sheet'!#REF!</f>
        <v>#REF!</v>
      </c>
      <c r="H98" s="633"/>
      <c r="I98" s="634"/>
      <c r="J98" s="374"/>
      <c r="K98" s="16" t="e">
        <f>'Repair Assessment Sheet'!#REF!</f>
        <v>#REF!</v>
      </c>
      <c r="L98" s="16"/>
      <c r="M98" s="16" t="e">
        <f>'Repair Assessment Sheet'!#REF!</f>
        <v>#REF!</v>
      </c>
      <c r="N98" s="16" t="e">
        <f>'Repair Assessment Sheet'!#REF!</f>
        <v>#REF!</v>
      </c>
      <c r="O98" s="51" t="e">
        <f>'Repair Assessment Sheet'!#REF!</f>
        <v>#REF!</v>
      </c>
      <c r="P98" s="51"/>
      <c r="Q98" s="31"/>
      <c r="R98" s="31" t="e">
        <f>'Repair Assessment Sheet'!#REF!</f>
        <v>#REF!</v>
      </c>
      <c r="S98" s="31"/>
      <c r="T98" s="31"/>
    </row>
    <row r="99" spans="1:20" ht="15" thickBot="1" x14ac:dyDescent="0.4">
      <c r="A99" s="4">
        <v>86</v>
      </c>
      <c r="B99" s="16"/>
      <c r="C99" s="16"/>
      <c r="D99" s="16"/>
      <c r="E99" s="16"/>
      <c r="F99" s="16"/>
      <c r="G99" s="632" t="e">
        <f>'Repair Assessment Sheet'!#REF!</f>
        <v>#REF!</v>
      </c>
      <c r="H99" s="633"/>
      <c r="I99" s="634"/>
      <c r="J99" s="374"/>
      <c r="K99" s="16" t="e">
        <f>'Repair Assessment Sheet'!#REF!</f>
        <v>#REF!</v>
      </c>
      <c r="L99" s="16"/>
      <c r="M99" s="16" t="e">
        <f>'Repair Assessment Sheet'!#REF!</f>
        <v>#REF!</v>
      </c>
      <c r="N99" s="16" t="e">
        <f>'Repair Assessment Sheet'!#REF!</f>
        <v>#REF!</v>
      </c>
      <c r="O99" s="51" t="e">
        <f>'Repair Assessment Sheet'!#REF!</f>
        <v>#REF!</v>
      </c>
      <c r="P99" s="51"/>
      <c r="Q99" s="31"/>
      <c r="R99" s="31" t="e">
        <f>'Repair Assessment Sheet'!#REF!</f>
        <v>#REF!</v>
      </c>
      <c r="S99" s="31"/>
      <c r="T99" s="31"/>
    </row>
    <row r="100" spans="1:20" ht="15" thickBot="1" x14ac:dyDescent="0.4">
      <c r="A100" s="4">
        <v>87</v>
      </c>
      <c r="B100" s="16"/>
      <c r="C100" s="16"/>
      <c r="D100" s="16"/>
      <c r="E100" s="16"/>
      <c r="F100" s="16"/>
      <c r="G100" s="632" t="e">
        <f>'Repair Assessment Sheet'!#REF!</f>
        <v>#REF!</v>
      </c>
      <c r="H100" s="633"/>
      <c r="I100" s="634"/>
      <c r="J100" s="374"/>
      <c r="K100" s="16" t="e">
        <f>'Repair Assessment Sheet'!#REF!</f>
        <v>#REF!</v>
      </c>
      <c r="L100" s="16"/>
      <c r="M100" s="16" t="e">
        <f>'Repair Assessment Sheet'!#REF!</f>
        <v>#REF!</v>
      </c>
      <c r="N100" s="16" t="e">
        <f>'Repair Assessment Sheet'!#REF!</f>
        <v>#REF!</v>
      </c>
      <c r="O100" s="51" t="e">
        <f>'Repair Assessment Sheet'!#REF!</f>
        <v>#REF!</v>
      </c>
      <c r="P100" s="51"/>
      <c r="Q100" s="31"/>
      <c r="R100" s="31" t="e">
        <f>'Repair Assessment Sheet'!#REF!</f>
        <v>#REF!</v>
      </c>
      <c r="S100" s="31"/>
      <c r="T100" s="31"/>
    </row>
    <row r="101" spans="1:20" ht="15" thickBot="1" x14ac:dyDescent="0.4">
      <c r="A101" s="4">
        <v>88</v>
      </c>
      <c r="B101" s="16"/>
      <c r="C101" s="16"/>
      <c r="D101" s="16"/>
      <c r="E101" s="16"/>
      <c r="F101" s="16"/>
      <c r="G101" s="632" t="e">
        <f>'Repair Assessment Sheet'!#REF!</f>
        <v>#REF!</v>
      </c>
      <c r="H101" s="633"/>
      <c r="I101" s="634"/>
      <c r="J101" s="374"/>
      <c r="K101" s="16" t="e">
        <f>'Repair Assessment Sheet'!#REF!</f>
        <v>#REF!</v>
      </c>
      <c r="L101" s="16"/>
      <c r="M101" s="16" t="e">
        <f>'Repair Assessment Sheet'!#REF!</f>
        <v>#REF!</v>
      </c>
      <c r="N101" s="16" t="e">
        <f>'Repair Assessment Sheet'!#REF!</f>
        <v>#REF!</v>
      </c>
      <c r="O101" s="51" t="e">
        <f>'Repair Assessment Sheet'!#REF!</f>
        <v>#REF!</v>
      </c>
      <c r="P101" s="51"/>
      <c r="Q101" s="31"/>
      <c r="R101" s="31" t="e">
        <f>'Repair Assessment Sheet'!#REF!</f>
        <v>#REF!</v>
      </c>
      <c r="S101" s="31"/>
      <c r="T101" s="31"/>
    </row>
    <row r="102" spans="1:20" ht="15" thickBot="1" x14ac:dyDescent="0.4">
      <c r="A102" s="4">
        <v>89</v>
      </c>
      <c r="B102" s="16"/>
      <c r="C102" s="16"/>
      <c r="D102" s="16"/>
      <c r="E102" s="16"/>
      <c r="F102" s="16"/>
      <c r="G102" s="632" t="e">
        <f>'Repair Assessment Sheet'!#REF!</f>
        <v>#REF!</v>
      </c>
      <c r="H102" s="633"/>
      <c r="I102" s="634"/>
      <c r="J102" s="374"/>
      <c r="K102" s="16" t="e">
        <f>'Repair Assessment Sheet'!#REF!</f>
        <v>#REF!</v>
      </c>
      <c r="L102" s="16"/>
      <c r="M102" s="16" t="e">
        <f>'Repair Assessment Sheet'!#REF!</f>
        <v>#REF!</v>
      </c>
      <c r="N102" s="16" t="e">
        <f>'Repair Assessment Sheet'!#REF!</f>
        <v>#REF!</v>
      </c>
      <c r="O102" s="51" t="e">
        <f>'Repair Assessment Sheet'!#REF!</f>
        <v>#REF!</v>
      </c>
      <c r="P102" s="51"/>
      <c r="Q102" s="31"/>
      <c r="R102" s="31" t="e">
        <f>'Repair Assessment Sheet'!#REF!</f>
        <v>#REF!</v>
      </c>
      <c r="S102" s="31"/>
      <c r="T102" s="31"/>
    </row>
    <row r="103" spans="1:20" ht="15" thickBot="1" x14ac:dyDescent="0.4">
      <c r="A103" s="4">
        <v>90</v>
      </c>
      <c r="B103" s="16"/>
      <c r="C103" s="16"/>
      <c r="D103" s="16"/>
      <c r="E103" s="16"/>
      <c r="F103" s="16"/>
      <c r="G103" s="632" t="e">
        <f>'Repair Assessment Sheet'!#REF!</f>
        <v>#REF!</v>
      </c>
      <c r="H103" s="633"/>
      <c r="I103" s="634"/>
      <c r="J103" s="374"/>
      <c r="K103" s="16" t="e">
        <f>'Repair Assessment Sheet'!#REF!</f>
        <v>#REF!</v>
      </c>
      <c r="L103" s="16"/>
      <c r="M103" s="16" t="e">
        <f>'Repair Assessment Sheet'!#REF!</f>
        <v>#REF!</v>
      </c>
      <c r="N103" s="16" t="e">
        <f>'Repair Assessment Sheet'!#REF!</f>
        <v>#REF!</v>
      </c>
      <c r="O103" s="51" t="e">
        <f>'Repair Assessment Sheet'!#REF!</f>
        <v>#REF!</v>
      </c>
      <c r="P103" s="51"/>
      <c r="Q103" s="31"/>
      <c r="R103" s="31" t="e">
        <f>'Repair Assessment Sheet'!#REF!</f>
        <v>#REF!</v>
      </c>
      <c r="S103" s="31"/>
      <c r="T103" s="31"/>
    </row>
    <row r="104" spans="1:20" ht="15" thickBot="1" x14ac:dyDescent="0.4">
      <c r="A104" s="4">
        <v>91</v>
      </c>
      <c r="B104" s="16"/>
      <c r="C104" s="16"/>
      <c r="D104" s="16"/>
      <c r="E104" s="16"/>
      <c r="F104" s="16"/>
      <c r="G104" s="632" t="e">
        <f>'Repair Assessment Sheet'!#REF!</f>
        <v>#REF!</v>
      </c>
      <c r="H104" s="633"/>
      <c r="I104" s="634"/>
      <c r="J104" s="374"/>
      <c r="K104" s="16" t="e">
        <f>'Repair Assessment Sheet'!#REF!</f>
        <v>#REF!</v>
      </c>
      <c r="L104" s="16"/>
      <c r="M104" s="16" t="e">
        <f>'Repair Assessment Sheet'!#REF!</f>
        <v>#REF!</v>
      </c>
      <c r="N104" s="16" t="e">
        <f>'Repair Assessment Sheet'!#REF!</f>
        <v>#REF!</v>
      </c>
      <c r="O104" s="51" t="e">
        <f>'Repair Assessment Sheet'!#REF!</f>
        <v>#REF!</v>
      </c>
      <c r="P104" s="51"/>
      <c r="Q104" s="31"/>
      <c r="R104" s="31" t="e">
        <f>'Repair Assessment Sheet'!#REF!</f>
        <v>#REF!</v>
      </c>
      <c r="S104" s="31"/>
      <c r="T104" s="31"/>
    </row>
    <row r="105" spans="1:20" ht="15" thickBot="1" x14ac:dyDescent="0.4">
      <c r="A105" s="4">
        <v>92</v>
      </c>
      <c r="B105" s="16"/>
      <c r="C105" s="16"/>
      <c r="D105" s="16"/>
      <c r="E105" s="16"/>
      <c r="F105" s="16"/>
      <c r="G105" s="632" t="e">
        <f>'Repair Assessment Sheet'!#REF!</f>
        <v>#REF!</v>
      </c>
      <c r="H105" s="633"/>
      <c r="I105" s="634"/>
      <c r="J105" s="374"/>
      <c r="K105" s="16" t="e">
        <f>'Repair Assessment Sheet'!#REF!</f>
        <v>#REF!</v>
      </c>
      <c r="L105" s="16"/>
      <c r="M105" s="16" t="e">
        <f>'Repair Assessment Sheet'!#REF!</f>
        <v>#REF!</v>
      </c>
      <c r="N105" s="16" t="e">
        <f>'Repair Assessment Sheet'!#REF!</f>
        <v>#REF!</v>
      </c>
      <c r="O105" s="51" t="e">
        <f>'Repair Assessment Sheet'!#REF!</f>
        <v>#REF!</v>
      </c>
      <c r="P105" s="51"/>
      <c r="Q105" s="31"/>
      <c r="R105" s="31" t="e">
        <f>'Repair Assessment Sheet'!#REF!</f>
        <v>#REF!</v>
      </c>
      <c r="S105" s="31"/>
      <c r="T105" s="31"/>
    </row>
    <row r="106" spans="1:20" ht="15" thickBot="1" x14ac:dyDescent="0.4">
      <c r="A106" s="4">
        <v>93</v>
      </c>
      <c r="B106" s="16"/>
      <c r="C106" s="16"/>
      <c r="D106" s="16"/>
      <c r="E106" s="16"/>
      <c r="F106" s="16"/>
      <c r="G106" s="632" t="e">
        <f>'Repair Assessment Sheet'!#REF!</f>
        <v>#REF!</v>
      </c>
      <c r="H106" s="633"/>
      <c r="I106" s="634"/>
      <c r="J106" s="374"/>
      <c r="K106" s="16" t="e">
        <f>'Repair Assessment Sheet'!#REF!</f>
        <v>#REF!</v>
      </c>
      <c r="L106" s="16"/>
      <c r="M106" s="16" t="e">
        <f>'Repair Assessment Sheet'!#REF!</f>
        <v>#REF!</v>
      </c>
      <c r="N106" s="16" t="e">
        <f>'Repair Assessment Sheet'!#REF!</f>
        <v>#REF!</v>
      </c>
      <c r="O106" s="51" t="e">
        <f>'Repair Assessment Sheet'!#REF!</f>
        <v>#REF!</v>
      </c>
      <c r="P106" s="51"/>
      <c r="Q106" s="31"/>
      <c r="R106" s="31" t="e">
        <f>'Repair Assessment Sheet'!#REF!</f>
        <v>#REF!</v>
      </c>
      <c r="S106" s="31"/>
      <c r="T106" s="31"/>
    </row>
    <row r="107" spans="1:20" ht="15" thickBot="1" x14ac:dyDescent="0.4">
      <c r="A107" s="4">
        <v>94</v>
      </c>
      <c r="B107" s="16"/>
      <c r="C107" s="16"/>
      <c r="D107" s="16"/>
      <c r="E107" s="16"/>
      <c r="F107" s="16"/>
      <c r="G107" s="632" t="e">
        <f>'Repair Assessment Sheet'!#REF!</f>
        <v>#REF!</v>
      </c>
      <c r="H107" s="633"/>
      <c r="I107" s="634"/>
      <c r="J107" s="374"/>
      <c r="K107" s="16" t="e">
        <f>'Repair Assessment Sheet'!#REF!</f>
        <v>#REF!</v>
      </c>
      <c r="L107" s="16"/>
      <c r="M107" s="16" t="e">
        <f>'Repair Assessment Sheet'!#REF!</f>
        <v>#REF!</v>
      </c>
      <c r="N107" s="16" t="e">
        <f>'Repair Assessment Sheet'!#REF!</f>
        <v>#REF!</v>
      </c>
      <c r="O107" s="51" t="e">
        <f>'Repair Assessment Sheet'!#REF!</f>
        <v>#REF!</v>
      </c>
      <c r="P107" s="51"/>
      <c r="Q107" s="31"/>
      <c r="R107" s="31" t="e">
        <f>'Repair Assessment Sheet'!#REF!</f>
        <v>#REF!</v>
      </c>
      <c r="S107" s="31"/>
      <c r="T107" s="31"/>
    </row>
    <row r="108" spans="1:20" ht="15" thickBot="1" x14ac:dyDescent="0.4">
      <c r="A108" s="4">
        <v>95</v>
      </c>
      <c r="B108" s="16"/>
      <c r="C108" s="16"/>
      <c r="D108" s="16"/>
      <c r="E108" s="16"/>
      <c r="F108" s="16"/>
      <c r="G108" s="632" t="e">
        <f>'Repair Assessment Sheet'!#REF!</f>
        <v>#REF!</v>
      </c>
      <c r="H108" s="633"/>
      <c r="I108" s="634"/>
      <c r="J108" s="374"/>
      <c r="K108" s="16" t="e">
        <f>'Repair Assessment Sheet'!#REF!</f>
        <v>#REF!</v>
      </c>
      <c r="L108" s="16"/>
      <c r="M108" s="16" t="e">
        <f>'Repair Assessment Sheet'!#REF!</f>
        <v>#REF!</v>
      </c>
      <c r="N108" s="16" t="e">
        <f>'Repair Assessment Sheet'!#REF!</f>
        <v>#REF!</v>
      </c>
      <c r="O108" s="51" t="e">
        <f>'Repair Assessment Sheet'!#REF!</f>
        <v>#REF!</v>
      </c>
      <c r="P108" s="51"/>
      <c r="Q108" s="31"/>
      <c r="R108" s="31" t="e">
        <f>'Repair Assessment Sheet'!#REF!</f>
        <v>#REF!</v>
      </c>
      <c r="S108" s="31"/>
      <c r="T108" s="31"/>
    </row>
    <row r="109" spans="1:20" ht="15" thickBot="1" x14ac:dyDescent="0.4">
      <c r="A109" s="4">
        <v>96</v>
      </c>
      <c r="B109" s="16"/>
      <c r="C109" s="16"/>
      <c r="D109" s="16"/>
      <c r="E109" s="16"/>
      <c r="F109" s="16"/>
      <c r="G109" s="632" t="e">
        <f>'Repair Assessment Sheet'!#REF!</f>
        <v>#REF!</v>
      </c>
      <c r="H109" s="633"/>
      <c r="I109" s="634"/>
      <c r="J109" s="374"/>
      <c r="K109" s="16" t="e">
        <f>'Repair Assessment Sheet'!#REF!</f>
        <v>#REF!</v>
      </c>
      <c r="L109" s="16"/>
      <c r="M109" s="16" t="e">
        <f>'Repair Assessment Sheet'!#REF!</f>
        <v>#REF!</v>
      </c>
      <c r="N109" s="16" t="e">
        <f>'Repair Assessment Sheet'!#REF!</f>
        <v>#REF!</v>
      </c>
      <c r="O109" s="51" t="e">
        <f>'Repair Assessment Sheet'!#REF!</f>
        <v>#REF!</v>
      </c>
      <c r="P109" s="51"/>
      <c r="Q109" s="31"/>
      <c r="R109" s="31" t="e">
        <f>'Repair Assessment Sheet'!#REF!</f>
        <v>#REF!</v>
      </c>
      <c r="S109" s="31"/>
      <c r="T109" s="31"/>
    </row>
    <row r="110" spans="1:20" ht="15" thickBot="1" x14ac:dyDescent="0.4">
      <c r="A110" s="4">
        <v>97</v>
      </c>
      <c r="B110" s="16"/>
      <c r="C110" s="16"/>
      <c r="D110" s="16"/>
      <c r="E110" s="16"/>
      <c r="F110" s="16"/>
      <c r="G110" s="632" t="e">
        <f>'Repair Assessment Sheet'!#REF!</f>
        <v>#REF!</v>
      </c>
      <c r="H110" s="633"/>
      <c r="I110" s="634"/>
      <c r="J110" s="374"/>
      <c r="K110" s="16" t="e">
        <f>'Repair Assessment Sheet'!#REF!</f>
        <v>#REF!</v>
      </c>
      <c r="L110" s="16"/>
      <c r="M110" s="16" t="e">
        <f>'Repair Assessment Sheet'!#REF!</f>
        <v>#REF!</v>
      </c>
      <c r="N110" s="16" t="e">
        <f>'Repair Assessment Sheet'!#REF!</f>
        <v>#REF!</v>
      </c>
      <c r="O110" s="51" t="e">
        <f>'Repair Assessment Sheet'!#REF!</f>
        <v>#REF!</v>
      </c>
      <c r="P110" s="51"/>
      <c r="Q110" s="31"/>
      <c r="R110" s="31" t="e">
        <f>'Repair Assessment Sheet'!#REF!</f>
        <v>#REF!</v>
      </c>
      <c r="S110" s="31"/>
      <c r="T110" s="31"/>
    </row>
    <row r="111" spans="1:20" ht="15" thickBot="1" x14ac:dyDescent="0.4">
      <c r="A111" s="4">
        <v>98</v>
      </c>
      <c r="B111" s="16"/>
      <c r="C111" s="16"/>
      <c r="D111" s="16"/>
      <c r="E111" s="16"/>
      <c r="F111" s="16"/>
      <c r="G111" s="632" t="e">
        <f>'Repair Assessment Sheet'!#REF!</f>
        <v>#REF!</v>
      </c>
      <c r="H111" s="633"/>
      <c r="I111" s="634"/>
      <c r="J111" s="374"/>
      <c r="K111" s="16" t="e">
        <f>'Repair Assessment Sheet'!#REF!</f>
        <v>#REF!</v>
      </c>
      <c r="L111" s="16"/>
      <c r="M111" s="16" t="e">
        <f>'Repair Assessment Sheet'!#REF!</f>
        <v>#REF!</v>
      </c>
      <c r="N111" s="16" t="e">
        <f>'Repair Assessment Sheet'!#REF!</f>
        <v>#REF!</v>
      </c>
      <c r="O111" s="51" t="e">
        <f>'Repair Assessment Sheet'!#REF!</f>
        <v>#REF!</v>
      </c>
      <c r="P111" s="51"/>
      <c r="Q111" s="31"/>
      <c r="R111" s="31" t="e">
        <f>'Repair Assessment Sheet'!#REF!</f>
        <v>#REF!</v>
      </c>
      <c r="S111" s="31"/>
      <c r="T111" s="31"/>
    </row>
    <row r="112" spans="1:20" ht="15" thickBot="1" x14ac:dyDescent="0.4">
      <c r="A112" s="4">
        <v>99</v>
      </c>
      <c r="B112" s="16"/>
      <c r="C112" s="16"/>
      <c r="D112" s="16"/>
      <c r="E112" s="16"/>
      <c r="F112" s="16"/>
      <c r="G112" s="632" t="e">
        <f>'Repair Assessment Sheet'!#REF!</f>
        <v>#REF!</v>
      </c>
      <c r="H112" s="633"/>
      <c r="I112" s="634"/>
      <c r="J112" s="374"/>
      <c r="K112" s="16" t="e">
        <f>'Repair Assessment Sheet'!#REF!</f>
        <v>#REF!</v>
      </c>
      <c r="L112" s="16"/>
      <c r="M112" s="16" t="e">
        <f>'Repair Assessment Sheet'!#REF!</f>
        <v>#REF!</v>
      </c>
      <c r="N112" s="16" t="e">
        <f>'Repair Assessment Sheet'!#REF!</f>
        <v>#REF!</v>
      </c>
      <c r="O112" s="51" t="e">
        <f>'Repair Assessment Sheet'!#REF!</f>
        <v>#REF!</v>
      </c>
      <c r="P112" s="51"/>
      <c r="Q112" s="31"/>
      <c r="R112" s="31" t="e">
        <f>'Repair Assessment Sheet'!#REF!</f>
        <v>#REF!</v>
      </c>
      <c r="S112" s="31"/>
      <c r="T112" s="31"/>
    </row>
    <row r="113" spans="1:20" ht="15" thickBot="1" x14ac:dyDescent="0.4">
      <c r="A113" s="4">
        <v>100</v>
      </c>
      <c r="B113" s="16"/>
      <c r="C113" s="16"/>
      <c r="D113" s="16"/>
      <c r="E113" s="16"/>
      <c r="F113" s="16"/>
      <c r="G113" s="632" t="e">
        <f>'Repair Assessment Sheet'!#REF!</f>
        <v>#REF!</v>
      </c>
      <c r="H113" s="633"/>
      <c r="I113" s="634"/>
      <c r="J113" s="374"/>
      <c r="K113" s="16" t="e">
        <f>'Repair Assessment Sheet'!#REF!</f>
        <v>#REF!</v>
      </c>
      <c r="L113" s="16"/>
      <c r="M113" s="16" t="e">
        <f>'Repair Assessment Sheet'!#REF!</f>
        <v>#REF!</v>
      </c>
      <c r="N113" s="16" t="e">
        <f>'Repair Assessment Sheet'!#REF!</f>
        <v>#REF!</v>
      </c>
      <c r="O113" s="51" t="e">
        <f>'Repair Assessment Sheet'!#REF!</f>
        <v>#REF!</v>
      </c>
      <c r="P113" s="51"/>
      <c r="Q113" s="31"/>
      <c r="R113" s="31" t="e">
        <f>'Repair Assessment Sheet'!#REF!</f>
        <v>#REF!</v>
      </c>
      <c r="S113" s="31"/>
      <c r="T113" s="31"/>
    </row>
    <row r="114" spans="1:20" ht="15" thickBot="1" x14ac:dyDescent="0.4">
      <c r="A114" s="4">
        <v>101</v>
      </c>
      <c r="B114" s="16"/>
      <c r="C114" s="16"/>
      <c r="D114" s="16"/>
      <c r="E114" s="16"/>
      <c r="F114" s="16"/>
      <c r="G114" s="632" t="e">
        <f>'Repair Assessment Sheet'!#REF!</f>
        <v>#REF!</v>
      </c>
      <c r="H114" s="633"/>
      <c r="I114" s="634"/>
      <c r="J114" s="374"/>
      <c r="K114" s="16" t="e">
        <f>'Repair Assessment Sheet'!#REF!</f>
        <v>#REF!</v>
      </c>
      <c r="L114" s="16"/>
      <c r="M114" s="16" t="e">
        <f>'Repair Assessment Sheet'!#REF!</f>
        <v>#REF!</v>
      </c>
      <c r="N114" s="16" t="e">
        <f>'Repair Assessment Sheet'!#REF!</f>
        <v>#REF!</v>
      </c>
      <c r="O114" s="51" t="e">
        <f>'Repair Assessment Sheet'!#REF!</f>
        <v>#REF!</v>
      </c>
      <c r="P114" s="51"/>
      <c r="Q114" s="31"/>
      <c r="R114" s="31" t="e">
        <f>'Repair Assessment Sheet'!#REF!</f>
        <v>#REF!</v>
      </c>
      <c r="S114" s="31"/>
      <c r="T114" s="31"/>
    </row>
    <row r="115" spans="1:20" ht="15" thickBot="1" x14ac:dyDescent="0.4">
      <c r="A115" s="4">
        <v>102</v>
      </c>
      <c r="B115" s="16"/>
      <c r="C115" s="16"/>
      <c r="D115" s="16"/>
      <c r="E115" s="16"/>
      <c r="F115" s="16"/>
      <c r="G115" s="632" t="e">
        <f>'Repair Assessment Sheet'!#REF!</f>
        <v>#REF!</v>
      </c>
      <c r="H115" s="633"/>
      <c r="I115" s="634"/>
      <c r="J115" s="374"/>
      <c r="K115" s="16" t="e">
        <f>'Repair Assessment Sheet'!#REF!</f>
        <v>#REF!</v>
      </c>
      <c r="L115" s="16"/>
      <c r="M115" s="16" t="e">
        <f>'Repair Assessment Sheet'!#REF!</f>
        <v>#REF!</v>
      </c>
      <c r="N115" s="16" t="e">
        <f>'Repair Assessment Sheet'!#REF!</f>
        <v>#REF!</v>
      </c>
      <c r="O115" s="51" t="e">
        <f>'Repair Assessment Sheet'!#REF!</f>
        <v>#REF!</v>
      </c>
      <c r="P115" s="51"/>
      <c r="Q115" s="31"/>
      <c r="R115" s="31" t="e">
        <f>'Repair Assessment Sheet'!#REF!</f>
        <v>#REF!</v>
      </c>
      <c r="S115" s="31"/>
      <c r="T115" s="31"/>
    </row>
    <row r="116" spans="1:20" ht="15" thickBot="1" x14ac:dyDescent="0.4">
      <c r="A116" s="4">
        <v>103</v>
      </c>
      <c r="B116" s="16"/>
      <c r="C116" s="16"/>
      <c r="D116" s="16"/>
      <c r="E116" s="16"/>
      <c r="F116" s="16"/>
      <c r="G116" s="632" t="e">
        <f>'Repair Assessment Sheet'!#REF!</f>
        <v>#REF!</v>
      </c>
      <c r="H116" s="633"/>
      <c r="I116" s="634"/>
      <c r="J116" s="374"/>
      <c r="K116" s="16" t="e">
        <f>'Repair Assessment Sheet'!#REF!</f>
        <v>#REF!</v>
      </c>
      <c r="L116" s="16"/>
      <c r="M116" s="16" t="e">
        <f>'Repair Assessment Sheet'!#REF!</f>
        <v>#REF!</v>
      </c>
      <c r="N116" s="16" t="e">
        <f>'Repair Assessment Sheet'!#REF!</f>
        <v>#REF!</v>
      </c>
      <c r="O116" s="51" t="e">
        <f>'Repair Assessment Sheet'!#REF!</f>
        <v>#REF!</v>
      </c>
      <c r="P116" s="51"/>
      <c r="Q116" s="31"/>
      <c r="R116" s="31" t="e">
        <f>'Repair Assessment Sheet'!#REF!</f>
        <v>#REF!</v>
      </c>
      <c r="S116" s="31"/>
      <c r="T116" s="31"/>
    </row>
    <row r="117" spans="1:20" ht="15" thickBot="1" x14ac:dyDescent="0.4">
      <c r="A117" s="4">
        <v>104</v>
      </c>
      <c r="B117" s="16"/>
      <c r="C117" s="16"/>
      <c r="D117" s="16"/>
      <c r="E117" s="16"/>
      <c r="F117" s="16"/>
      <c r="G117" s="632" t="e">
        <f>'Repair Assessment Sheet'!#REF!</f>
        <v>#REF!</v>
      </c>
      <c r="H117" s="633"/>
      <c r="I117" s="634"/>
      <c r="J117" s="374"/>
      <c r="K117" s="16" t="e">
        <f>'Repair Assessment Sheet'!#REF!</f>
        <v>#REF!</v>
      </c>
      <c r="L117" s="16"/>
      <c r="M117" s="16" t="e">
        <f>'Repair Assessment Sheet'!#REF!</f>
        <v>#REF!</v>
      </c>
      <c r="N117" s="16" t="e">
        <f>'Repair Assessment Sheet'!#REF!</f>
        <v>#REF!</v>
      </c>
      <c r="O117" s="51" t="e">
        <f>'Repair Assessment Sheet'!#REF!</f>
        <v>#REF!</v>
      </c>
      <c r="P117" s="51"/>
      <c r="Q117" s="31"/>
      <c r="R117" s="31" t="e">
        <f>'Repair Assessment Sheet'!#REF!</f>
        <v>#REF!</v>
      </c>
      <c r="S117" s="31"/>
      <c r="T117" s="31"/>
    </row>
    <row r="118" spans="1:20" ht="15" thickBot="1" x14ac:dyDescent="0.4">
      <c r="A118" s="4">
        <v>105</v>
      </c>
      <c r="B118" s="16"/>
      <c r="C118" s="16"/>
      <c r="D118" s="16"/>
      <c r="E118" s="16"/>
      <c r="F118" s="16"/>
      <c r="G118" s="632" t="e">
        <f>'Repair Assessment Sheet'!#REF!</f>
        <v>#REF!</v>
      </c>
      <c r="H118" s="633"/>
      <c r="I118" s="634"/>
      <c r="J118" s="374"/>
      <c r="K118" s="16" t="e">
        <f>'Repair Assessment Sheet'!#REF!</f>
        <v>#REF!</v>
      </c>
      <c r="L118" s="16"/>
      <c r="M118" s="16" t="e">
        <f>'Repair Assessment Sheet'!#REF!</f>
        <v>#REF!</v>
      </c>
      <c r="N118" s="16" t="e">
        <f>'Repair Assessment Sheet'!#REF!</f>
        <v>#REF!</v>
      </c>
      <c r="O118" s="51" t="e">
        <f>'Repair Assessment Sheet'!#REF!</f>
        <v>#REF!</v>
      </c>
      <c r="P118" s="51"/>
      <c r="Q118" s="31"/>
      <c r="R118" s="31" t="e">
        <f>'Repair Assessment Sheet'!#REF!</f>
        <v>#REF!</v>
      </c>
      <c r="S118" s="31"/>
      <c r="T118" s="31"/>
    </row>
    <row r="119" spans="1:20" ht="15" thickBot="1" x14ac:dyDescent="0.4">
      <c r="A119" s="4">
        <v>106</v>
      </c>
      <c r="B119" s="16"/>
      <c r="C119" s="16"/>
      <c r="D119" s="16"/>
      <c r="E119" s="16"/>
      <c r="F119" s="16"/>
      <c r="G119" s="632" t="e">
        <f>'Repair Assessment Sheet'!#REF!</f>
        <v>#REF!</v>
      </c>
      <c r="H119" s="633"/>
      <c r="I119" s="634"/>
      <c r="J119" s="374"/>
      <c r="K119" s="16" t="e">
        <f>'Repair Assessment Sheet'!#REF!</f>
        <v>#REF!</v>
      </c>
      <c r="L119" s="16"/>
      <c r="M119" s="16" t="e">
        <f>'Repair Assessment Sheet'!#REF!</f>
        <v>#REF!</v>
      </c>
      <c r="N119" s="16" t="e">
        <f>'Repair Assessment Sheet'!#REF!</f>
        <v>#REF!</v>
      </c>
      <c r="O119" s="51" t="e">
        <f>'Repair Assessment Sheet'!#REF!</f>
        <v>#REF!</v>
      </c>
      <c r="P119" s="51"/>
      <c r="Q119" s="31"/>
      <c r="R119" s="31" t="e">
        <f>'Repair Assessment Sheet'!#REF!</f>
        <v>#REF!</v>
      </c>
      <c r="S119" s="31"/>
      <c r="T119" s="31"/>
    </row>
    <row r="120" spans="1:20" ht="15" thickBot="1" x14ac:dyDescent="0.4">
      <c r="A120" s="4">
        <v>107</v>
      </c>
      <c r="B120" s="16"/>
      <c r="C120" s="16"/>
      <c r="D120" s="16"/>
      <c r="E120" s="16"/>
      <c r="F120" s="16"/>
      <c r="G120" s="632" t="e">
        <f>'Repair Assessment Sheet'!#REF!</f>
        <v>#REF!</v>
      </c>
      <c r="H120" s="633"/>
      <c r="I120" s="634"/>
      <c r="J120" s="374"/>
      <c r="K120" s="16" t="e">
        <f>'Repair Assessment Sheet'!#REF!</f>
        <v>#REF!</v>
      </c>
      <c r="L120" s="5"/>
      <c r="M120" s="16" t="e">
        <f>'Repair Assessment Sheet'!#REF!</f>
        <v>#REF!</v>
      </c>
      <c r="N120" s="16" t="e">
        <f>'Repair Assessment Sheet'!#REF!</f>
        <v>#REF!</v>
      </c>
      <c r="O120" s="51" t="e">
        <f>'Repair Assessment Sheet'!#REF!</f>
        <v>#REF!</v>
      </c>
      <c r="P120" s="51"/>
      <c r="Q120" s="31"/>
      <c r="R120" s="31" t="e">
        <f>'Repair Assessment Sheet'!#REF!</f>
        <v>#REF!</v>
      </c>
      <c r="S120" s="31"/>
      <c r="T120" s="31"/>
    </row>
    <row r="121" spans="1:20" ht="15" thickBot="1" x14ac:dyDescent="0.4">
      <c r="A121" s="4">
        <v>108</v>
      </c>
      <c r="B121" s="16"/>
      <c r="C121" s="16"/>
      <c r="D121" s="16"/>
      <c r="E121" s="16"/>
      <c r="F121" s="16"/>
      <c r="G121" s="632" t="e">
        <f>'Repair Assessment Sheet'!#REF!</f>
        <v>#REF!</v>
      </c>
      <c r="H121" s="633"/>
      <c r="I121" s="634"/>
      <c r="J121" s="374"/>
      <c r="K121" s="16" t="e">
        <f>'Repair Assessment Sheet'!#REF!</f>
        <v>#REF!</v>
      </c>
      <c r="L121" s="5"/>
      <c r="M121" s="16" t="e">
        <f>'Repair Assessment Sheet'!#REF!</f>
        <v>#REF!</v>
      </c>
      <c r="N121" s="16" t="e">
        <f>'Repair Assessment Sheet'!#REF!</f>
        <v>#REF!</v>
      </c>
      <c r="O121" s="51" t="e">
        <f>'Repair Assessment Sheet'!#REF!</f>
        <v>#REF!</v>
      </c>
      <c r="P121" s="51"/>
      <c r="Q121" s="31"/>
      <c r="R121" s="31" t="e">
        <f>'Repair Assessment Sheet'!#REF!</f>
        <v>#REF!</v>
      </c>
      <c r="S121" s="31"/>
      <c r="T121" s="31"/>
    </row>
    <row r="122" spans="1:20" ht="15" thickBot="1" x14ac:dyDescent="0.4">
      <c r="A122" s="4">
        <v>109</v>
      </c>
      <c r="B122" s="16"/>
      <c r="C122" s="16"/>
      <c r="D122" s="16"/>
      <c r="E122" s="16"/>
      <c r="F122" s="16"/>
      <c r="G122" s="632" t="e">
        <f>'Repair Assessment Sheet'!#REF!</f>
        <v>#REF!</v>
      </c>
      <c r="H122" s="633"/>
      <c r="I122" s="634"/>
      <c r="J122" s="374"/>
      <c r="K122" s="16" t="e">
        <f>'Repair Assessment Sheet'!#REF!</f>
        <v>#REF!</v>
      </c>
      <c r="L122" s="16"/>
      <c r="M122" s="16" t="e">
        <f>'Repair Assessment Sheet'!#REF!</f>
        <v>#REF!</v>
      </c>
      <c r="N122" s="16" t="e">
        <f>'Repair Assessment Sheet'!#REF!</f>
        <v>#REF!</v>
      </c>
      <c r="O122" s="51" t="e">
        <f>'Repair Assessment Sheet'!#REF!</f>
        <v>#REF!</v>
      </c>
      <c r="P122" s="51"/>
      <c r="Q122" s="31"/>
      <c r="R122" s="31" t="e">
        <f>'Repair Assessment Sheet'!#REF!</f>
        <v>#REF!</v>
      </c>
      <c r="S122" s="31"/>
      <c r="T122" s="31"/>
    </row>
    <row r="123" spans="1:20" ht="15" thickBot="1" x14ac:dyDescent="0.4">
      <c r="A123" s="4">
        <v>110</v>
      </c>
      <c r="B123" s="16"/>
      <c r="C123" s="16"/>
      <c r="D123" s="16"/>
      <c r="E123" s="16"/>
      <c r="F123" s="16"/>
      <c r="G123" s="632" t="e">
        <f>'Repair Assessment Sheet'!#REF!</f>
        <v>#REF!</v>
      </c>
      <c r="H123" s="633"/>
      <c r="I123" s="634"/>
      <c r="J123" s="374"/>
      <c r="K123" s="16" t="e">
        <f>'Repair Assessment Sheet'!#REF!</f>
        <v>#REF!</v>
      </c>
      <c r="L123" s="16"/>
      <c r="M123" s="16" t="e">
        <f>'Repair Assessment Sheet'!#REF!</f>
        <v>#REF!</v>
      </c>
      <c r="N123" s="16" t="e">
        <f>'Repair Assessment Sheet'!#REF!</f>
        <v>#REF!</v>
      </c>
      <c r="O123" s="51" t="e">
        <f>'Repair Assessment Sheet'!#REF!</f>
        <v>#REF!</v>
      </c>
      <c r="P123" s="51"/>
      <c r="Q123" s="31"/>
      <c r="R123" s="31" t="e">
        <f>'Repair Assessment Sheet'!#REF!</f>
        <v>#REF!</v>
      </c>
      <c r="S123" s="31"/>
      <c r="T123" s="31"/>
    </row>
    <row r="124" spans="1:20" ht="15" thickBot="1" x14ac:dyDescent="0.4">
      <c r="A124" s="4">
        <v>111</v>
      </c>
      <c r="B124" s="16"/>
      <c r="C124" s="16"/>
      <c r="D124" s="16"/>
      <c r="E124" s="16"/>
      <c r="F124" s="16"/>
      <c r="G124" s="632" t="e">
        <f>'Repair Assessment Sheet'!#REF!</f>
        <v>#REF!</v>
      </c>
      <c r="H124" s="633"/>
      <c r="I124" s="634"/>
      <c r="J124" s="374"/>
      <c r="K124" s="16" t="e">
        <f>'Repair Assessment Sheet'!#REF!</f>
        <v>#REF!</v>
      </c>
      <c r="L124" s="16"/>
      <c r="M124" s="16" t="e">
        <f>'Repair Assessment Sheet'!#REF!</f>
        <v>#REF!</v>
      </c>
      <c r="N124" s="16" t="e">
        <f>'Repair Assessment Sheet'!#REF!</f>
        <v>#REF!</v>
      </c>
      <c r="O124" s="51" t="e">
        <f>'Repair Assessment Sheet'!#REF!</f>
        <v>#REF!</v>
      </c>
      <c r="P124" s="51"/>
      <c r="Q124" s="31"/>
      <c r="R124" s="31" t="e">
        <f>'Repair Assessment Sheet'!#REF!</f>
        <v>#REF!</v>
      </c>
      <c r="S124" s="31"/>
      <c r="T124" s="31"/>
    </row>
    <row r="125" spans="1:20" ht="15" thickBot="1" x14ac:dyDescent="0.4">
      <c r="A125" s="4">
        <v>112</v>
      </c>
      <c r="B125" s="16"/>
      <c r="C125" s="16"/>
      <c r="D125" s="16"/>
      <c r="E125" s="16"/>
      <c r="F125" s="16"/>
      <c r="G125" s="632" t="e">
        <f>'Repair Assessment Sheet'!#REF!</f>
        <v>#REF!</v>
      </c>
      <c r="H125" s="633"/>
      <c r="I125" s="634"/>
      <c r="J125" s="374"/>
      <c r="K125" s="16" t="e">
        <f>'Repair Assessment Sheet'!#REF!</f>
        <v>#REF!</v>
      </c>
      <c r="L125" s="16"/>
      <c r="M125" s="16" t="e">
        <f>'Repair Assessment Sheet'!#REF!</f>
        <v>#REF!</v>
      </c>
      <c r="N125" s="16" t="e">
        <f>'Repair Assessment Sheet'!#REF!</f>
        <v>#REF!</v>
      </c>
      <c r="O125" s="51" t="e">
        <f>'Repair Assessment Sheet'!#REF!</f>
        <v>#REF!</v>
      </c>
      <c r="P125" s="51"/>
      <c r="Q125" s="31"/>
      <c r="R125" s="31" t="e">
        <f>'Repair Assessment Sheet'!#REF!</f>
        <v>#REF!</v>
      </c>
      <c r="S125" s="31"/>
      <c r="T125" s="31"/>
    </row>
    <row r="126" spans="1:20" ht="15" thickBot="1" x14ac:dyDescent="0.4">
      <c r="A126" s="4">
        <v>113</v>
      </c>
      <c r="B126" s="16"/>
      <c r="C126" s="16"/>
      <c r="D126" s="16"/>
      <c r="E126" s="16"/>
      <c r="F126" s="16"/>
      <c r="G126" s="632" t="e">
        <f>'Repair Assessment Sheet'!#REF!</f>
        <v>#REF!</v>
      </c>
      <c r="H126" s="633"/>
      <c r="I126" s="634"/>
      <c r="J126" s="374"/>
      <c r="K126" s="16" t="e">
        <f>'Repair Assessment Sheet'!#REF!</f>
        <v>#REF!</v>
      </c>
      <c r="L126" s="5"/>
      <c r="M126" s="16" t="e">
        <f>'Repair Assessment Sheet'!#REF!</f>
        <v>#REF!</v>
      </c>
      <c r="N126" s="16" t="e">
        <f>'Repair Assessment Sheet'!#REF!</f>
        <v>#REF!</v>
      </c>
      <c r="O126" s="51" t="e">
        <f>'Repair Assessment Sheet'!#REF!</f>
        <v>#REF!</v>
      </c>
      <c r="P126" s="51"/>
      <c r="Q126" s="31"/>
      <c r="R126" s="31" t="e">
        <f>'Repair Assessment Sheet'!#REF!</f>
        <v>#REF!</v>
      </c>
      <c r="S126" s="31"/>
      <c r="T126" s="31"/>
    </row>
    <row r="127" spans="1:20" ht="15" thickBot="1" x14ac:dyDescent="0.4">
      <c r="A127" s="4">
        <v>114</v>
      </c>
      <c r="B127" s="16"/>
      <c r="C127" s="16"/>
      <c r="D127" s="16"/>
      <c r="E127" s="16"/>
      <c r="F127" s="16"/>
      <c r="G127" s="632" t="e">
        <f>'Repair Assessment Sheet'!#REF!</f>
        <v>#REF!</v>
      </c>
      <c r="H127" s="633"/>
      <c r="I127" s="634"/>
      <c r="J127" s="374"/>
      <c r="K127" s="16" t="e">
        <f>'Repair Assessment Sheet'!#REF!</f>
        <v>#REF!</v>
      </c>
      <c r="L127" s="5"/>
      <c r="M127" s="16" t="e">
        <f>'Repair Assessment Sheet'!#REF!</f>
        <v>#REF!</v>
      </c>
      <c r="N127" s="16" t="e">
        <f>'Repair Assessment Sheet'!#REF!</f>
        <v>#REF!</v>
      </c>
      <c r="O127" s="51" t="e">
        <f>'Repair Assessment Sheet'!#REF!</f>
        <v>#REF!</v>
      </c>
      <c r="P127" s="51"/>
      <c r="Q127" s="31"/>
      <c r="R127" s="31" t="e">
        <f>'Repair Assessment Sheet'!#REF!</f>
        <v>#REF!</v>
      </c>
      <c r="S127" s="31"/>
      <c r="T127" s="31"/>
    </row>
    <row r="128" spans="1:20" ht="15" thickBot="1" x14ac:dyDescent="0.4">
      <c r="A128" s="4">
        <v>115</v>
      </c>
      <c r="B128" s="16"/>
      <c r="C128" s="16"/>
      <c r="D128" s="16"/>
      <c r="E128" s="16"/>
      <c r="F128" s="16"/>
      <c r="G128" s="632" t="e">
        <f>'Repair Assessment Sheet'!#REF!</f>
        <v>#REF!</v>
      </c>
      <c r="H128" s="633"/>
      <c r="I128" s="634"/>
      <c r="J128" s="374"/>
      <c r="K128" s="16" t="e">
        <f>'Repair Assessment Sheet'!#REF!</f>
        <v>#REF!</v>
      </c>
      <c r="L128" s="16"/>
      <c r="M128" s="16" t="e">
        <f>'Repair Assessment Sheet'!#REF!</f>
        <v>#REF!</v>
      </c>
      <c r="N128" s="16" t="e">
        <f>'Repair Assessment Sheet'!#REF!</f>
        <v>#REF!</v>
      </c>
      <c r="O128" s="51" t="e">
        <f>'Repair Assessment Sheet'!#REF!</f>
        <v>#REF!</v>
      </c>
      <c r="P128" s="51"/>
      <c r="Q128" s="31"/>
      <c r="R128" s="31" t="e">
        <f>'Repair Assessment Sheet'!#REF!</f>
        <v>#REF!</v>
      </c>
      <c r="S128" s="31"/>
      <c r="T128" s="31"/>
    </row>
    <row r="129" spans="1:20" ht="15" thickBot="1" x14ac:dyDescent="0.4">
      <c r="A129" s="4">
        <v>116</v>
      </c>
      <c r="B129" s="16"/>
      <c r="C129" s="16"/>
      <c r="D129" s="16"/>
      <c r="E129" s="16"/>
      <c r="F129" s="16"/>
      <c r="G129" s="632" t="e">
        <f>'Repair Assessment Sheet'!#REF!</f>
        <v>#REF!</v>
      </c>
      <c r="H129" s="633"/>
      <c r="I129" s="634"/>
      <c r="J129" s="374"/>
      <c r="K129" s="16" t="e">
        <f>'Repair Assessment Sheet'!#REF!</f>
        <v>#REF!</v>
      </c>
      <c r="L129" s="16"/>
      <c r="M129" s="16" t="e">
        <f>'Repair Assessment Sheet'!#REF!</f>
        <v>#REF!</v>
      </c>
      <c r="N129" s="16" t="e">
        <f>'Repair Assessment Sheet'!#REF!</f>
        <v>#REF!</v>
      </c>
      <c r="O129" s="51" t="e">
        <f>'Repair Assessment Sheet'!#REF!</f>
        <v>#REF!</v>
      </c>
      <c r="P129" s="51"/>
      <c r="Q129" s="31"/>
      <c r="R129" s="31" t="e">
        <f>'Repair Assessment Sheet'!#REF!</f>
        <v>#REF!</v>
      </c>
      <c r="S129" s="31"/>
      <c r="T129" s="31"/>
    </row>
    <row r="130" spans="1:20" ht="15" thickBot="1" x14ac:dyDescent="0.4">
      <c r="A130" s="4">
        <v>117</v>
      </c>
      <c r="B130" s="16"/>
      <c r="C130" s="16"/>
      <c r="D130" s="16"/>
      <c r="E130" s="16"/>
      <c r="F130" s="16"/>
      <c r="G130" s="632" t="e">
        <f>'Repair Assessment Sheet'!#REF!</f>
        <v>#REF!</v>
      </c>
      <c r="H130" s="633"/>
      <c r="I130" s="634"/>
      <c r="J130" s="374"/>
      <c r="K130" s="16" t="e">
        <f>'Repair Assessment Sheet'!#REF!</f>
        <v>#REF!</v>
      </c>
      <c r="L130" s="16"/>
      <c r="M130" s="16" t="e">
        <f>'Repair Assessment Sheet'!#REF!</f>
        <v>#REF!</v>
      </c>
      <c r="N130" s="16" t="e">
        <f>'Repair Assessment Sheet'!#REF!</f>
        <v>#REF!</v>
      </c>
      <c r="O130" s="51" t="e">
        <f>'Repair Assessment Sheet'!#REF!</f>
        <v>#REF!</v>
      </c>
      <c r="P130" s="51"/>
      <c r="Q130" s="31"/>
      <c r="R130" s="31" t="e">
        <f>'Repair Assessment Sheet'!#REF!</f>
        <v>#REF!</v>
      </c>
      <c r="S130" s="31"/>
      <c r="T130" s="31"/>
    </row>
    <row r="131" spans="1:20" ht="15" thickBot="1" x14ac:dyDescent="0.4">
      <c r="A131" s="4">
        <v>118</v>
      </c>
      <c r="B131" s="16"/>
      <c r="C131" s="16"/>
      <c r="D131" s="16"/>
      <c r="E131" s="16"/>
      <c r="F131" s="16"/>
      <c r="G131" s="632" t="e">
        <f>'Repair Assessment Sheet'!#REF!</f>
        <v>#REF!</v>
      </c>
      <c r="H131" s="633"/>
      <c r="I131" s="634"/>
      <c r="J131" s="374"/>
      <c r="K131" s="16" t="e">
        <f>'Repair Assessment Sheet'!#REF!</f>
        <v>#REF!</v>
      </c>
      <c r="L131" s="16"/>
      <c r="M131" s="16" t="e">
        <f>'Repair Assessment Sheet'!#REF!</f>
        <v>#REF!</v>
      </c>
      <c r="N131" s="16" t="e">
        <f>'Repair Assessment Sheet'!#REF!</f>
        <v>#REF!</v>
      </c>
      <c r="O131" s="51" t="e">
        <f>'Repair Assessment Sheet'!#REF!</f>
        <v>#REF!</v>
      </c>
      <c r="P131" s="51"/>
      <c r="Q131" s="31"/>
      <c r="R131" s="31" t="e">
        <f>'Repair Assessment Sheet'!#REF!</f>
        <v>#REF!</v>
      </c>
      <c r="S131" s="31"/>
      <c r="T131" s="31"/>
    </row>
    <row r="132" spans="1:20" ht="15" thickBot="1" x14ac:dyDescent="0.4">
      <c r="A132" s="4">
        <v>119</v>
      </c>
      <c r="B132" s="16"/>
      <c r="C132" s="16"/>
      <c r="D132" s="16"/>
      <c r="E132" s="16"/>
      <c r="F132" s="16"/>
      <c r="G132" s="632" t="e">
        <f>'Repair Assessment Sheet'!#REF!</f>
        <v>#REF!</v>
      </c>
      <c r="H132" s="633"/>
      <c r="I132" s="634"/>
      <c r="J132" s="374"/>
      <c r="K132" s="16" t="e">
        <f>'Repair Assessment Sheet'!#REF!</f>
        <v>#REF!</v>
      </c>
      <c r="L132" s="16"/>
      <c r="M132" s="16" t="e">
        <f>'Repair Assessment Sheet'!#REF!</f>
        <v>#REF!</v>
      </c>
      <c r="N132" s="16" t="e">
        <f>'Repair Assessment Sheet'!#REF!</f>
        <v>#REF!</v>
      </c>
      <c r="O132" s="51" t="e">
        <f>'Repair Assessment Sheet'!#REF!</f>
        <v>#REF!</v>
      </c>
      <c r="P132" s="51"/>
      <c r="Q132" s="31"/>
      <c r="R132" s="31" t="e">
        <f>'Repair Assessment Sheet'!#REF!</f>
        <v>#REF!</v>
      </c>
      <c r="S132" s="31"/>
      <c r="T132" s="31"/>
    </row>
    <row r="133" spans="1:20" ht="15" thickBot="1" x14ac:dyDescent="0.4">
      <c r="A133" s="4">
        <v>120</v>
      </c>
      <c r="B133" s="16"/>
      <c r="C133" s="16"/>
      <c r="D133" s="16"/>
      <c r="E133" s="16"/>
      <c r="F133" s="16"/>
      <c r="G133" s="632" t="e">
        <f>'Repair Assessment Sheet'!#REF!</f>
        <v>#REF!</v>
      </c>
      <c r="H133" s="633"/>
      <c r="I133" s="634"/>
      <c r="J133" s="374"/>
      <c r="K133" s="16" t="e">
        <f>'Repair Assessment Sheet'!#REF!</f>
        <v>#REF!</v>
      </c>
      <c r="L133" s="16"/>
      <c r="M133" s="16" t="e">
        <f>'Repair Assessment Sheet'!#REF!</f>
        <v>#REF!</v>
      </c>
      <c r="N133" s="16" t="e">
        <f>'Repair Assessment Sheet'!#REF!</f>
        <v>#REF!</v>
      </c>
      <c r="O133" s="51" t="e">
        <f>'Repair Assessment Sheet'!#REF!</f>
        <v>#REF!</v>
      </c>
      <c r="P133" s="51"/>
      <c r="Q133" s="31"/>
      <c r="R133" s="31" t="e">
        <f>'Repair Assessment Sheet'!#REF!</f>
        <v>#REF!</v>
      </c>
      <c r="S133" s="31"/>
      <c r="T133" s="31"/>
    </row>
    <row r="134" spans="1:20" ht="15" thickBot="1" x14ac:dyDescent="0.4">
      <c r="A134" s="4">
        <v>121</v>
      </c>
      <c r="B134" s="16"/>
      <c r="C134" s="16"/>
      <c r="D134" s="16"/>
      <c r="E134" s="16"/>
      <c r="F134" s="16"/>
      <c r="G134" s="632" t="e">
        <f>'Repair Assessment Sheet'!#REF!</f>
        <v>#REF!</v>
      </c>
      <c r="H134" s="633"/>
      <c r="I134" s="634"/>
      <c r="J134" s="374"/>
      <c r="K134" s="16" t="e">
        <f>'Repair Assessment Sheet'!#REF!</f>
        <v>#REF!</v>
      </c>
      <c r="L134" s="16"/>
      <c r="M134" s="16" t="e">
        <f>'Repair Assessment Sheet'!#REF!</f>
        <v>#REF!</v>
      </c>
      <c r="N134" s="16" t="e">
        <f>'Repair Assessment Sheet'!#REF!</f>
        <v>#REF!</v>
      </c>
      <c r="O134" s="51" t="e">
        <f>'Repair Assessment Sheet'!#REF!</f>
        <v>#REF!</v>
      </c>
      <c r="P134" s="51"/>
      <c r="Q134" s="31"/>
      <c r="R134" s="31" t="e">
        <f>'Repair Assessment Sheet'!#REF!</f>
        <v>#REF!</v>
      </c>
      <c r="S134" s="31"/>
      <c r="T134" s="31"/>
    </row>
    <row r="135" spans="1:20" ht="15" thickBot="1" x14ac:dyDescent="0.4">
      <c r="A135" s="4">
        <v>122</v>
      </c>
      <c r="B135" s="16"/>
      <c r="C135" s="16"/>
      <c r="D135" s="16"/>
      <c r="E135" s="16"/>
      <c r="F135" s="16"/>
      <c r="G135" s="632" t="e">
        <f>'Repair Assessment Sheet'!#REF!</f>
        <v>#REF!</v>
      </c>
      <c r="H135" s="633"/>
      <c r="I135" s="634"/>
      <c r="J135" s="374"/>
      <c r="K135" s="16" t="e">
        <f>'Repair Assessment Sheet'!#REF!</f>
        <v>#REF!</v>
      </c>
      <c r="L135" s="16"/>
      <c r="M135" s="16" t="e">
        <f>'Repair Assessment Sheet'!#REF!</f>
        <v>#REF!</v>
      </c>
      <c r="N135" s="16" t="e">
        <f>'Repair Assessment Sheet'!#REF!</f>
        <v>#REF!</v>
      </c>
      <c r="O135" s="51" t="e">
        <f>'Repair Assessment Sheet'!#REF!</f>
        <v>#REF!</v>
      </c>
      <c r="P135" s="51"/>
      <c r="Q135" s="31"/>
      <c r="R135" s="31" t="e">
        <f>'Repair Assessment Sheet'!#REF!</f>
        <v>#REF!</v>
      </c>
      <c r="S135" s="31"/>
      <c r="T135" s="31"/>
    </row>
    <row r="136" spans="1:20" ht="15" thickBot="1" x14ac:dyDescent="0.4">
      <c r="A136" s="4">
        <v>123</v>
      </c>
      <c r="B136" s="16"/>
      <c r="C136" s="16"/>
      <c r="D136" s="16"/>
      <c r="E136" s="16"/>
      <c r="F136" s="16"/>
      <c r="G136" s="632" t="e">
        <f>'Repair Assessment Sheet'!#REF!</f>
        <v>#REF!</v>
      </c>
      <c r="H136" s="633"/>
      <c r="I136" s="634"/>
      <c r="J136" s="374"/>
      <c r="K136" s="16" t="e">
        <f>'Repair Assessment Sheet'!#REF!</f>
        <v>#REF!</v>
      </c>
      <c r="L136" s="16"/>
      <c r="M136" s="16" t="e">
        <f>'Repair Assessment Sheet'!#REF!</f>
        <v>#REF!</v>
      </c>
      <c r="N136" s="16" t="e">
        <f>'Repair Assessment Sheet'!#REF!</f>
        <v>#REF!</v>
      </c>
      <c r="O136" s="51" t="e">
        <f>'Repair Assessment Sheet'!#REF!</f>
        <v>#REF!</v>
      </c>
      <c r="P136" s="51"/>
      <c r="Q136" s="31"/>
      <c r="R136" s="31" t="e">
        <f>'Repair Assessment Sheet'!#REF!</f>
        <v>#REF!</v>
      </c>
      <c r="S136" s="31"/>
      <c r="T136" s="31"/>
    </row>
    <row r="137" spans="1:20" ht="15" thickBot="1" x14ac:dyDescent="0.4">
      <c r="A137" s="4">
        <v>124</v>
      </c>
      <c r="B137" s="16"/>
      <c r="C137" s="16"/>
      <c r="D137" s="16"/>
      <c r="E137" s="16"/>
      <c r="F137" s="16"/>
      <c r="G137" s="632" t="e">
        <f>'Repair Assessment Sheet'!#REF!</f>
        <v>#REF!</v>
      </c>
      <c r="H137" s="633"/>
      <c r="I137" s="634"/>
      <c r="J137" s="374"/>
      <c r="K137" s="16" t="e">
        <f>'Repair Assessment Sheet'!#REF!</f>
        <v>#REF!</v>
      </c>
      <c r="L137" s="16"/>
      <c r="M137" s="16" t="e">
        <f>'Repair Assessment Sheet'!#REF!</f>
        <v>#REF!</v>
      </c>
      <c r="N137" s="16" t="e">
        <f>'Repair Assessment Sheet'!#REF!</f>
        <v>#REF!</v>
      </c>
      <c r="O137" s="51" t="e">
        <f>'Repair Assessment Sheet'!#REF!</f>
        <v>#REF!</v>
      </c>
      <c r="P137" s="51"/>
      <c r="Q137" s="31"/>
      <c r="R137" s="31" t="e">
        <f>'Repair Assessment Sheet'!#REF!</f>
        <v>#REF!</v>
      </c>
      <c r="S137" s="31"/>
      <c r="T137" s="31"/>
    </row>
    <row r="138" spans="1:20" ht="15" thickBot="1" x14ac:dyDescent="0.4">
      <c r="A138" s="4">
        <v>125</v>
      </c>
      <c r="B138" s="16"/>
      <c r="C138" s="16"/>
      <c r="D138" s="16"/>
      <c r="E138" s="16"/>
      <c r="F138" s="16"/>
      <c r="G138" s="632" t="e">
        <f>'Repair Assessment Sheet'!#REF!</f>
        <v>#REF!</v>
      </c>
      <c r="H138" s="633"/>
      <c r="I138" s="634"/>
      <c r="J138" s="374"/>
      <c r="K138" s="16" t="e">
        <f>'Repair Assessment Sheet'!#REF!</f>
        <v>#REF!</v>
      </c>
      <c r="L138" s="16"/>
      <c r="M138" s="16" t="e">
        <f>'Repair Assessment Sheet'!#REF!</f>
        <v>#REF!</v>
      </c>
      <c r="N138" s="16" t="e">
        <f>'Repair Assessment Sheet'!#REF!</f>
        <v>#REF!</v>
      </c>
      <c r="O138" s="51" t="e">
        <f>'Repair Assessment Sheet'!#REF!</f>
        <v>#REF!</v>
      </c>
      <c r="P138" s="51"/>
      <c r="Q138" s="31"/>
      <c r="R138" s="31" t="e">
        <f>'Repair Assessment Sheet'!#REF!</f>
        <v>#REF!</v>
      </c>
      <c r="S138" s="31"/>
      <c r="T138" s="31"/>
    </row>
    <row r="139" spans="1:20" ht="15" thickBot="1" x14ac:dyDescent="0.4">
      <c r="A139" s="4">
        <v>126</v>
      </c>
      <c r="B139" s="16"/>
      <c r="C139" s="16"/>
      <c r="D139" s="16"/>
      <c r="E139" s="16"/>
      <c r="F139" s="16"/>
      <c r="G139" s="632" t="e">
        <f>'Repair Assessment Sheet'!#REF!</f>
        <v>#REF!</v>
      </c>
      <c r="H139" s="633"/>
      <c r="I139" s="634"/>
      <c r="J139" s="374"/>
      <c r="K139" s="16" t="e">
        <f>'Repair Assessment Sheet'!#REF!</f>
        <v>#REF!</v>
      </c>
      <c r="L139" s="16"/>
      <c r="M139" s="16" t="e">
        <f>'Repair Assessment Sheet'!#REF!</f>
        <v>#REF!</v>
      </c>
      <c r="N139" s="16" t="e">
        <f>'Repair Assessment Sheet'!#REF!</f>
        <v>#REF!</v>
      </c>
      <c r="O139" s="51" t="e">
        <f>'Repair Assessment Sheet'!#REF!</f>
        <v>#REF!</v>
      </c>
      <c r="P139" s="51"/>
      <c r="Q139" s="31"/>
      <c r="R139" s="31" t="e">
        <f>'Repair Assessment Sheet'!#REF!</f>
        <v>#REF!</v>
      </c>
      <c r="S139" s="31"/>
      <c r="T139" s="31"/>
    </row>
    <row r="140" spans="1:20" ht="15" thickBot="1" x14ac:dyDescent="0.4">
      <c r="A140" s="4">
        <v>127</v>
      </c>
      <c r="B140" s="16"/>
      <c r="C140" s="16"/>
      <c r="D140" s="16"/>
      <c r="E140" s="16"/>
      <c r="F140" s="16"/>
      <c r="G140" s="632" t="e">
        <f>'Repair Assessment Sheet'!#REF!</f>
        <v>#REF!</v>
      </c>
      <c r="H140" s="633"/>
      <c r="I140" s="634"/>
      <c r="J140" s="374"/>
      <c r="K140" s="16" t="e">
        <f>'Repair Assessment Sheet'!#REF!</f>
        <v>#REF!</v>
      </c>
      <c r="L140" s="16"/>
      <c r="M140" s="16" t="e">
        <f>'Repair Assessment Sheet'!#REF!</f>
        <v>#REF!</v>
      </c>
      <c r="N140" s="16" t="e">
        <f>'Repair Assessment Sheet'!#REF!</f>
        <v>#REF!</v>
      </c>
      <c r="O140" s="51" t="e">
        <f>'Repair Assessment Sheet'!#REF!</f>
        <v>#REF!</v>
      </c>
      <c r="P140" s="51"/>
      <c r="Q140" s="31"/>
      <c r="R140" s="31" t="e">
        <f>'Repair Assessment Sheet'!#REF!</f>
        <v>#REF!</v>
      </c>
      <c r="S140" s="31"/>
      <c r="T140" s="31"/>
    </row>
    <row r="141" spans="1:20" ht="15" thickBot="1" x14ac:dyDescent="0.4">
      <c r="A141" s="4">
        <v>128</v>
      </c>
      <c r="B141" s="16"/>
      <c r="C141" s="16"/>
      <c r="D141" s="16"/>
      <c r="E141" s="16"/>
      <c r="F141" s="16"/>
      <c r="G141" s="632" t="e">
        <f>'Repair Assessment Sheet'!#REF!</f>
        <v>#REF!</v>
      </c>
      <c r="H141" s="633"/>
      <c r="I141" s="634"/>
      <c r="J141" s="374"/>
      <c r="K141" s="16" t="e">
        <f>'Repair Assessment Sheet'!#REF!</f>
        <v>#REF!</v>
      </c>
      <c r="L141" s="16"/>
      <c r="M141" s="16" t="e">
        <f>'Repair Assessment Sheet'!#REF!</f>
        <v>#REF!</v>
      </c>
      <c r="N141" s="16" t="e">
        <f>'Repair Assessment Sheet'!#REF!</f>
        <v>#REF!</v>
      </c>
      <c r="O141" s="51" t="e">
        <f>'Repair Assessment Sheet'!#REF!</f>
        <v>#REF!</v>
      </c>
      <c r="P141" s="51"/>
      <c r="Q141" s="31"/>
      <c r="R141" s="31" t="e">
        <f>'Repair Assessment Sheet'!#REF!</f>
        <v>#REF!</v>
      </c>
      <c r="S141" s="31"/>
      <c r="T141" s="31"/>
    </row>
    <row r="142" spans="1:20" ht="15" thickBot="1" x14ac:dyDescent="0.4">
      <c r="A142" s="4">
        <v>129</v>
      </c>
      <c r="B142" s="16"/>
      <c r="C142" s="16"/>
      <c r="D142" s="16"/>
      <c r="E142" s="16"/>
      <c r="F142" s="16"/>
      <c r="G142" s="632" t="e">
        <f>'Repair Assessment Sheet'!#REF!</f>
        <v>#REF!</v>
      </c>
      <c r="H142" s="633"/>
      <c r="I142" s="634"/>
      <c r="J142" s="374"/>
      <c r="K142" s="16" t="e">
        <f>'Repair Assessment Sheet'!#REF!</f>
        <v>#REF!</v>
      </c>
      <c r="L142" s="16"/>
      <c r="M142" s="16" t="e">
        <f>'Repair Assessment Sheet'!#REF!</f>
        <v>#REF!</v>
      </c>
      <c r="N142" s="16" t="e">
        <f>'Repair Assessment Sheet'!#REF!</f>
        <v>#REF!</v>
      </c>
      <c r="O142" s="51" t="e">
        <f>'Repair Assessment Sheet'!#REF!</f>
        <v>#REF!</v>
      </c>
      <c r="P142" s="51"/>
      <c r="Q142" s="31"/>
      <c r="R142" s="31" t="e">
        <f>'Repair Assessment Sheet'!#REF!</f>
        <v>#REF!</v>
      </c>
      <c r="S142" s="31"/>
      <c r="T142" s="31"/>
    </row>
    <row r="143" spans="1:20" ht="15" thickBot="1" x14ac:dyDescent="0.4">
      <c r="A143" s="4">
        <v>130</v>
      </c>
      <c r="B143" s="16"/>
      <c r="C143" s="16"/>
      <c r="D143" s="16"/>
      <c r="E143" s="16"/>
      <c r="F143" s="16"/>
      <c r="G143" s="632" t="e">
        <f>'Repair Assessment Sheet'!#REF!</f>
        <v>#REF!</v>
      </c>
      <c r="H143" s="633"/>
      <c r="I143" s="634"/>
      <c r="J143" s="374"/>
      <c r="K143" s="16" t="e">
        <f>'Repair Assessment Sheet'!#REF!</f>
        <v>#REF!</v>
      </c>
      <c r="L143" s="16"/>
      <c r="M143" s="16" t="e">
        <f>'Repair Assessment Sheet'!#REF!</f>
        <v>#REF!</v>
      </c>
      <c r="N143" s="16" t="e">
        <f>'Repair Assessment Sheet'!#REF!</f>
        <v>#REF!</v>
      </c>
      <c r="O143" s="51" t="e">
        <f>'Repair Assessment Sheet'!#REF!</f>
        <v>#REF!</v>
      </c>
      <c r="P143" s="51"/>
      <c r="Q143" s="31"/>
      <c r="R143" s="31" t="e">
        <f>'Repair Assessment Sheet'!#REF!</f>
        <v>#REF!</v>
      </c>
      <c r="S143" s="31"/>
      <c r="T143" s="31"/>
    </row>
    <row r="144" spans="1:20" ht="15" thickBot="1" x14ac:dyDescent="0.4">
      <c r="A144" s="4">
        <v>131</v>
      </c>
      <c r="B144" s="16"/>
      <c r="C144" s="16"/>
      <c r="D144" s="16"/>
      <c r="E144" s="16"/>
      <c r="F144" s="16"/>
      <c r="G144" s="632" t="e">
        <f>'Repair Assessment Sheet'!#REF!</f>
        <v>#REF!</v>
      </c>
      <c r="H144" s="633"/>
      <c r="I144" s="634"/>
      <c r="J144" s="374"/>
      <c r="K144" s="16" t="e">
        <f>'Repair Assessment Sheet'!#REF!</f>
        <v>#REF!</v>
      </c>
      <c r="L144" s="16"/>
      <c r="M144" s="16" t="e">
        <f>'Repair Assessment Sheet'!#REF!</f>
        <v>#REF!</v>
      </c>
      <c r="N144" s="16" t="e">
        <f>'Repair Assessment Sheet'!#REF!</f>
        <v>#REF!</v>
      </c>
      <c r="O144" s="51" t="e">
        <f>'Repair Assessment Sheet'!#REF!</f>
        <v>#REF!</v>
      </c>
      <c r="P144" s="51"/>
      <c r="Q144" s="31"/>
      <c r="R144" s="31" t="e">
        <f>'Repair Assessment Sheet'!#REF!</f>
        <v>#REF!</v>
      </c>
      <c r="S144" s="31"/>
      <c r="T144" s="31"/>
    </row>
    <row r="145" spans="1:20" ht="15" thickBot="1" x14ac:dyDescent="0.4">
      <c r="A145" s="4">
        <v>132</v>
      </c>
      <c r="B145" s="16"/>
      <c r="C145" s="16"/>
      <c r="D145" s="16"/>
      <c r="E145" s="16"/>
      <c r="F145" s="16"/>
      <c r="G145" s="632" t="e">
        <f>'Repair Assessment Sheet'!#REF!</f>
        <v>#REF!</v>
      </c>
      <c r="H145" s="633"/>
      <c r="I145" s="634"/>
      <c r="J145" s="374"/>
      <c r="K145" s="16" t="e">
        <f>'Repair Assessment Sheet'!#REF!</f>
        <v>#REF!</v>
      </c>
      <c r="L145" s="16"/>
      <c r="M145" s="16" t="e">
        <f>'Repair Assessment Sheet'!#REF!</f>
        <v>#REF!</v>
      </c>
      <c r="N145" s="16" t="e">
        <f>'Repair Assessment Sheet'!#REF!</f>
        <v>#REF!</v>
      </c>
      <c r="O145" s="51" t="e">
        <f>'Repair Assessment Sheet'!#REF!</f>
        <v>#REF!</v>
      </c>
      <c r="P145" s="51"/>
      <c r="Q145" s="31"/>
      <c r="R145" s="31" t="e">
        <f>'Repair Assessment Sheet'!#REF!</f>
        <v>#REF!</v>
      </c>
      <c r="S145" s="31"/>
      <c r="T145" s="31"/>
    </row>
    <row r="146" spans="1:20" ht="15" thickBot="1" x14ac:dyDescent="0.4">
      <c r="A146" s="4">
        <v>133</v>
      </c>
      <c r="B146" s="16"/>
      <c r="C146" s="16"/>
      <c r="D146" s="16"/>
      <c r="E146" s="16"/>
      <c r="F146" s="16"/>
      <c r="G146" s="632" t="e">
        <f>'Repair Assessment Sheet'!#REF!</f>
        <v>#REF!</v>
      </c>
      <c r="H146" s="633"/>
      <c r="I146" s="634"/>
      <c r="J146" s="374"/>
      <c r="K146" s="16" t="e">
        <f>'Repair Assessment Sheet'!#REF!</f>
        <v>#REF!</v>
      </c>
      <c r="L146" s="16"/>
      <c r="M146" s="16" t="e">
        <f>'Repair Assessment Sheet'!#REF!</f>
        <v>#REF!</v>
      </c>
      <c r="N146" s="16" t="e">
        <f>'Repair Assessment Sheet'!#REF!</f>
        <v>#REF!</v>
      </c>
      <c r="O146" s="51" t="e">
        <f>'Repair Assessment Sheet'!#REF!</f>
        <v>#REF!</v>
      </c>
      <c r="P146" s="51"/>
      <c r="Q146" s="31"/>
      <c r="R146" s="31" t="e">
        <f>'Repair Assessment Sheet'!#REF!</f>
        <v>#REF!</v>
      </c>
      <c r="S146" s="31"/>
      <c r="T146" s="31"/>
    </row>
    <row r="147" spans="1:20" ht="15" thickBot="1" x14ac:dyDescent="0.4">
      <c r="A147" s="4">
        <v>134</v>
      </c>
      <c r="B147" s="16"/>
      <c r="C147" s="16"/>
      <c r="D147" s="16"/>
      <c r="E147" s="16"/>
      <c r="F147" s="16"/>
      <c r="G147" s="632" t="e">
        <f>'Repair Assessment Sheet'!#REF!</f>
        <v>#REF!</v>
      </c>
      <c r="H147" s="633"/>
      <c r="I147" s="634"/>
      <c r="J147" s="374"/>
      <c r="K147" s="16" t="e">
        <f>'Repair Assessment Sheet'!#REF!</f>
        <v>#REF!</v>
      </c>
      <c r="L147" s="5"/>
      <c r="M147" s="16" t="e">
        <f>'Repair Assessment Sheet'!#REF!</f>
        <v>#REF!</v>
      </c>
      <c r="N147" s="16" t="e">
        <f>'Repair Assessment Sheet'!#REF!</f>
        <v>#REF!</v>
      </c>
      <c r="O147" s="51" t="e">
        <f>'Repair Assessment Sheet'!#REF!</f>
        <v>#REF!</v>
      </c>
      <c r="P147" s="51"/>
      <c r="Q147" s="31"/>
      <c r="R147" s="31" t="e">
        <f>'Repair Assessment Sheet'!#REF!</f>
        <v>#REF!</v>
      </c>
      <c r="S147" s="31"/>
      <c r="T147" s="31"/>
    </row>
    <row r="148" spans="1:20" ht="15" thickBot="1" x14ac:dyDescent="0.4">
      <c r="A148" s="4">
        <v>135</v>
      </c>
      <c r="B148" s="16"/>
      <c r="C148" s="16"/>
      <c r="D148" s="16"/>
      <c r="E148" s="16"/>
      <c r="F148" s="16"/>
      <c r="G148" s="632" t="e">
        <f>'Repair Assessment Sheet'!#REF!</f>
        <v>#REF!</v>
      </c>
      <c r="H148" s="633"/>
      <c r="I148" s="634"/>
      <c r="J148" s="374"/>
      <c r="K148" s="16" t="e">
        <f>'Repair Assessment Sheet'!#REF!</f>
        <v>#REF!</v>
      </c>
      <c r="L148" s="5"/>
      <c r="M148" s="16" t="e">
        <f>'Repair Assessment Sheet'!#REF!</f>
        <v>#REF!</v>
      </c>
      <c r="N148" s="16" t="e">
        <f>'Repair Assessment Sheet'!#REF!</f>
        <v>#REF!</v>
      </c>
      <c r="O148" s="51" t="e">
        <f>'Repair Assessment Sheet'!#REF!</f>
        <v>#REF!</v>
      </c>
      <c r="P148" s="51"/>
      <c r="Q148" s="31"/>
      <c r="R148" s="31" t="e">
        <f>'Repair Assessment Sheet'!#REF!</f>
        <v>#REF!</v>
      </c>
      <c r="S148" s="31"/>
      <c r="T148" s="31"/>
    </row>
    <row r="149" spans="1:20" ht="15" thickBot="1" x14ac:dyDescent="0.4">
      <c r="A149" s="4">
        <v>136</v>
      </c>
      <c r="B149" s="16"/>
      <c r="C149" s="16"/>
      <c r="D149" s="16"/>
      <c r="E149" s="16"/>
      <c r="F149" s="16"/>
      <c r="G149" s="632" t="e">
        <f>'Repair Assessment Sheet'!#REF!</f>
        <v>#REF!</v>
      </c>
      <c r="H149" s="633"/>
      <c r="I149" s="634"/>
      <c r="J149" s="374"/>
      <c r="K149" s="16" t="e">
        <f>'Repair Assessment Sheet'!#REF!</f>
        <v>#REF!</v>
      </c>
      <c r="L149" s="5"/>
      <c r="M149" s="16" t="e">
        <f>'Repair Assessment Sheet'!#REF!</f>
        <v>#REF!</v>
      </c>
      <c r="N149" s="16" t="e">
        <f>'Repair Assessment Sheet'!#REF!</f>
        <v>#REF!</v>
      </c>
      <c r="O149" s="51" t="e">
        <f>'Repair Assessment Sheet'!#REF!</f>
        <v>#REF!</v>
      </c>
      <c r="P149" s="51"/>
      <c r="Q149" s="31"/>
      <c r="R149" s="31" t="e">
        <f>'Repair Assessment Sheet'!#REF!</f>
        <v>#REF!</v>
      </c>
      <c r="S149" s="31"/>
      <c r="T149" s="31"/>
    </row>
    <row r="150" spans="1:20" ht="15" thickBot="1" x14ac:dyDescent="0.4">
      <c r="A150" s="4">
        <v>137</v>
      </c>
      <c r="B150" s="16"/>
      <c r="C150" s="16"/>
      <c r="D150" s="16"/>
      <c r="E150" s="16"/>
      <c r="F150" s="16"/>
      <c r="G150" s="632" t="e">
        <f>'Repair Assessment Sheet'!#REF!</f>
        <v>#REF!</v>
      </c>
      <c r="H150" s="633"/>
      <c r="I150" s="634"/>
      <c r="J150" s="374"/>
      <c r="K150" s="16" t="e">
        <f>'Repair Assessment Sheet'!#REF!</f>
        <v>#REF!</v>
      </c>
      <c r="L150" s="16"/>
      <c r="M150" s="16" t="e">
        <f>'Repair Assessment Sheet'!#REF!</f>
        <v>#REF!</v>
      </c>
      <c r="N150" s="16" t="e">
        <f>'Repair Assessment Sheet'!#REF!</f>
        <v>#REF!</v>
      </c>
      <c r="O150" s="51" t="e">
        <f>'Repair Assessment Sheet'!#REF!</f>
        <v>#REF!</v>
      </c>
      <c r="P150" s="51"/>
      <c r="Q150" s="31"/>
      <c r="R150" s="31" t="e">
        <f>'Repair Assessment Sheet'!#REF!</f>
        <v>#REF!</v>
      </c>
      <c r="S150" s="31"/>
      <c r="T150" s="31"/>
    </row>
    <row r="151" spans="1:20" ht="15" thickBot="1" x14ac:dyDescent="0.4">
      <c r="A151" s="4">
        <v>138</v>
      </c>
      <c r="B151" s="16"/>
      <c r="C151" s="16"/>
      <c r="D151" s="16"/>
      <c r="E151" s="16"/>
      <c r="F151" s="16"/>
      <c r="G151" s="632" t="e">
        <f>'Repair Assessment Sheet'!#REF!</f>
        <v>#REF!</v>
      </c>
      <c r="H151" s="633"/>
      <c r="I151" s="634"/>
      <c r="J151" s="374"/>
      <c r="K151" s="16" t="e">
        <f>'Repair Assessment Sheet'!#REF!</f>
        <v>#REF!</v>
      </c>
      <c r="L151" s="16"/>
      <c r="M151" s="16" t="e">
        <f>'Repair Assessment Sheet'!#REF!</f>
        <v>#REF!</v>
      </c>
      <c r="N151" s="16" t="e">
        <f>'Repair Assessment Sheet'!#REF!</f>
        <v>#REF!</v>
      </c>
      <c r="O151" s="51" t="e">
        <f>'Repair Assessment Sheet'!#REF!</f>
        <v>#REF!</v>
      </c>
      <c r="P151" s="51"/>
      <c r="Q151" s="31"/>
      <c r="R151" s="31" t="e">
        <f>'Repair Assessment Sheet'!#REF!</f>
        <v>#REF!</v>
      </c>
      <c r="S151" s="31"/>
      <c r="T151" s="31"/>
    </row>
    <row r="152" spans="1:20" ht="15" thickBot="1" x14ac:dyDescent="0.4">
      <c r="A152" s="4">
        <v>139</v>
      </c>
      <c r="B152" s="16"/>
      <c r="C152" s="16"/>
      <c r="D152" s="16"/>
      <c r="E152" s="16"/>
      <c r="F152" s="16"/>
      <c r="G152" s="632" t="e">
        <f>'Repair Assessment Sheet'!#REF!</f>
        <v>#REF!</v>
      </c>
      <c r="H152" s="633"/>
      <c r="I152" s="634"/>
      <c r="J152" s="374"/>
      <c r="K152" s="16" t="e">
        <f>'Repair Assessment Sheet'!#REF!</f>
        <v>#REF!</v>
      </c>
      <c r="L152" s="16"/>
      <c r="M152" s="16" t="e">
        <f>'Repair Assessment Sheet'!#REF!</f>
        <v>#REF!</v>
      </c>
      <c r="N152" s="16" t="e">
        <f>'Repair Assessment Sheet'!#REF!</f>
        <v>#REF!</v>
      </c>
      <c r="O152" s="51" t="e">
        <f>'Repair Assessment Sheet'!#REF!</f>
        <v>#REF!</v>
      </c>
      <c r="P152" s="51"/>
      <c r="Q152" s="31"/>
      <c r="R152" s="31" t="e">
        <f>'Repair Assessment Sheet'!#REF!</f>
        <v>#REF!</v>
      </c>
      <c r="S152" s="31"/>
      <c r="T152" s="31"/>
    </row>
    <row r="153" spans="1:20" ht="15" thickBot="1" x14ac:dyDescent="0.4">
      <c r="A153" s="4">
        <v>140</v>
      </c>
      <c r="B153" s="16"/>
      <c r="C153" s="16"/>
      <c r="D153" s="16"/>
      <c r="E153" s="16"/>
      <c r="F153" s="16"/>
      <c r="G153" s="632" t="e">
        <f>'Repair Assessment Sheet'!#REF!</f>
        <v>#REF!</v>
      </c>
      <c r="H153" s="633"/>
      <c r="I153" s="634"/>
      <c r="J153" s="374"/>
      <c r="K153" s="16" t="e">
        <f>'Repair Assessment Sheet'!#REF!</f>
        <v>#REF!</v>
      </c>
      <c r="L153" s="16"/>
      <c r="M153" s="16" t="e">
        <f>'Repair Assessment Sheet'!#REF!</f>
        <v>#REF!</v>
      </c>
      <c r="N153" s="16" t="e">
        <f>'Repair Assessment Sheet'!#REF!</f>
        <v>#REF!</v>
      </c>
      <c r="O153" s="51" t="e">
        <f>'Repair Assessment Sheet'!#REF!</f>
        <v>#REF!</v>
      </c>
      <c r="P153" s="51"/>
      <c r="Q153" s="31"/>
      <c r="R153" s="31" t="e">
        <f>'Repair Assessment Sheet'!#REF!</f>
        <v>#REF!</v>
      </c>
      <c r="S153" s="31"/>
      <c r="T153" s="31"/>
    </row>
    <row r="154" spans="1:20" ht="15" thickBot="1" x14ac:dyDescent="0.4">
      <c r="A154" s="4">
        <v>141</v>
      </c>
      <c r="B154" s="16"/>
      <c r="C154" s="16"/>
      <c r="D154" s="16"/>
      <c r="E154" s="16"/>
      <c r="F154" s="16"/>
      <c r="G154" s="632" t="e">
        <f>'Repair Assessment Sheet'!#REF!</f>
        <v>#REF!</v>
      </c>
      <c r="H154" s="633"/>
      <c r="I154" s="634"/>
      <c r="J154" s="374"/>
      <c r="K154" s="16" t="e">
        <f>'Repair Assessment Sheet'!#REF!</f>
        <v>#REF!</v>
      </c>
      <c r="L154" s="16"/>
      <c r="M154" s="16" t="e">
        <f>'Repair Assessment Sheet'!#REF!</f>
        <v>#REF!</v>
      </c>
      <c r="N154" s="16" t="e">
        <f>'Repair Assessment Sheet'!#REF!</f>
        <v>#REF!</v>
      </c>
      <c r="O154" s="51" t="e">
        <f>'Repair Assessment Sheet'!#REF!</f>
        <v>#REF!</v>
      </c>
      <c r="P154" s="51"/>
      <c r="Q154" s="31"/>
      <c r="R154" s="31" t="e">
        <f>'Repair Assessment Sheet'!#REF!</f>
        <v>#REF!</v>
      </c>
      <c r="S154" s="31"/>
      <c r="T154" s="31"/>
    </row>
    <row r="155" spans="1:20" ht="15" thickBot="1" x14ac:dyDescent="0.4">
      <c r="A155" s="4">
        <v>142</v>
      </c>
      <c r="B155" s="16"/>
      <c r="C155" s="16"/>
      <c r="D155" s="16"/>
      <c r="E155" s="16"/>
      <c r="F155" s="16"/>
      <c r="G155" s="632" t="e">
        <f>'Repair Assessment Sheet'!#REF!</f>
        <v>#REF!</v>
      </c>
      <c r="H155" s="633"/>
      <c r="I155" s="634"/>
      <c r="J155" s="374"/>
      <c r="K155" s="16" t="e">
        <f>'Repair Assessment Sheet'!#REF!</f>
        <v>#REF!</v>
      </c>
      <c r="L155" s="16"/>
      <c r="M155" s="16" t="e">
        <f>'Repair Assessment Sheet'!#REF!</f>
        <v>#REF!</v>
      </c>
      <c r="N155" s="16" t="e">
        <f>'Repair Assessment Sheet'!#REF!</f>
        <v>#REF!</v>
      </c>
      <c r="O155" s="51" t="e">
        <f>'Repair Assessment Sheet'!#REF!</f>
        <v>#REF!</v>
      </c>
      <c r="P155" s="51"/>
      <c r="Q155" s="31"/>
      <c r="R155" s="31" t="e">
        <f>'Repair Assessment Sheet'!#REF!</f>
        <v>#REF!</v>
      </c>
      <c r="S155" s="31"/>
      <c r="T155" s="31"/>
    </row>
    <row r="156" spans="1:20" ht="15" thickBot="1" x14ac:dyDescent="0.4">
      <c r="A156" s="4">
        <v>143</v>
      </c>
      <c r="B156" s="16"/>
      <c r="C156" s="16"/>
      <c r="D156" s="16"/>
      <c r="E156" s="16"/>
      <c r="F156" s="16"/>
      <c r="G156" s="632" t="e">
        <f>'Repair Assessment Sheet'!#REF!</f>
        <v>#REF!</v>
      </c>
      <c r="H156" s="633"/>
      <c r="I156" s="634"/>
      <c r="J156" s="374"/>
      <c r="K156" s="16" t="e">
        <f>'Repair Assessment Sheet'!#REF!</f>
        <v>#REF!</v>
      </c>
      <c r="L156" s="5"/>
      <c r="M156" s="16" t="e">
        <f>'Repair Assessment Sheet'!#REF!</f>
        <v>#REF!</v>
      </c>
      <c r="N156" s="16" t="e">
        <f>'Repair Assessment Sheet'!#REF!</f>
        <v>#REF!</v>
      </c>
      <c r="O156" s="51" t="e">
        <f>'Repair Assessment Sheet'!#REF!</f>
        <v>#REF!</v>
      </c>
      <c r="P156" s="51"/>
      <c r="Q156" s="31"/>
      <c r="R156" s="31" t="e">
        <f>'Repair Assessment Sheet'!#REF!</f>
        <v>#REF!</v>
      </c>
      <c r="S156" s="31"/>
      <c r="T156" s="31"/>
    </row>
    <row r="157" spans="1:20" ht="15" thickBot="1" x14ac:dyDescent="0.4">
      <c r="A157" s="4">
        <v>144</v>
      </c>
      <c r="B157" s="16"/>
      <c r="C157" s="16"/>
      <c r="D157" s="16"/>
      <c r="E157" s="16"/>
      <c r="F157" s="16"/>
      <c r="G157" s="632" t="e">
        <f>'Repair Assessment Sheet'!#REF!</f>
        <v>#REF!</v>
      </c>
      <c r="H157" s="633"/>
      <c r="I157" s="634"/>
      <c r="J157" s="374"/>
      <c r="K157" s="16" t="e">
        <f>'Repair Assessment Sheet'!#REF!</f>
        <v>#REF!</v>
      </c>
      <c r="L157" s="5"/>
      <c r="M157" s="16" t="e">
        <f>'Repair Assessment Sheet'!#REF!</f>
        <v>#REF!</v>
      </c>
      <c r="N157" s="16" t="e">
        <f>'Repair Assessment Sheet'!#REF!</f>
        <v>#REF!</v>
      </c>
      <c r="O157" s="51" t="e">
        <f>'Repair Assessment Sheet'!#REF!</f>
        <v>#REF!</v>
      </c>
      <c r="P157" s="51"/>
      <c r="Q157" s="31"/>
      <c r="R157" s="31" t="e">
        <f>'Repair Assessment Sheet'!#REF!</f>
        <v>#REF!</v>
      </c>
      <c r="S157" s="31"/>
      <c r="T157" s="31"/>
    </row>
    <row r="158" spans="1:20" ht="15" thickBot="1" x14ac:dyDescent="0.4">
      <c r="A158" s="4">
        <v>145</v>
      </c>
      <c r="B158" s="16"/>
      <c r="C158" s="16"/>
      <c r="D158" s="16"/>
      <c r="E158" s="16"/>
      <c r="F158" s="16"/>
      <c r="G158" s="632" t="e">
        <f>'Repair Assessment Sheet'!#REF!</f>
        <v>#REF!</v>
      </c>
      <c r="H158" s="633"/>
      <c r="I158" s="634"/>
      <c r="J158" s="374"/>
      <c r="K158" s="16" t="e">
        <f>'Repair Assessment Sheet'!#REF!</f>
        <v>#REF!</v>
      </c>
      <c r="L158" s="5"/>
      <c r="M158" s="16" t="e">
        <f>'Repair Assessment Sheet'!#REF!</f>
        <v>#REF!</v>
      </c>
      <c r="N158" s="16" t="e">
        <f>'Repair Assessment Sheet'!#REF!</f>
        <v>#REF!</v>
      </c>
      <c r="O158" s="51" t="e">
        <f>'Repair Assessment Sheet'!#REF!</f>
        <v>#REF!</v>
      </c>
      <c r="P158" s="51"/>
      <c r="Q158" s="31"/>
      <c r="R158" s="31" t="e">
        <f>'Repair Assessment Sheet'!#REF!</f>
        <v>#REF!</v>
      </c>
      <c r="S158" s="31"/>
      <c r="T158" s="31"/>
    </row>
    <row r="159" spans="1:20" ht="15" thickBot="1" x14ac:dyDescent="0.4">
      <c r="A159" s="4">
        <v>146</v>
      </c>
      <c r="B159" s="16"/>
      <c r="C159" s="16"/>
      <c r="D159" s="16"/>
      <c r="E159" s="16"/>
      <c r="F159" s="16"/>
      <c r="G159" s="632" t="e">
        <f>'Repair Assessment Sheet'!#REF!</f>
        <v>#REF!</v>
      </c>
      <c r="H159" s="633"/>
      <c r="I159" s="634"/>
      <c r="J159" s="374"/>
      <c r="K159" s="16" t="e">
        <f>'Repair Assessment Sheet'!#REF!</f>
        <v>#REF!</v>
      </c>
      <c r="L159" s="16"/>
      <c r="M159" s="16" t="e">
        <f>'Repair Assessment Sheet'!#REF!</f>
        <v>#REF!</v>
      </c>
      <c r="N159" s="16" t="e">
        <f>'Repair Assessment Sheet'!#REF!</f>
        <v>#REF!</v>
      </c>
      <c r="O159" s="51" t="e">
        <f>'Repair Assessment Sheet'!#REF!</f>
        <v>#REF!</v>
      </c>
      <c r="P159" s="51"/>
      <c r="Q159" s="31"/>
      <c r="R159" s="31" t="e">
        <f>'Repair Assessment Sheet'!#REF!</f>
        <v>#REF!</v>
      </c>
      <c r="S159" s="31"/>
      <c r="T159" s="31"/>
    </row>
    <row r="160" spans="1:20" ht="15" thickBot="1" x14ac:dyDescent="0.4">
      <c r="A160" s="4">
        <v>147</v>
      </c>
      <c r="B160" s="16"/>
      <c r="C160" s="16"/>
      <c r="D160" s="16"/>
      <c r="E160" s="16"/>
      <c r="F160" s="16"/>
      <c r="G160" s="632" t="e">
        <f>'Repair Assessment Sheet'!#REF!</f>
        <v>#REF!</v>
      </c>
      <c r="H160" s="633"/>
      <c r="I160" s="634"/>
      <c r="J160" s="374"/>
      <c r="K160" s="16" t="e">
        <f>'Repair Assessment Sheet'!#REF!</f>
        <v>#REF!</v>
      </c>
      <c r="L160" s="16"/>
      <c r="M160" s="16" t="e">
        <f>'Repair Assessment Sheet'!#REF!</f>
        <v>#REF!</v>
      </c>
      <c r="N160" s="16" t="e">
        <f>'Repair Assessment Sheet'!#REF!</f>
        <v>#REF!</v>
      </c>
      <c r="O160" s="51" t="e">
        <f>'Repair Assessment Sheet'!#REF!</f>
        <v>#REF!</v>
      </c>
      <c r="P160" s="51"/>
      <c r="Q160" s="31"/>
      <c r="R160" s="31" t="e">
        <f>'Repair Assessment Sheet'!#REF!</f>
        <v>#REF!</v>
      </c>
      <c r="S160" s="31"/>
      <c r="T160" s="31"/>
    </row>
    <row r="161" spans="1:20" ht="15" thickBot="1" x14ac:dyDescent="0.4">
      <c r="A161" s="4">
        <v>148</v>
      </c>
      <c r="B161" s="16"/>
      <c r="C161" s="16"/>
      <c r="D161" s="16"/>
      <c r="E161" s="16"/>
      <c r="F161" s="16"/>
      <c r="G161" s="632" t="e">
        <f>'Repair Assessment Sheet'!#REF!</f>
        <v>#REF!</v>
      </c>
      <c r="H161" s="633"/>
      <c r="I161" s="634"/>
      <c r="J161" s="374"/>
      <c r="K161" s="16" t="e">
        <f>'Repair Assessment Sheet'!#REF!</f>
        <v>#REF!</v>
      </c>
      <c r="L161" s="16"/>
      <c r="M161" s="16" t="e">
        <f>'Repair Assessment Sheet'!#REF!</f>
        <v>#REF!</v>
      </c>
      <c r="N161" s="16" t="e">
        <f>'Repair Assessment Sheet'!#REF!</f>
        <v>#REF!</v>
      </c>
      <c r="O161" s="51" t="e">
        <f>'Repair Assessment Sheet'!#REF!</f>
        <v>#REF!</v>
      </c>
      <c r="P161" s="51"/>
      <c r="Q161" s="31"/>
      <c r="R161" s="31" t="e">
        <f>'Repair Assessment Sheet'!#REF!</f>
        <v>#REF!</v>
      </c>
      <c r="S161" s="31"/>
      <c r="T161" s="31"/>
    </row>
    <row r="162" spans="1:20" ht="15" thickBot="1" x14ac:dyDescent="0.4">
      <c r="A162" s="4">
        <v>149</v>
      </c>
      <c r="B162" s="16"/>
      <c r="C162" s="16"/>
      <c r="D162" s="16"/>
      <c r="E162" s="16"/>
      <c r="F162" s="16"/>
      <c r="G162" s="632" t="e">
        <f>'Repair Assessment Sheet'!#REF!</f>
        <v>#REF!</v>
      </c>
      <c r="H162" s="633"/>
      <c r="I162" s="634"/>
      <c r="J162" s="374"/>
      <c r="K162" s="16" t="e">
        <f>'Repair Assessment Sheet'!#REF!</f>
        <v>#REF!</v>
      </c>
      <c r="L162" s="5"/>
      <c r="M162" s="16" t="e">
        <f>'Repair Assessment Sheet'!#REF!</f>
        <v>#REF!</v>
      </c>
      <c r="N162" s="16" t="e">
        <f>'Repair Assessment Sheet'!#REF!</f>
        <v>#REF!</v>
      </c>
      <c r="O162" s="51" t="e">
        <f>'Repair Assessment Sheet'!#REF!</f>
        <v>#REF!</v>
      </c>
      <c r="P162" s="51"/>
      <c r="Q162" s="31"/>
      <c r="R162" s="31" t="e">
        <f>'Repair Assessment Sheet'!#REF!</f>
        <v>#REF!</v>
      </c>
      <c r="S162" s="31"/>
      <c r="T162" s="31"/>
    </row>
    <row r="163" spans="1:20" ht="15" thickBot="1" x14ac:dyDescent="0.4">
      <c r="A163" s="4">
        <v>150</v>
      </c>
      <c r="B163" s="16"/>
      <c r="C163" s="16"/>
      <c r="D163" s="16"/>
      <c r="E163" s="16"/>
      <c r="F163" s="16"/>
      <c r="G163" s="632" t="e">
        <f>'Repair Assessment Sheet'!#REF!</f>
        <v>#REF!</v>
      </c>
      <c r="H163" s="633"/>
      <c r="I163" s="634"/>
      <c r="J163" s="374"/>
      <c r="K163" s="16" t="e">
        <f>'Repair Assessment Sheet'!#REF!</f>
        <v>#REF!</v>
      </c>
      <c r="L163" s="16"/>
      <c r="M163" s="16" t="e">
        <f>'Repair Assessment Sheet'!#REF!</f>
        <v>#REF!</v>
      </c>
      <c r="N163" s="16" t="e">
        <f>'Repair Assessment Sheet'!#REF!</f>
        <v>#REF!</v>
      </c>
      <c r="O163" s="51" t="e">
        <f>'Repair Assessment Sheet'!#REF!</f>
        <v>#REF!</v>
      </c>
      <c r="P163" s="51"/>
      <c r="Q163" s="31"/>
      <c r="R163" s="31" t="e">
        <f>'Repair Assessment Sheet'!#REF!</f>
        <v>#REF!</v>
      </c>
      <c r="S163" s="31"/>
      <c r="T163" s="31"/>
    </row>
    <row r="164" spans="1:20" ht="15" thickBot="1" x14ac:dyDescent="0.4">
      <c r="A164" s="4">
        <v>151</v>
      </c>
      <c r="B164" s="16"/>
      <c r="C164" s="16"/>
      <c r="D164" s="16"/>
      <c r="E164" s="16"/>
      <c r="F164" s="16"/>
      <c r="G164" s="632" t="e">
        <f>'Repair Assessment Sheet'!#REF!</f>
        <v>#REF!</v>
      </c>
      <c r="H164" s="633"/>
      <c r="I164" s="634"/>
      <c r="J164" s="374"/>
      <c r="K164" s="16" t="e">
        <f>'Repair Assessment Sheet'!#REF!</f>
        <v>#REF!</v>
      </c>
      <c r="L164" s="5"/>
      <c r="M164" s="16" t="e">
        <f>'Repair Assessment Sheet'!#REF!</f>
        <v>#REF!</v>
      </c>
      <c r="N164" s="16" t="e">
        <f>'Repair Assessment Sheet'!#REF!</f>
        <v>#REF!</v>
      </c>
      <c r="O164" s="51" t="e">
        <f>'Repair Assessment Sheet'!#REF!</f>
        <v>#REF!</v>
      </c>
      <c r="P164" s="51"/>
      <c r="Q164" s="31"/>
      <c r="R164" s="31" t="e">
        <f>'Repair Assessment Sheet'!#REF!</f>
        <v>#REF!</v>
      </c>
      <c r="S164" s="31"/>
      <c r="T164" s="31"/>
    </row>
    <row r="165" spans="1:20" ht="15" thickBot="1" x14ac:dyDescent="0.4">
      <c r="A165" s="4">
        <v>152</v>
      </c>
      <c r="B165" s="16"/>
      <c r="C165" s="16"/>
      <c r="D165" s="16"/>
      <c r="E165" s="16"/>
      <c r="F165" s="16"/>
      <c r="G165" s="632" t="e">
        <f>'Repair Assessment Sheet'!#REF!</f>
        <v>#REF!</v>
      </c>
      <c r="H165" s="633"/>
      <c r="I165" s="634"/>
      <c r="J165" s="374"/>
      <c r="K165" s="16" t="e">
        <f>'Repair Assessment Sheet'!#REF!</f>
        <v>#REF!</v>
      </c>
      <c r="L165" s="5"/>
      <c r="M165" s="16" t="e">
        <f>'Repair Assessment Sheet'!#REF!</f>
        <v>#REF!</v>
      </c>
      <c r="N165" s="16" t="e">
        <f>'Repair Assessment Sheet'!#REF!</f>
        <v>#REF!</v>
      </c>
      <c r="O165" s="51" t="e">
        <f>'Repair Assessment Sheet'!#REF!</f>
        <v>#REF!</v>
      </c>
      <c r="P165" s="51"/>
      <c r="Q165" s="31"/>
      <c r="R165" s="31" t="e">
        <f>'Repair Assessment Sheet'!#REF!</f>
        <v>#REF!</v>
      </c>
      <c r="S165" s="31"/>
      <c r="T165" s="31"/>
    </row>
    <row r="166" spans="1:20" ht="15" thickBot="1" x14ac:dyDescent="0.4">
      <c r="A166" s="4">
        <v>153</v>
      </c>
      <c r="B166" s="16"/>
      <c r="C166" s="16"/>
      <c r="D166" s="16"/>
      <c r="E166" s="16"/>
      <c r="F166" s="16"/>
      <c r="G166" s="632" t="e">
        <f>'Repair Assessment Sheet'!#REF!</f>
        <v>#REF!</v>
      </c>
      <c r="H166" s="633"/>
      <c r="I166" s="634"/>
      <c r="J166" s="374"/>
      <c r="K166" s="16" t="e">
        <f>'Repair Assessment Sheet'!#REF!</f>
        <v>#REF!</v>
      </c>
      <c r="L166" s="5"/>
      <c r="M166" s="16" t="e">
        <f>'Repair Assessment Sheet'!#REF!</f>
        <v>#REF!</v>
      </c>
      <c r="N166" s="16" t="e">
        <f>'Repair Assessment Sheet'!#REF!</f>
        <v>#REF!</v>
      </c>
      <c r="O166" s="51" t="e">
        <f>'Repair Assessment Sheet'!#REF!</f>
        <v>#REF!</v>
      </c>
      <c r="P166" s="51"/>
      <c r="Q166" s="31"/>
      <c r="R166" s="31" t="e">
        <f>'Repair Assessment Sheet'!#REF!</f>
        <v>#REF!</v>
      </c>
      <c r="S166" s="31"/>
      <c r="T166" s="31"/>
    </row>
    <row r="167" spans="1:20" ht="15" thickBot="1" x14ac:dyDescent="0.4">
      <c r="A167" s="4">
        <v>154</v>
      </c>
      <c r="B167" s="16"/>
      <c r="C167" s="16"/>
      <c r="D167" s="16"/>
      <c r="E167" s="16"/>
      <c r="F167" s="16"/>
      <c r="G167" s="632" t="e">
        <f>'Repair Assessment Sheet'!#REF!</f>
        <v>#REF!</v>
      </c>
      <c r="H167" s="633"/>
      <c r="I167" s="634"/>
      <c r="J167" s="374"/>
      <c r="K167" s="16" t="e">
        <f>'Repair Assessment Sheet'!#REF!</f>
        <v>#REF!</v>
      </c>
      <c r="L167" s="16"/>
      <c r="M167" s="16" t="e">
        <f>'Repair Assessment Sheet'!#REF!</f>
        <v>#REF!</v>
      </c>
      <c r="N167" s="16" t="e">
        <f>'Repair Assessment Sheet'!#REF!</f>
        <v>#REF!</v>
      </c>
      <c r="O167" s="51" t="e">
        <f>'Repair Assessment Sheet'!#REF!</f>
        <v>#REF!</v>
      </c>
      <c r="P167" s="51"/>
      <c r="Q167" s="31"/>
      <c r="R167" s="31" t="e">
        <f>'Repair Assessment Sheet'!#REF!</f>
        <v>#REF!</v>
      </c>
      <c r="S167" s="31"/>
      <c r="T167" s="31"/>
    </row>
    <row r="168" spans="1:20" ht="15" thickBot="1" x14ac:dyDescent="0.4">
      <c r="A168" s="4">
        <v>155</v>
      </c>
      <c r="B168" s="16"/>
      <c r="C168" s="16"/>
      <c r="D168" s="16"/>
      <c r="E168" s="16"/>
      <c r="F168" s="16"/>
      <c r="G168" s="632" t="e">
        <f>'Repair Assessment Sheet'!#REF!</f>
        <v>#REF!</v>
      </c>
      <c r="H168" s="633"/>
      <c r="I168" s="634"/>
      <c r="J168" s="374"/>
      <c r="K168" s="16" t="e">
        <f>'Repair Assessment Sheet'!#REF!</f>
        <v>#REF!</v>
      </c>
      <c r="L168" s="16"/>
      <c r="M168" s="16" t="e">
        <f>'Repair Assessment Sheet'!#REF!</f>
        <v>#REF!</v>
      </c>
      <c r="N168" s="16" t="e">
        <f>'Repair Assessment Sheet'!#REF!</f>
        <v>#REF!</v>
      </c>
      <c r="O168" s="51" t="e">
        <f>'Repair Assessment Sheet'!#REF!</f>
        <v>#REF!</v>
      </c>
      <c r="P168" s="51"/>
      <c r="Q168" s="31"/>
      <c r="R168" s="31" t="e">
        <f>'Repair Assessment Sheet'!#REF!</f>
        <v>#REF!</v>
      </c>
      <c r="S168" s="31"/>
      <c r="T168" s="31"/>
    </row>
    <row r="169" spans="1:20" ht="15" thickBot="1" x14ac:dyDescent="0.4">
      <c r="A169" s="4">
        <v>156</v>
      </c>
      <c r="B169" s="16"/>
      <c r="C169" s="16"/>
      <c r="D169" s="16"/>
      <c r="E169" s="16"/>
      <c r="F169" s="16"/>
      <c r="G169" s="632" t="e">
        <f>'Repair Assessment Sheet'!#REF!</f>
        <v>#REF!</v>
      </c>
      <c r="H169" s="633"/>
      <c r="I169" s="634"/>
      <c r="J169" s="374"/>
      <c r="K169" s="16" t="e">
        <f>'Repair Assessment Sheet'!#REF!</f>
        <v>#REF!</v>
      </c>
      <c r="L169" s="16"/>
      <c r="M169" s="16" t="e">
        <f>'Repair Assessment Sheet'!#REF!</f>
        <v>#REF!</v>
      </c>
      <c r="N169" s="16" t="e">
        <f>'Repair Assessment Sheet'!#REF!</f>
        <v>#REF!</v>
      </c>
      <c r="O169" s="51" t="e">
        <f>'Repair Assessment Sheet'!#REF!</f>
        <v>#REF!</v>
      </c>
      <c r="P169" s="51"/>
      <c r="Q169" s="31"/>
      <c r="R169" s="31" t="e">
        <f>'Repair Assessment Sheet'!#REF!</f>
        <v>#REF!</v>
      </c>
      <c r="S169" s="31"/>
      <c r="T169" s="31"/>
    </row>
    <row r="170" spans="1:20" ht="15" thickBot="1" x14ac:dyDescent="0.4">
      <c r="A170" s="4">
        <v>157</v>
      </c>
      <c r="B170" s="16"/>
      <c r="C170" s="16"/>
      <c r="D170" s="16"/>
      <c r="E170" s="16"/>
      <c r="F170" s="16"/>
      <c r="G170" s="632" t="e">
        <f>'Repair Assessment Sheet'!#REF!</f>
        <v>#REF!</v>
      </c>
      <c r="H170" s="633"/>
      <c r="I170" s="634"/>
      <c r="J170" s="374"/>
      <c r="K170" s="16" t="e">
        <f>'Repair Assessment Sheet'!#REF!</f>
        <v>#REF!</v>
      </c>
      <c r="L170" s="16"/>
      <c r="M170" s="16" t="e">
        <f>'Repair Assessment Sheet'!#REF!</f>
        <v>#REF!</v>
      </c>
      <c r="N170" s="16" t="e">
        <f>'Repair Assessment Sheet'!#REF!</f>
        <v>#REF!</v>
      </c>
      <c r="O170" s="51" t="e">
        <f>'Repair Assessment Sheet'!#REF!</f>
        <v>#REF!</v>
      </c>
      <c r="P170" s="51"/>
      <c r="Q170" s="31"/>
      <c r="R170" s="31" t="e">
        <f>'Repair Assessment Sheet'!#REF!</f>
        <v>#REF!</v>
      </c>
      <c r="S170" s="31"/>
      <c r="T170" s="31"/>
    </row>
    <row r="171" spans="1:20" ht="15" thickBot="1" x14ac:dyDescent="0.4">
      <c r="A171" s="4">
        <v>158</v>
      </c>
      <c r="B171" s="16"/>
      <c r="C171" s="16"/>
      <c r="D171" s="16"/>
      <c r="E171" s="16"/>
      <c r="F171" s="16"/>
      <c r="G171" s="632" t="e">
        <f>'Repair Assessment Sheet'!#REF!</f>
        <v>#REF!</v>
      </c>
      <c r="H171" s="633"/>
      <c r="I171" s="634"/>
      <c r="J171" s="374"/>
      <c r="K171" s="16" t="e">
        <f>'Repair Assessment Sheet'!#REF!</f>
        <v>#REF!</v>
      </c>
      <c r="L171" s="16"/>
      <c r="M171" s="16" t="e">
        <f>'Repair Assessment Sheet'!#REF!</f>
        <v>#REF!</v>
      </c>
      <c r="N171" s="16" t="e">
        <f>'Repair Assessment Sheet'!#REF!</f>
        <v>#REF!</v>
      </c>
      <c r="O171" s="51" t="e">
        <f>'Repair Assessment Sheet'!#REF!</f>
        <v>#REF!</v>
      </c>
      <c r="P171" s="51"/>
      <c r="Q171" s="31"/>
      <c r="R171" s="31" t="e">
        <f>'Repair Assessment Sheet'!#REF!</f>
        <v>#REF!</v>
      </c>
      <c r="S171" s="31"/>
      <c r="T171" s="31"/>
    </row>
    <row r="172" spans="1:20" ht="15" thickBot="1" x14ac:dyDescent="0.4">
      <c r="A172" s="4">
        <v>159</v>
      </c>
      <c r="B172" s="16"/>
      <c r="C172" s="16"/>
      <c r="D172" s="16"/>
      <c r="E172" s="16"/>
      <c r="F172" s="16"/>
      <c r="G172" s="632" t="e">
        <f>'Repair Assessment Sheet'!#REF!</f>
        <v>#REF!</v>
      </c>
      <c r="H172" s="633"/>
      <c r="I172" s="634"/>
      <c r="J172" s="374"/>
      <c r="K172" s="16" t="e">
        <f>'Repair Assessment Sheet'!#REF!</f>
        <v>#REF!</v>
      </c>
      <c r="L172" s="16"/>
      <c r="M172" s="16" t="e">
        <f>'Repair Assessment Sheet'!#REF!</f>
        <v>#REF!</v>
      </c>
      <c r="N172" s="16" t="e">
        <f>'Repair Assessment Sheet'!#REF!</f>
        <v>#REF!</v>
      </c>
      <c r="O172" s="51" t="e">
        <f>'Repair Assessment Sheet'!#REF!</f>
        <v>#REF!</v>
      </c>
      <c r="P172" s="51"/>
      <c r="Q172" s="31"/>
      <c r="R172" s="31" t="e">
        <f>'Repair Assessment Sheet'!#REF!</f>
        <v>#REF!</v>
      </c>
      <c r="S172" s="31"/>
      <c r="T172" s="31"/>
    </row>
    <row r="173" spans="1:20" ht="15" thickBot="1" x14ac:dyDescent="0.4">
      <c r="A173" s="4">
        <v>160</v>
      </c>
      <c r="B173" s="16"/>
      <c r="C173" s="16"/>
      <c r="D173" s="16"/>
      <c r="E173" s="16"/>
      <c r="F173" s="16"/>
      <c r="G173" s="632" t="e">
        <f>'Repair Assessment Sheet'!#REF!</f>
        <v>#REF!</v>
      </c>
      <c r="H173" s="633"/>
      <c r="I173" s="634"/>
      <c r="J173" s="374"/>
      <c r="K173" s="16" t="e">
        <f>'Repair Assessment Sheet'!#REF!</f>
        <v>#REF!</v>
      </c>
      <c r="L173" s="16"/>
      <c r="M173" s="16" t="e">
        <f>'Repair Assessment Sheet'!#REF!</f>
        <v>#REF!</v>
      </c>
      <c r="N173" s="16" t="e">
        <f>'Repair Assessment Sheet'!#REF!</f>
        <v>#REF!</v>
      </c>
      <c r="O173" s="51" t="e">
        <f>'Repair Assessment Sheet'!#REF!</f>
        <v>#REF!</v>
      </c>
      <c r="P173" s="51"/>
      <c r="Q173" s="31"/>
      <c r="R173" s="31" t="e">
        <f>'Repair Assessment Sheet'!#REF!</f>
        <v>#REF!</v>
      </c>
      <c r="S173" s="31"/>
      <c r="T173" s="31"/>
    </row>
    <row r="174" spans="1:20" ht="15" thickBot="1" x14ac:dyDescent="0.4">
      <c r="A174" s="4">
        <v>161</v>
      </c>
      <c r="B174" s="16"/>
      <c r="C174" s="16"/>
      <c r="D174" s="16"/>
      <c r="E174" s="16"/>
      <c r="F174" s="16"/>
      <c r="G174" s="632" t="e">
        <f>'Repair Assessment Sheet'!#REF!</f>
        <v>#REF!</v>
      </c>
      <c r="H174" s="633"/>
      <c r="I174" s="634"/>
      <c r="J174" s="374"/>
      <c r="K174" s="16" t="e">
        <f>'Repair Assessment Sheet'!#REF!</f>
        <v>#REF!</v>
      </c>
      <c r="L174" s="5"/>
      <c r="M174" s="16" t="e">
        <f>'Repair Assessment Sheet'!#REF!</f>
        <v>#REF!</v>
      </c>
      <c r="N174" s="16" t="e">
        <f>'Repair Assessment Sheet'!#REF!</f>
        <v>#REF!</v>
      </c>
      <c r="O174" s="51" t="e">
        <f>'Repair Assessment Sheet'!#REF!</f>
        <v>#REF!</v>
      </c>
      <c r="P174" s="51"/>
      <c r="Q174" s="31"/>
      <c r="R174" s="31" t="e">
        <f>'Repair Assessment Sheet'!#REF!</f>
        <v>#REF!</v>
      </c>
      <c r="S174" s="31"/>
      <c r="T174" s="31"/>
    </row>
    <row r="175" spans="1:20" ht="15" thickBot="1" x14ac:dyDescent="0.4">
      <c r="A175" s="4">
        <v>162</v>
      </c>
      <c r="B175" s="16"/>
      <c r="C175" s="16"/>
      <c r="D175" s="16"/>
      <c r="E175" s="16"/>
      <c r="F175" s="16"/>
      <c r="G175" s="632" t="e">
        <f>'Repair Assessment Sheet'!#REF!</f>
        <v>#REF!</v>
      </c>
      <c r="H175" s="633"/>
      <c r="I175" s="634"/>
      <c r="J175" s="374"/>
      <c r="K175" s="16" t="e">
        <f>'Repair Assessment Sheet'!#REF!</f>
        <v>#REF!</v>
      </c>
      <c r="L175" s="5"/>
      <c r="M175" s="16" t="e">
        <f>'Repair Assessment Sheet'!#REF!</f>
        <v>#REF!</v>
      </c>
      <c r="N175" s="16" t="e">
        <f>'Repair Assessment Sheet'!#REF!</f>
        <v>#REF!</v>
      </c>
      <c r="O175" s="51" t="e">
        <f>'Repair Assessment Sheet'!#REF!</f>
        <v>#REF!</v>
      </c>
      <c r="P175" s="51"/>
      <c r="Q175" s="31"/>
      <c r="R175" s="31" t="e">
        <f>'Repair Assessment Sheet'!#REF!</f>
        <v>#REF!</v>
      </c>
      <c r="S175" s="31"/>
      <c r="T175" s="31"/>
    </row>
    <row r="176" spans="1:20" ht="15" thickBot="1" x14ac:dyDescent="0.4">
      <c r="A176" s="4">
        <v>163</v>
      </c>
      <c r="B176" s="16"/>
      <c r="C176" s="16"/>
      <c r="D176" s="16"/>
      <c r="E176" s="16"/>
      <c r="F176" s="16"/>
      <c r="G176" s="632" t="e">
        <f>'Repair Assessment Sheet'!#REF!</f>
        <v>#REF!</v>
      </c>
      <c r="H176" s="633"/>
      <c r="I176" s="634"/>
      <c r="J176" s="374"/>
      <c r="K176" s="16" t="e">
        <f>'Repair Assessment Sheet'!#REF!</f>
        <v>#REF!</v>
      </c>
      <c r="L176" s="16"/>
      <c r="M176" s="16" t="e">
        <f>'Repair Assessment Sheet'!#REF!</f>
        <v>#REF!</v>
      </c>
      <c r="N176" s="16" t="e">
        <f>'Repair Assessment Sheet'!#REF!</f>
        <v>#REF!</v>
      </c>
      <c r="O176" s="51" t="e">
        <f>'Repair Assessment Sheet'!#REF!</f>
        <v>#REF!</v>
      </c>
      <c r="P176" s="51"/>
      <c r="Q176" s="31"/>
      <c r="R176" s="31" t="e">
        <f>'Repair Assessment Sheet'!#REF!</f>
        <v>#REF!</v>
      </c>
      <c r="S176" s="31"/>
      <c r="T176" s="31"/>
    </row>
    <row r="177" spans="1:20" ht="15" thickBot="1" x14ac:dyDescent="0.4">
      <c r="A177" s="4">
        <v>164</v>
      </c>
      <c r="B177" s="16"/>
      <c r="C177" s="16"/>
      <c r="D177" s="16"/>
      <c r="E177" s="16"/>
      <c r="F177" s="16"/>
      <c r="G177" s="632" t="e">
        <f>'Repair Assessment Sheet'!#REF!</f>
        <v>#REF!</v>
      </c>
      <c r="H177" s="633"/>
      <c r="I177" s="634"/>
      <c r="J177" s="374"/>
      <c r="K177" s="16" t="e">
        <f>'Repair Assessment Sheet'!#REF!</f>
        <v>#REF!</v>
      </c>
      <c r="L177" s="16"/>
      <c r="M177" s="16" t="e">
        <f>'Repair Assessment Sheet'!#REF!</f>
        <v>#REF!</v>
      </c>
      <c r="N177" s="16" t="e">
        <f>'Repair Assessment Sheet'!#REF!</f>
        <v>#REF!</v>
      </c>
      <c r="O177" s="51" t="e">
        <f>'Repair Assessment Sheet'!#REF!</f>
        <v>#REF!</v>
      </c>
      <c r="P177" s="51"/>
      <c r="Q177" s="31"/>
      <c r="R177" s="31" t="e">
        <f>'Repair Assessment Sheet'!#REF!</f>
        <v>#REF!</v>
      </c>
      <c r="S177" s="31"/>
      <c r="T177" s="31"/>
    </row>
    <row r="178" spans="1:20" ht="15" thickBot="1" x14ac:dyDescent="0.4">
      <c r="A178" s="4">
        <v>165</v>
      </c>
      <c r="B178" s="16"/>
      <c r="C178" s="16"/>
      <c r="D178" s="16"/>
      <c r="E178" s="16"/>
      <c r="F178" s="16"/>
      <c r="G178" s="632" t="e">
        <f>'Repair Assessment Sheet'!#REF!</f>
        <v>#REF!</v>
      </c>
      <c r="H178" s="633"/>
      <c r="I178" s="634"/>
      <c r="J178" s="374"/>
      <c r="K178" s="16" t="e">
        <f>'Repair Assessment Sheet'!#REF!</f>
        <v>#REF!</v>
      </c>
      <c r="L178" s="16"/>
      <c r="M178" s="16" t="e">
        <f>'Repair Assessment Sheet'!#REF!</f>
        <v>#REF!</v>
      </c>
      <c r="N178" s="16" t="e">
        <f>'Repair Assessment Sheet'!#REF!</f>
        <v>#REF!</v>
      </c>
      <c r="O178" s="51" t="e">
        <f>'Repair Assessment Sheet'!#REF!</f>
        <v>#REF!</v>
      </c>
      <c r="P178" s="51"/>
      <c r="Q178" s="31"/>
      <c r="R178" s="31" t="e">
        <f>'Repair Assessment Sheet'!#REF!</f>
        <v>#REF!</v>
      </c>
      <c r="S178" s="31"/>
      <c r="T178" s="31"/>
    </row>
    <row r="179" spans="1:20" ht="15" thickBot="1" x14ac:dyDescent="0.4">
      <c r="A179" s="4">
        <v>166</v>
      </c>
      <c r="B179" s="16"/>
      <c r="C179" s="16"/>
      <c r="D179" s="16"/>
      <c r="E179" s="16"/>
      <c r="F179" s="16"/>
      <c r="G179" s="632" t="e">
        <f>'Repair Assessment Sheet'!#REF!</f>
        <v>#REF!</v>
      </c>
      <c r="H179" s="633"/>
      <c r="I179" s="634"/>
      <c r="J179" s="374"/>
      <c r="K179" s="16" t="e">
        <f>'Repair Assessment Sheet'!#REF!</f>
        <v>#REF!</v>
      </c>
      <c r="L179" s="16"/>
      <c r="M179" s="16" t="e">
        <f>'Repair Assessment Sheet'!#REF!</f>
        <v>#REF!</v>
      </c>
      <c r="N179" s="16" t="e">
        <f>'Repair Assessment Sheet'!#REF!</f>
        <v>#REF!</v>
      </c>
      <c r="O179" s="51" t="e">
        <f>'Repair Assessment Sheet'!#REF!</f>
        <v>#REF!</v>
      </c>
      <c r="P179" s="51"/>
      <c r="Q179" s="31"/>
      <c r="R179" s="31" t="e">
        <f>'Repair Assessment Sheet'!#REF!</f>
        <v>#REF!</v>
      </c>
      <c r="S179" s="31"/>
      <c r="T179" s="31"/>
    </row>
    <row r="180" spans="1:20" ht="15" thickBot="1" x14ac:dyDescent="0.4">
      <c r="A180" s="4">
        <v>167</v>
      </c>
      <c r="B180" s="16"/>
      <c r="C180" s="16"/>
      <c r="D180" s="16"/>
      <c r="E180" s="16"/>
      <c r="F180" s="16"/>
      <c r="G180" s="632" t="e">
        <f>'Repair Assessment Sheet'!#REF!</f>
        <v>#REF!</v>
      </c>
      <c r="H180" s="633"/>
      <c r="I180" s="634"/>
      <c r="J180" s="374"/>
      <c r="K180" s="16" t="e">
        <f>'Repair Assessment Sheet'!#REF!</f>
        <v>#REF!</v>
      </c>
      <c r="L180" s="5"/>
      <c r="M180" s="16" t="e">
        <f>'Repair Assessment Sheet'!#REF!</f>
        <v>#REF!</v>
      </c>
      <c r="N180" s="16" t="e">
        <f>'Repair Assessment Sheet'!#REF!</f>
        <v>#REF!</v>
      </c>
      <c r="O180" s="51" t="e">
        <f>'Repair Assessment Sheet'!#REF!</f>
        <v>#REF!</v>
      </c>
      <c r="P180" s="51"/>
      <c r="Q180" s="31"/>
      <c r="R180" s="31" t="e">
        <f>'Repair Assessment Sheet'!#REF!</f>
        <v>#REF!</v>
      </c>
      <c r="S180" s="31"/>
      <c r="T180" s="31"/>
    </row>
    <row r="181" spans="1:20" ht="15" thickBot="1" x14ac:dyDescent="0.4">
      <c r="A181" s="4">
        <v>168</v>
      </c>
      <c r="B181" s="16"/>
      <c r="C181" s="16"/>
      <c r="D181" s="16"/>
      <c r="E181" s="16"/>
      <c r="F181" s="16"/>
      <c r="G181" s="632" t="e">
        <f>'Repair Assessment Sheet'!#REF!</f>
        <v>#REF!</v>
      </c>
      <c r="H181" s="633"/>
      <c r="I181" s="634"/>
      <c r="J181" s="374"/>
      <c r="K181" s="16" t="e">
        <f>'Repair Assessment Sheet'!#REF!</f>
        <v>#REF!</v>
      </c>
      <c r="L181" s="5"/>
      <c r="M181" s="16" t="e">
        <f>'Repair Assessment Sheet'!#REF!</f>
        <v>#REF!</v>
      </c>
      <c r="N181" s="16" t="e">
        <f>'Repair Assessment Sheet'!#REF!</f>
        <v>#REF!</v>
      </c>
      <c r="O181" s="51" t="e">
        <f>'Repair Assessment Sheet'!#REF!</f>
        <v>#REF!</v>
      </c>
      <c r="P181" s="51"/>
      <c r="Q181" s="31"/>
      <c r="R181" s="31" t="e">
        <f>'Repair Assessment Sheet'!#REF!</f>
        <v>#REF!</v>
      </c>
      <c r="S181" s="31"/>
      <c r="T181" s="31"/>
    </row>
    <row r="182" spans="1:20" ht="15" thickBot="1" x14ac:dyDescent="0.4">
      <c r="A182" s="4">
        <v>169</v>
      </c>
      <c r="B182" s="16"/>
      <c r="C182" s="16"/>
      <c r="D182" s="16"/>
      <c r="E182" s="16"/>
      <c r="F182" s="16"/>
      <c r="G182" s="632" t="e">
        <f>'Repair Assessment Sheet'!#REF!</f>
        <v>#REF!</v>
      </c>
      <c r="H182" s="633"/>
      <c r="I182" s="634"/>
      <c r="J182" s="374"/>
      <c r="K182" s="16" t="e">
        <f>'Repair Assessment Sheet'!#REF!</f>
        <v>#REF!</v>
      </c>
      <c r="L182" s="16"/>
      <c r="M182" s="16" t="e">
        <f>'Repair Assessment Sheet'!#REF!</f>
        <v>#REF!</v>
      </c>
      <c r="N182" s="16" t="e">
        <f>'Repair Assessment Sheet'!#REF!</f>
        <v>#REF!</v>
      </c>
      <c r="O182" s="51" t="e">
        <f>'Repair Assessment Sheet'!#REF!</f>
        <v>#REF!</v>
      </c>
      <c r="P182" s="51"/>
      <c r="Q182" s="31"/>
      <c r="R182" s="31" t="e">
        <f>'Repair Assessment Sheet'!#REF!</f>
        <v>#REF!</v>
      </c>
      <c r="S182" s="31"/>
      <c r="T182" s="31"/>
    </row>
    <row r="183" spans="1:20" ht="15" thickBot="1" x14ac:dyDescent="0.4">
      <c r="A183" s="4">
        <v>170</v>
      </c>
      <c r="B183" s="16"/>
      <c r="C183" s="16"/>
      <c r="D183" s="16"/>
      <c r="E183" s="16"/>
      <c r="F183" s="16"/>
      <c r="G183" s="632" t="e">
        <f>'Repair Assessment Sheet'!#REF!</f>
        <v>#REF!</v>
      </c>
      <c r="H183" s="633"/>
      <c r="I183" s="634"/>
      <c r="J183" s="374"/>
      <c r="K183" s="16" t="e">
        <f>'Repair Assessment Sheet'!#REF!</f>
        <v>#REF!</v>
      </c>
      <c r="L183" s="16"/>
      <c r="M183" s="16" t="e">
        <f>'Repair Assessment Sheet'!#REF!</f>
        <v>#REF!</v>
      </c>
      <c r="N183" s="16" t="e">
        <f>'Repair Assessment Sheet'!#REF!</f>
        <v>#REF!</v>
      </c>
      <c r="O183" s="51" t="e">
        <f>'Repair Assessment Sheet'!#REF!</f>
        <v>#REF!</v>
      </c>
      <c r="P183" s="51"/>
      <c r="Q183" s="31"/>
      <c r="R183" s="31" t="e">
        <f>'Repair Assessment Sheet'!#REF!</f>
        <v>#REF!</v>
      </c>
      <c r="S183" s="31"/>
      <c r="T183" s="31"/>
    </row>
    <row r="184" spans="1:20" ht="15" thickBot="1" x14ac:dyDescent="0.4">
      <c r="A184" s="4">
        <v>171</v>
      </c>
      <c r="B184" s="16"/>
      <c r="C184" s="16"/>
      <c r="D184" s="16"/>
      <c r="E184" s="16"/>
      <c r="F184" s="16"/>
      <c r="G184" s="632" t="e">
        <f>'Repair Assessment Sheet'!#REF!</f>
        <v>#REF!</v>
      </c>
      <c r="H184" s="633"/>
      <c r="I184" s="634"/>
      <c r="J184" s="374"/>
      <c r="K184" s="16" t="e">
        <f>'Repair Assessment Sheet'!#REF!</f>
        <v>#REF!</v>
      </c>
      <c r="L184" s="16"/>
      <c r="M184" s="16" t="e">
        <f>'Repair Assessment Sheet'!#REF!</f>
        <v>#REF!</v>
      </c>
      <c r="N184" s="16" t="e">
        <f>'Repair Assessment Sheet'!#REF!</f>
        <v>#REF!</v>
      </c>
      <c r="O184" s="51" t="e">
        <f>'Repair Assessment Sheet'!#REF!</f>
        <v>#REF!</v>
      </c>
      <c r="P184" s="51"/>
      <c r="Q184" s="31"/>
      <c r="R184" s="31" t="e">
        <f>'Repair Assessment Sheet'!#REF!</f>
        <v>#REF!</v>
      </c>
      <c r="S184" s="31"/>
      <c r="T184" s="31"/>
    </row>
    <row r="185" spans="1:20" ht="15" thickBot="1" x14ac:dyDescent="0.4">
      <c r="A185" s="4">
        <v>172</v>
      </c>
      <c r="B185" s="16"/>
      <c r="C185" s="16"/>
      <c r="D185" s="16"/>
      <c r="E185" s="16"/>
      <c r="F185" s="16"/>
      <c r="G185" s="632" t="e">
        <f>'Repair Assessment Sheet'!#REF!</f>
        <v>#REF!</v>
      </c>
      <c r="H185" s="633"/>
      <c r="I185" s="634"/>
      <c r="J185" s="374"/>
      <c r="K185" s="16" t="e">
        <f>'Repair Assessment Sheet'!#REF!</f>
        <v>#REF!</v>
      </c>
      <c r="L185" s="16"/>
      <c r="M185" s="16" t="e">
        <f>'Repair Assessment Sheet'!#REF!</f>
        <v>#REF!</v>
      </c>
      <c r="N185" s="16" t="e">
        <f>'Repair Assessment Sheet'!#REF!</f>
        <v>#REF!</v>
      </c>
      <c r="O185" s="51" t="e">
        <f>'Repair Assessment Sheet'!#REF!</f>
        <v>#REF!</v>
      </c>
      <c r="P185" s="51"/>
      <c r="Q185" s="31"/>
      <c r="R185" s="31" t="e">
        <f>'Repair Assessment Sheet'!#REF!</f>
        <v>#REF!</v>
      </c>
      <c r="S185" s="31"/>
      <c r="T185" s="31"/>
    </row>
    <row r="186" spans="1:20" ht="15" thickBot="1" x14ac:dyDescent="0.4">
      <c r="A186" s="4">
        <v>173</v>
      </c>
      <c r="B186" s="16"/>
      <c r="C186" s="16"/>
      <c r="D186" s="16"/>
      <c r="E186" s="16"/>
      <c r="F186" s="16"/>
      <c r="G186" s="632" t="e">
        <f>'Repair Assessment Sheet'!#REF!</f>
        <v>#REF!</v>
      </c>
      <c r="H186" s="633"/>
      <c r="I186" s="634"/>
      <c r="J186" s="374"/>
      <c r="K186" s="16" t="e">
        <f>'Repair Assessment Sheet'!#REF!</f>
        <v>#REF!</v>
      </c>
      <c r="L186" s="16"/>
      <c r="M186" s="16" t="e">
        <f>'Repair Assessment Sheet'!#REF!</f>
        <v>#REF!</v>
      </c>
      <c r="N186" s="16" t="e">
        <f>'Repair Assessment Sheet'!#REF!</f>
        <v>#REF!</v>
      </c>
      <c r="O186" s="51" t="e">
        <f>'Repair Assessment Sheet'!#REF!</f>
        <v>#REF!</v>
      </c>
      <c r="P186" s="51"/>
      <c r="Q186" s="31"/>
      <c r="R186" s="31" t="e">
        <f>'Repair Assessment Sheet'!#REF!</f>
        <v>#REF!</v>
      </c>
      <c r="S186" s="31"/>
      <c r="T186" s="31"/>
    </row>
    <row r="187" spans="1:20" ht="15" thickBot="1" x14ac:dyDescent="0.4">
      <c r="A187" s="4">
        <v>174</v>
      </c>
      <c r="B187" s="16"/>
      <c r="C187" s="16"/>
      <c r="D187" s="16"/>
      <c r="E187" s="16"/>
      <c r="F187" s="16"/>
      <c r="G187" s="632" t="e">
        <f>'Repair Assessment Sheet'!#REF!</f>
        <v>#REF!</v>
      </c>
      <c r="H187" s="633"/>
      <c r="I187" s="634"/>
      <c r="J187" s="374"/>
      <c r="K187" s="16" t="e">
        <f>'Repair Assessment Sheet'!#REF!</f>
        <v>#REF!</v>
      </c>
      <c r="L187" s="16"/>
      <c r="M187" s="16" t="e">
        <f>'Repair Assessment Sheet'!#REF!</f>
        <v>#REF!</v>
      </c>
      <c r="N187" s="16" t="e">
        <f>'Repair Assessment Sheet'!#REF!</f>
        <v>#REF!</v>
      </c>
      <c r="O187" s="51" t="e">
        <f>'Repair Assessment Sheet'!#REF!</f>
        <v>#REF!</v>
      </c>
      <c r="P187" s="51"/>
      <c r="Q187" s="31"/>
      <c r="R187" s="31" t="e">
        <f>'Repair Assessment Sheet'!#REF!</f>
        <v>#REF!</v>
      </c>
      <c r="S187" s="31"/>
      <c r="T187" s="31"/>
    </row>
    <row r="188" spans="1:20" ht="15" thickBot="1" x14ac:dyDescent="0.4">
      <c r="A188" s="4">
        <v>175</v>
      </c>
      <c r="B188" s="16"/>
      <c r="C188" s="16"/>
      <c r="D188" s="16"/>
      <c r="E188" s="16"/>
      <c r="F188" s="16"/>
      <c r="G188" s="632" t="e">
        <f>'Repair Assessment Sheet'!#REF!</f>
        <v>#REF!</v>
      </c>
      <c r="H188" s="633"/>
      <c r="I188" s="634"/>
      <c r="J188" s="374"/>
      <c r="K188" s="16" t="e">
        <f>'Repair Assessment Sheet'!#REF!</f>
        <v>#REF!</v>
      </c>
      <c r="L188" s="16"/>
      <c r="M188" s="16" t="e">
        <f>'Repair Assessment Sheet'!#REF!</f>
        <v>#REF!</v>
      </c>
      <c r="N188" s="16" t="e">
        <f>'Repair Assessment Sheet'!#REF!</f>
        <v>#REF!</v>
      </c>
      <c r="O188" s="51" t="e">
        <f>'Repair Assessment Sheet'!#REF!</f>
        <v>#REF!</v>
      </c>
      <c r="P188" s="51"/>
      <c r="Q188" s="31"/>
      <c r="R188" s="31" t="e">
        <f>'Repair Assessment Sheet'!#REF!</f>
        <v>#REF!</v>
      </c>
      <c r="S188" s="31"/>
      <c r="T188" s="31"/>
    </row>
    <row r="189" spans="1:20" ht="15" thickBot="1" x14ac:dyDescent="0.4">
      <c r="A189" s="4">
        <v>176</v>
      </c>
      <c r="B189" s="16"/>
      <c r="C189" s="16"/>
      <c r="D189" s="16"/>
      <c r="E189" s="16"/>
      <c r="F189" s="16"/>
      <c r="G189" s="632" t="e">
        <f>'Repair Assessment Sheet'!#REF!</f>
        <v>#REF!</v>
      </c>
      <c r="H189" s="633"/>
      <c r="I189" s="634"/>
      <c r="J189" s="374"/>
      <c r="K189" s="16" t="e">
        <f>'Repair Assessment Sheet'!#REF!</f>
        <v>#REF!</v>
      </c>
      <c r="L189" s="16"/>
      <c r="M189" s="16" t="e">
        <f>'Repair Assessment Sheet'!#REF!</f>
        <v>#REF!</v>
      </c>
      <c r="N189" s="16" t="e">
        <f>'Repair Assessment Sheet'!#REF!</f>
        <v>#REF!</v>
      </c>
      <c r="O189" s="51" t="e">
        <f>'Repair Assessment Sheet'!#REF!</f>
        <v>#REF!</v>
      </c>
      <c r="P189" s="51"/>
      <c r="Q189" s="31"/>
      <c r="R189" s="31" t="e">
        <f>'Repair Assessment Sheet'!#REF!</f>
        <v>#REF!</v>
      </c>
      <c r="S189" s="31"/>
      <c r="T189" s="31"/>
    </row>
    <row r="190" spans="1:20" ht="15" thickBot="1" x14ac:dyDescent="0.4">
      <c r="A190" s="4">
        <v>177</v>
      </c>
      <c r="B190" s="16"/>
      <c r="C190" s="16"/>
      <c r="D190" s="16"/>
      <c r="E190" s="16"/>
      <c r="F190" s="16"/>
      <c r="G190" s="632" t="e">
        <f>'Repair Assessment Sheet'!#REF!</f>
        <v>#REF!</v>
      </c>
      <c r="H190" s="633"/>
      <c r="I190" s="634"/>
      <c r="J190" s="374"/>
      <c r="K190" s="16" t="e">
        <f>'Repair Assessment Sheet'!#REF!</f>
        <v>#REF!</v>
      </c>
      <c r="L190" s="16"/>
      <c r="M190" s="16" t="e">
        <f>'Repair Assessment Sheet'!#REF!</f>
        <v>#REF!</v>
      </c>
      <c r="N190" s="16" t="e">
        <f>'Repair Assessment Sheet'!#REF!</f>
        <v>#REF!</v>
      </c>
      <c r="O190" s="51" t="e">
        <f>'Repair Assessment Sheet'!#REF!</f>
        <v>#REF!</v>
      </c>
      <c r="P190" s="51"/>
      <c r="Q190" s="31"/>
      <c r="R190" s="31" t="e">
        <f>'Repair Assessment Sheet'!#REF!</f>
        <v>#REF!</v>
      </c>
      <c r="S190" s="31"/>
      <c r="T190" s="31"/>
    </row>
    <row r="191" spans="1:20" ht="15" thickBot="1" x14ac:dyDescent="0.4">
      <c r="A191" s="4">
        <v>178</v>
      </c>
      <c r="B191" s="16"/>
      <c r="C191" s="16"/>
      <c r="D191" s="16"/>
      <c r="E191" s="16"/>
      <c r="F191" s="16"/>
      <c r="G191" s="632" t="e">
        <f>'Repair Assessment Sheet'!#REF!</f>
        <v>#REF!</v>
      </c>
      <c r="H191" s="633"/>
      <c r="I191" s="634"/>
      <c r="J191" s="374"/>
      <c r="K191" s="16" t="e">
        <f>'Repair Assessment Sheet'!#REF!</f>
        <v>#REF!</v>
      </c>
      <c r="L191" s="16"/>
      <c r="M191" s="16" t="e">
        <f>'Repair Assessment Sheet'!#REF!</f>
        <v>#REF!</v>
      </c>
      <c r="N191" s="16" t="e">
        <f>'Repair Assessment Sheet'!#REF!</f>
        <v>#REF!</v>
      </c>
      <c r="O191" s="51" t="e">
        <f>'Repair Assessment Sheet'!#REF!</f>
        <v>#REF!</v>
      </c>
      <c r="P191" s="51"/>
      <c r="Q191" s="31"/>
      <c r="R191" s="31" t="e">
        <f>'Repair Assessment Sheet'!#REF!</f>
        <v>#REF!</v>
      </c>
      <c r="S191" s="31"/>
      <c r="T191" s="31"/>
    </row>
    <row r="192" spans="1:20" ht="15" thickBot="1" x14ac:dyDescent="0.4">
      <c r="A192" s="4">
        <v>179</v>
      </c>
      <c r="B192" s="16"/>
      <c r="C192" s="16"/>
      <c r="D192" s="16"/>
      <c r="E192" s="16"/>
      <c r="F192" s="16"/>
      <c r="G192" s="632" t="e">
        <f>'Repair Assessment Sheet'!#REF!</f>
        <v>#REF!</v>
      </c>
      <c r="H192" s="633"/>
      <c r="I192" s="634"/>
      <c r="J192" s="374"/>
      <c r="K192" s="16" t="e">
        <f>'Repair Assessment Sheet'!#REF!</f>
        <v>#REF!</v>
      </c>
      <c r="L192" s="16"/>
      <c r="M192" s="16" t="e">
        <f>'Repair Assessment Sheet'!#REF!</f>
        <v>#REF!</v>
      </c>
      <c r="N192" s="16" t="e">
        <f>'Repair Assessment Sheet'!#REF!</f>
        <v>#REF!</v>
      </c>
      <c r="O192" s="51" t="e">
        <f>'Repair Assessment Sheet'!#REF!</f>
        <v>#REF!</v>
      </c>
      <c r="P192" s="51"/>
      <c r="Q192" s="31"/>
      <c r="R192" s="31" t="e">
        <f>'Repair Assessment Sheet'!#REF!</f>
        <v>#REF!</v>
      </c>
      <c r="S192" s="31"/>
      <c r="T192" s="31"/>
    </row>
    <row r="193" spans="1:20" ht="15" thickBot="1" x14ac:dyDescent="0.4">
      <c r="A193" s="4">
        <v>180</v>
      </c>
      <c r="B193" s="16"/>
      <c r="C193" s="16"/>
      <c r="D193" s="16"/>
      <c r="E193" s="16"/>
      <c r="F193" s="16"/>
      <c r="G193" s="632" t="e">
        <f>'Repair Assessment Sheet'!#REF!</f>
        <v>#REF!</v>
      </c>
      <c r="H193" s="633"/>
      <c r="I193" s="634"/>
      <c r="J193" s="374"/>
      <c r="K193" s="16" t="e">
        <f>'Repair Assessment Sheet'!#REF!</f>
        <v>#REF!</v>
      </c>
      <c r="L193" s="16"/>
      <c r="M193" s="16" t="e">
        <f>'Repair Assessment Sheet'!#REF!</f>
        <v>#REF!</v>
      </c>
      <c r="N193" s="16" t="e">
        <f>'Repair Assessment Sheet'!#REF!</f>
        <v>#REF!</v>
      </c>
      <c r="O193" s="51" t="e">
        <f>'Repair Assessment Sheet'!#REF!</f>
        <v>#REF!</v>
      </c>
      <c r="P193" s="51"/>
      <c r="Q193" s="31"/>
      <c r="R193" s="31" t="e">
        <f>'Repair Assessment Sheet'!#REF!</f>
        <v>#REF!</v>
      </c>
      <c r="S193" s="31"/>
      <c r="T193" s="31"/>
    </row>
    <row r="194" spans="1:20" ht="15" thickBot="1" x14ac:dyDescent="0.4">
      <c r="A194" s="4">
        <v>181</v>
      </c>
      <c r="B194" s="16"/>
      <c r="C194" s="16"/>
      <c r="D194" s="16"/>
      <c r="E194" s="16"/>
      <c r="F194" s="16"/>
      <c r="G194" s="632" t="e">
        <f>'Repair Assessment Sheet'!#REF!</f>
        <v>#REF!</v>
      </c>
      <c r="H194" s="633"/>
      <c r="I194" s="634"/>
      <c r="J194" s="374"/>
      <c r="K194" s="16" t="e">
        <f>'Repair Assessment Sheet'!#REF!</f>
        <v>#REF!</v>
      </c>
      <c r="L194" s="16"/>
      <c r="M194" s="16" t="e">
        <f>'Repair Assessment Sheet'!#REF!</f>
        <v>#REF!</v>
      </c>
      <c r="N194" s="16" t="e">
        <f>'Repair Assessment Sheet'!#REF!</f>
        <v>#REF!</v>
      </c>
      <c r="O194" s="51" t="e">
        <f>'Repair Assessment Sheet'!#REF!</f>
        <v>#REF!</v>
      </c>
      <c r="P194" s="51"/>
      <c r="Q194" s="31"/>
      <c r="R194" s="31" t="e">
        <f>'Repair Assessment Sheet'!#REF!</f>
        <v>#REF!</v>
      </c>
      <c r="S194" s="31"/>
      <c r="T194" s="31"/>
    </row>
    <row r="195" spans="1:20" ht="15" thickBot="1" x14ac:dyDescent="0.4">
      <c r="A195" s="4">
        <v>182</v>
      </c>
      <c r="B195" s="16"/>
      <c r="C195" s="16"/>
      <c r="D195" s="16"/>
      <c r="E195" s="16"/>
      <c r="F195" s="16"/>
      <c r="G195" s="632" t="e">
        <f>'Repair Assessment Sheet'!#REF!</f>
        <v>#REF!</v>
      </c>
      <c r="H195" s="633"/>
      <c r="I195" s="634"/>
      <c r="J195" s="374"/>
      <c r="K195" s="16" t="e">
        <f>'Repair Assessment Sheet'!#REF!</f>
        <v>#REF!</v>
      </c>
      <c r="L195" s="16"/>
      <c r="M195" s="16" t="e">
        <f>'Repair Assessment Sheet'!#REF!</f>
        <v>#REF!</v>
      </c>
      <c r="N195" s="16" t="e">
        <f>'Repair Assessment Sheet'!#REF!</f>
        <v>#REF!</v>
      </c>
      <c r="O195" s="51" t="e">
        <f>'Repair Assessment Sheet'!#REF!</f>
        <v>#REF!</v>
      </c>
      <c r="P195" s="51"/>
      <c r="Q195" s="31"/>
      <c r="R195" s="31" t="e">
        <f>'Repair Assessment Sheet'!#REF!</f>
        <v>#REF!</v>
      </c>
      <c r="S195" s="31"/>
      <c r="T195" s="31"/>
    </row>
    <row r="196" spans="1:20" ht="15" thickBot="1" x14ac:dyDescent="0.4">
      <c r="A196" s="4">
        <v>183</v>
      </c>
      <c r="B196" s="16"/>
      <c r="C196" s="16"/>
      <c r="D196" s="16"/>
      <c r="E196" s="16"/>
      <c r="F196" s="16"/>
      <c r="G196" s="632" t="e">
        <f>'Repair Assessment Sheet'!#REF!</f>
        <v>#REF!</v>
      </c>
      <c r="H196" s="633"/>
      <c r="I196" s="634"/>
      <c r="J196" s="374"/>
      <c r="K196" s="16" t="e">
        <f>'Repair Assessment Sheet'!#REF!</f>
        <v>#REF!</v>
      </c>
      <c r="L196" s="5"/>
      <c r="M196" s="16" t="e">
        <f>'Repair Assessment Sheet'!#REF!</f>
        <v>#REF!</v>
      </c>
      <c r="N196" s="16" t="e">
        <f>'Repair Assessment Sheet'!#REF!</f>
        <v>#REF!</v>
      </c>
      <c r="O196" s="51" t="e">
        <f>'Repair Assessment Sheet'!#REF!</f>
        <v>#REF!</v>
      </c>
      <c r="P196" s="51"/>
      <c r="Q196" s="31"/>
      <c r="R196" s="31" t="e">
        <f>'Repair Assessment Sheet'!#REF!</f>
        <v>#REF!</v>
      </c>
      <c r="S196" s="31"/>
      <c r="T196" s="31"/>
    </row>
    <row r="197" spans="1:20" ht="15" thickBot="1" x14ac:dyDescent="0.4">
      <c r="A197" s="4">
        <v>184</v>
      </c>
      <c r="B197" s="16"/>
      <c r="C197" s="16"/>
      <c r="D197" s="16"/>
      <c r="E197" s="16"/>
      <c r="F197" s="16"/>
      <c r="G197" s="632" t="e">
        <f>'Repair Assessment Sheet'!#REF!</f>
        <v>#REF!</v>
      </c>
      <c r="H197" s="633"/>
      <c r="I197" s="634"/>
      <c r="J197" s="374"/>
      <c r="K197" s="16" t="e">
        <f>'Repair Assessment Sheet'!#REF!</f>
        <v>#REF!</v>
      </c>
      <c r="L197" s="5"/>
      <c r="M197" s="16" t="e">
        <f>'Repair Assessment Sheet'!#REF!</f>
        <v>#REF!</v>
      </c>
      <c r="N197" s="16" t="e">
        <f>'Repair Assessment Sheet'!#REF!</f>
        <v>#REF!</v>
      </c>
      <c r="O197" s="51" t="e">
        <f>'Repair Assessment Sheet'!#REF!</f>
        <v>#REF!</v>
      </c>
      <c r="P197" s="51"/>
      <c r="Q197" s="31"/>
      <c r="R197" s="31" t="e">
        <f>'Repair Assessment Sheet'!#REF!</f>
        <v>#REF!</v>
      </c>
      <c r="S197" s="31"/>
      <c r="T197" s="31"/>
    </row>
    <row r="198" spans="1:20" ht="15" thickBot="1" x14ac:dyDescent="0.4">
      <c r="A198" s="4">
        <v>185</v>
      </c>
      <c r="B198" s="16"/>
      <c r="C198" s="16"/>
      <c r="D198" s="16"/>
      <c r="E198" s="16"/>
      <c r="F198" s="16"/>
      <c r="G198" s="632" t="e">
        <f>'Repair Assessment Sheet'!#REF!</f>
        <v>#REF!</v>
      </c>
      <c r="H198" s="633"/>
      <c r="I198" s="634"/>
      <c r="J198" s="374"/>
      <c r="K198" s="16" t="e">
        <f>'Repair Assessment Sheet'!#REF!</f>
        <v>#REF!</v>
      </c>
      <c r="L198" s="16"/>
      <c r="M198" s="16" t="e">
        <f>'Repair Assessment Sheet'!#REF!</f>
        <v>#REF!</v>
      </c>
      <c r="N198" s="16" t="e">
        <f>'Repair Assessment Sheet'!#REF!</f>
        <v>#REF!</v>
      </c>
      <c r="O198" s="51" t="e">
        <f>'Repair Assessment Sheet'!#REF!</f>
        <v>#REF!</v>
      </c>
      <c r="P198" s="51"/>
      <c r="Q198" s="31"/>
      <c r="R198" s="31" t="e">
        <f>'Repair Assessment Sheet'!#REF!</f>
        <v>#REF!</v>
      </c>
      <c r="S198" s="31"/>
      <c r="T198" s="31"/>
    </row>
    <row r="199" spans="1:20" ht="15" thickBot="1" x14ac:dyDescent="0.4">
      <c r="A199" s="4">
        <v>186</v>
      </c>
      <c r="B199" s="16"/>
      <c r="C199" s="16"/>
      <c r="D199" s="16"/>
      <c r="E199" s="16"/>
      <c r="F199" s="16"/>
      <c r="G199" s="632" t="e">
        <f>'Repair Assessment Sheet'!#REF!</f>
        <v>#REF!</v>
      </c>
      <c r="H199" s="633"/>
      <c r="I199" s="634"/>
      <c r="J199" s="374"/>
      <c r="K199" s="16" t="e">
        <f>'Repair Assessment Sheet'!#REF!</f>
        <v>#REF!</v>
      </c>
      <c r="L199" s="16"/>
      <c r="M199" s="16" t="e">
        <f>'Repair Assessment Sheet'!#REF!</f>
        <v>#REF!</v>
      </c>
      <c r="N199" s="16" t="e">
        <f>'Repair Assessment Sheet'!#REF!</f>
        <v>#REF!</v>
      </c>
      <c r="O199" s="51" t="e">
        <f>'Repair Assessment Sheet'!#REF!</f>
        <v>#REF!</v>
      </c>
      <c r="P199" s="51"/>
      <c r="Q199" s="31"/>
      <c r="R199" s="31" t="e">
        <f>'Repair Assessment Sheet'!#REF!</f>
        <v>#REF!</v>
      </c>
      <c r="S199" s="31"/>
      <c r="T199" s="31"/>
    </row>
    <row r="200" spans="1:20" ht="15" thickBot="1" x14ac:dyDescent="0.4">
      <c r="A200" s="4">
        <v>187</v>
      </c>
      <c r="B200" s="16"/>
      <c r="C200" s="16"/>
      <c r="D200" s="16"/>
      <c r="E200" s="16"/>
      <c r="F200" s="16"/>
      <c r="G200" s="632" t="e">
        <f>'Repair Assessment Sheet'!#REF!</f>
        <v>#REF!</v>
      </c>
      <c r="H200" s="633"/>
      <c r="I200" s="634"/>
      <c r="J200" s="374"/>
      <c r="K200" s="16" t="e">
        <f>'Repair Assessment Sheet'!#REF!</f>
        <v>#REF!</v>
      </c>
      <c r="L200" s="16"/>
      <c r="M200" s="16" t="e">
        <f>'Repair Assessment Sheet'!#REF!</f>
        <v>#REF!</v>
      </c>
      <c r="N200" s="16" t="e">
        <f>'Repair Assessment Sheet'!#REF!</f>
        <v>#REF!</v>
      </c>
      <c r="O200" s="51" t="e">
        <f>'Repair Assessment Sheet'!#REF!</f>
        <v>#REF!</v>
      </c>
      <c r="P200" s="51"/>
      <c r="Q200" s="31"/>
      <c r="R200" s="31" t="e">
        <f>'Repair Assessment Sheet'!#REF!</f>
        <v>#REF!</v>
      </c>
      <c r="S200" s="31"/>
      <c r="T200" s="31"/>
    </row>
    <row r="201" spans="1:20" ht="15" thickBot="1" x14ac:dyDescent="0.4">
      <c r="A201" s="4">
        <v>188</v>
      </c>
      <c r="B201" s="16"/>
      <c r="C201" s="16"/>
      <c r="D201" s="16"/>
      <c r="E201" s="16"/>
      <c r="F201" s="16"/>
      <c r="G201" s="632" t="e">
        <f>'Repair Assessment Sheet'!#REF!</f>
        <v>#REF!</v>
      </c>
      <c r="H201" s="633"/>
      <c r="I201" s="634"/>
      <c r="J201" s="374"/>
      <c r="K201" s="16" t="e">
        <f>'Repair Assessment Sheet'!#REF!</f>
        <v>#REF!</v>
      </c>
      <c r="L201" s="16"/>
      <c r="M201" s="16" t="e">
        <f>'Repair Assessment Sheet'!#REF!</f>
        <v>#REF!</v>
      </c>
      <c r="N201" s="16" t="e">
        <f>'Repair Assessment Sheet'!#REF!</f>
        <v>#REF!</v>
      </c>
      <c r="O201" s="51" t="e">
        <f>'Repair Assessment Sheet'!#REF!</f>
        <v>#REF!</v>
      </c>
      <c r="P201" s="51"/>
      <c r="Q201" s="31"/>
      <c r="R201" s="31" t="e">
        <f>'Repair Assessment Sheet'!#REF!</f>
        <v>#REF!</v>
      </c>
      <c r="S201" s="31"/>
      <c r="T201" s="31"/>
    </row>
    <row r="202" spans="1:20" ht="15" thickBot="1" x14ac:dyDescent="0.4">
      <c r="A202" s="4">
        <v>189</v>
      </c>
      <c r="B202" s="16"/>
      <c r="C202" s="16"/>
      <c r="D202" s="16"/>
      <c r="E202" s="16"/>
      <c r="F202" s="16"/>
      <c r="G202" s="632" t="e">
        <f>'Repair Assessment Sheet'!#REF!</f>
        <v>#REF!</v>
      </c>
      <c r="H202" s="633"/>
      <c r="I202" s="634"/>
      <c r="J202" s="374"/>
      <c r="K202" s="16" t="e">
        <f>'Repair Assessment Sheet'!#REF!</f>
        <v>#REF!</v>
      </c>
      <c r="L202" s="16"/>
      <c r="M202" s="16" t="e">
        <f>'Repair Assessment Sheet'!#REF!</f>
        <v>#REF!</v>
      </c>
      <c r="N202" s="16" t="e">
        <f>'Repair Assessment Sheet'!#REF!</f>
        <v>#REF!</v>
      </c>
      <c r="O202" s="51" t="e">
        <f>'Repair Assessment Sheet'!#REF!</f>
        <v>#REF!</v>
      </c>
      <c r="P202" s="51"/>
      <c r="Q202" s="31"/>
      <c r="R202" s="31" t="e">
        <f>'Repair Assessment Sheet'!#REF!</f>
        <v>#REF!</v>
      </c>
      <c r="S202" s="31"/>
      <c r="T202" s="31"/>
    </row>
    <row r="203" spans="1:20" ht="15" thickBot="1" x14ac:dyDescent="0.4">
      <c r="A203" s="4">
        <v>190</v>
      </c>
      <c r="B203" s="16"/>
      <c r="C203" s="16"/>
      <c r="D203" s="16"/>
      <c r="E203" s="16"/>
      <c r="F203" s="16"/>
      <c r="G203" s="632" t="e">
        <f>'Repair Assessment Sheet'!#REF!</f>
        <v>#REF!</v>
      </c>
      <c r="H203" s="633"/>
      <c r="I203" s="634"/>
      <c r="J203" s="374"/>
      <c r="K203" s="16" t="e">
        <f>'Repair Assessment Sheet'!#REF!</f>
        <v>#REF!</v>
      </c>
      <c r="L203" s="5"/>
      <c r="M203" s="16" t="e">
        <f>'Repair Assessment Sheet'!#REF!</f>
        <v>#REF!</v>
      </c>
      <c r="N203" s="16" t="e">
        <f>'Repair Assessment Sheet'!#REF!</f>
        <v>#REF!</v>
      </c>
      <c r="O203" s="51" t="e">
        <f>'Repair Assessment Sheet'!#REF!</f>
        <v>#REF!</v>
      </c>
      <c r="P203" s="51"/>
      <c r="Q203" s="31"/>
      <c r="R203" s="31" t="e">
        <f>'Repair Assessment Sheet'!#REF!</f>
        <v>#REF!</v>
      </c>
      <c r="S203" s="31"/>
      <c r="T203" s="31"/>
    </row>
    <row r="204" spans="1:20" ht="15" thickBot="1" x14ac:dyDescent="0.4">
      <c r="A204" s="4">
        <v>191</v>
      </c>
      <c r="B204" s="16"/>
      <c r="C204" s="16"/>
      <c r="D204" s="16"/>
      <c r="E204" s="16"/>
      <c r="F204" s="16"/>
      <c r="G204" s="632" t="e">
        <f>'Repair Assessment Sheet'!#REF!</f>
        <v>#REF!</v>
      </c>
      <c r="H204" s="633"/>
      <c r="I204" s="634"/>
      <c r="J204" s="374"/>
      <c r="K204" s="16" t="e">
        <f>'Repair Assessment Sheet'!#REF!</f>
        <v>#REF!</v>
      </c>
      <c r="L204" s="5"/>
      <c r="M204" s="16" t="e">
        <f>'Repair Assessment Sheet'!#REF!</f>
        <v>#REF!</v>
      </c>
      <c r="N204" s="16" t="e">
        <f>'Repair Assessment Sheet'!#REF!</f>
        <v>#REF!</v>
      </c>
      <c r="O204" s="51" t="e">
        <f>'Repair Assessment Sheet'!#REF!</f>
        <v>#REF!</v>
      </c>
      <c r="P204" s="51"/>
      <c r="Q204" s="31"/>
      <c r="R204" s="31" t="e">
        <f>'Repair Assessment Sheet'!#REF!</f>
        <v>#REF!</v>
      </c>
      <c r="S204" s="31"/>
      <c r="T204" s="31"/>
    </row>
    <row r="205" spans="1:20" ht="15" thickBot="1" x14ac:dyDescent="0.4">
      <c r="A205" s="4">
        <v>192</v>
      </c>
      <c r="B205" s="16"/>
      <c r="C205" s="16"/>
      <c r="D205" s="16"/>
      <c r="E205" s="16"/>
      <c r="F205" s="16"/>
      <c r="G205" s="632" t="e">
        <f>'Repair Assessment Sheet'!#REF!</f>
        <v>#REF!</v>
      </c>
      <c r="H205" s="633"/>
      <c r="I205" s="634"/>
      <c r="J205" s="374"/>
      <c r="K205" s="16" t="e">
        <f>'Repair Assessment Sheet'!#REF!</f>
        <v>#REF!</v>
      </c>
      <c r="L205" s="5"/>
      <c r="M205" s="16" t="e">
        <f>'Repair Assessment Sheet'!#REF!</f>
        <v>#REF!</v>
      </c>
      <c r="N205" s="16" t="e">
        <f>'Repair Assessment Sheet'!#REF!</f>
        <v>#REF!</v>
      </c>
      <c r="O205" s="51" t="e">
        <f>'Repair Assessment Sheet'!#REF!</f>
        <v>#REF!</v>
      </c>
      <c r="P205" s="51"/>
      <c r="Q205" s="31"/>
      <c r="R205" s="31" t="e">
        <f>'Repair Assessment Sheet'!#REF!</f>
        <v>#REF!</v>
      </c>
      <c r="S205" s="31"/>
      <c r="T205" s="31"/>
    </row>
    <row r="206" spans="1:20" ht="15" thickBot="1" x14ac:dyDescent="0.4">
      <c r="A206" s="4">
        <v>193</v>
      </c>
      <c r="B206" s="16"/>
      <c r="C206" s="16"/>
      <c r="D206" s="16"/>
      <c r="E206" s="16"/>
      <c r="F206" s="16"/>
      <c r="G206" s="632" t="e">
        <f>'Repair Assessment Sheet'!#REF!</f>
        <v>#REF!</v>
      </c>
      <c r="H206" s="633"/>
      <c r="I206" s="634"/>
      <c r="J206" s="374"/>
      <c r="K206" s="16" t="e">
        <f>'Repair Assessment Sheet'!#REF!</f>
        <v>#REF!</v>
      </c>
      <c r="L206" s="16"/>
      <c r="M206" s="16" t="e">
        <f>'Repair Assessment Sheet'!#REF!</f>
        <v>#REF!</v>
      </c>
      <c r="N206" s="16" t="e">
        <f>'Repair Assessment Sheet'!#REF!</f>
        <v>#REF!</v>
      </c>
      <c r="O206" s="51" t="e">
        <f>'Repair Assessment Sheet'!#REF!</f>
        <v>#REF!</v>
      </c>
      <c r="P206" s="51"/>
      <c r="Q206" s="31"/>
      <c r="R206" s="31" t="e">
        <f>'Repair Assessment Sheet'!#REF!</f>
        <v>#REF!</v>
      </c>
      <c r="S206" s="31"/>
      <c r="T206" s="31"/>
    </row>
    <row r="207" spans="1:20" ht="15" thickBot="1" x14ac:dyDescent="0.4">
      <c r="A207" s="4">
        <v>194</v>
      </c>
      <c r="B207" s="16"/>
      <c r="C207" s="16"/>
      <c r="D207" s="16"/>
      <c r="E207" s="16"/>
      <c r="F207" s="16"/>
      <c r="G207" s="632" t="e">
        <f>'Repair Assessment Sheet'!#REF!</f>
        <v>#REF!</v>
      </c>
      <c r="H207" s="633"/>
      <c r="I207" s="634"/>
      <c r="J207" s="374"/>
      <c r="K207" s="16" t="e">
        <f>'Repair Assessment Sheet'!#REF!</f>
        <v>#REF!</v>
      </c>
      <c r="L207" s="5"/>
      <c r="M207" s="16" t="e">
        <f>'Repair Assessment Sheet'!#REF!</f>
        <v>#REF!</v>
      </c>
      <c r="N207" s="16" t="e">
        <f>'Repair Assessment Sheet'!#REF!</f>
        <v>#REF!</v>
      </c>
      <c r="O207" s="51" t="e">
        <f>'Repair Assessment Sheet'!#REF!</f>
        <v>#REF!</v>
      </c>
      <c r="P207" s="51"/>
      <c r="Q207" s="31"/>
      <c r="R207" s="31" t="e">
        <f>'Repair Assessment Sheet'!#REF!</f>
        <v>#REF!</v>
      </c>
      <c r="S207" s="31"/>
      <c r="T207" s="31"/>
    </row>
    <row r="208" spans="1:20" ht="15" thickBot="1" x14ac:dyDescent="0.4">
      <c r="A208" s="4">
        <v>195</v>
      </c>
      <c r="B208" s="16"/>
      <c r="C208" s="16"/>
      <c r="D208" s="16"/>
      <c r="E208" s="16"/>
      <c r="F208" s="16"/>
      <c r="G208" s="632" t="e">
        <f>'Repair Assessment Sheet'!#REF!</f>
        <v>#REF!</v>
      </c>
      <c r="H208" s="633"/>
      <c r="I208" s="634"/>
      <c r="J208" s="374"/>
      <c r="K208" s="16" t="e">
        <f>'Repair Assessment Sheet'!#REF!</f>
        <v>#REF!</v>
      </c>
      <c r="L208" s="5"/>
      <c r="M208" s="16" t="e">
        <f>'Repair Assessment Sheet'!#REF!</f>
        <v>#REF!</v>
      </c>
      <c r="N208" s="16" t="e">
        <f>'Repair Assessment Sheet'!#REF!</f>
        <v>#REF!</v>
      </c>
      <c r="O208" s="51" t="e">
        <f>'Repair Assessment Sheet'!#REF!</f>
        <v>#REF!</v>
      </c>
      <c r="P208" s="51"/>
      <c r="Q208" s="31"/>
      <c r="R208" s="31" t="e">
        <f>'Repair Assessment Sheet'!#REF!</f>
        <v>#REF!</v>
      </c>
      <c r="S208" s="31"/>
      <c r="T208" s="31"/>
    </row>
    <row r="209" spans="1:20" ht="15" thickBot="1" x14ac:dyDescent="0.4">
      <c r="A209" s="4">
        <v>196</v>
      </c>
      <c r="B209" s="16"/>
      <c r="C209" s="16"/>
      <c r="D209" s="16"/>
      <c r="E209" s="16"/>
      <c r="F209" s="16"/>
      <c r="G209" s="632" t="e">
        <f>'Repair Assessment Sheet'!#REF!</f>
        <v>#REF!</v>
      </c>
      <c r="H209" s="633"/>
      <c r="I209" s="634"/>
      <c r="J209" s="374"/>
      <c r="K209" s="16" t="e">
        <f>'Repair Assessment Sheet'!#REF!</f>
        <v>#REF!</v>
      </c>
      <c r="L209" s="5"/>
      <c r="M209" s="16" t="e">
        <f>'Repair Assessment Sheet'!#REF!</f>
        <v>#REF!</v>
      </c>
      <c r="N209" s="16" t="e">
        <f>'Repair Assessment Sheet'!#REF!</f>
        <v>#REF!</v>
      </c>
      <c r="O209" s="51" t="e">
        <f>'Repair Assessment Sheet'!#REF!</f>
        <v>#REF!</v>
      </c>
      <c r="P209" s="51"/>
      <c r="Q209" s="31"/>
      <c r="R209" s="31" t="e">
        <f>'Repair Assessment Sheet'!#REF!</f>
        <v>#REF!</v>
      </c>
      <c r="S209" s="31"/>
      <c r="T209" s="31"/>
    </row>
    <row r="210" spans="1:20" ht="15" thickBot="1" x14ac:dyDescent="0.4">
      <c r="A210" s="4">
        <v>197</v>
      </c>
      <c r="B210" s="16"/>
      <c r="C210" s="16"/>
      <c r="D210" s="16"/>
      <c r="E210" s="16"/>
      <c r="F210" s="16"/>
      <c r="G210" s="632" t="e">
        <f>'Repair Assessment Sheet'!#REF!</f>
        <v>#REF!</v>
      </c>
      <c r="H210" s="633"/>
      <c r="I210" s="634"/>
      <c r="J210" s="374"/>
      <c r="K210" s="16" t="e">
        <f>'Repair Assessment Sheet'!#REF!</f>
        <v>#REF!</v>
      </c>
      <c r="L210" s="5"/>
      <c r="M210" s="16" t="e">
        <f>'Repair Assessment Sheet'!#REF!</f>
        <v>#REF!</v>
      </c>
      <c r="N210" s="16" t="e">
        <f>'Repair Assessment Sheet'!#REF!</f>
        <v>#REF!</v>
      </c>
      <c r="O210" s="51" t="e">
        <f>'Repair Assessment Sheet'!#REF!</f>
        <v>#REF!</v>
      </c>
      <c r="P210" s="51"/>
      <c r="Q210" s="31"/>
      <c r="R210" s="31" t="e">
        <f>'Repair Assessment Sheet'!#REF!</f>
        <v>#REF!</v>
      </c>
      <c r="S210" s="31"/>
      <c r="T210" s="31"/>
    </row>
    <row r="211" spans="1:20" ht="15" thickBot="1" x14ac:dyDescent="0.4">
      <c r="A211" s="4">
        <v>198</v>
      </c>
      <c r="B211" s="16"/>
      <c r="C211" s="16"/>
      <c r="D211" s="16"/>
      <c r="E211" s="16"/>
      <c r="F211" s="16"/>
      <c r="G211" s="632" t="e">
        <f>'Repair Assessment Sheet'!#REF!</f>
        <v>#REF!</v>
      </c>
      <c r="H211" s="633"/>
      <c r="I211" s="634"/>
      <c r="J211" s="374"/>
      <c r="K211" s="16" t="e">
        <f>'Repair Assessment Sheet'!#REF!</f>
        <v>#REF!</v>
      </c>
      <c r="L211" s="5"/>
      <c r="M211" s="16" t="e">
        <f>'Repair Assessment Sheet'!#REF!</f>
        <v>#REF!</v>
      </c>
      <c r="N211" s="16" t="e">
        <f>'Repair Assessment Sheet'!#REF!</f>
        <v>#REF!</v>
      </c>
      <c r="O211" s="51" t="e">
        <f>'Repair Assessment Sheet'!#REF!</f>
        <v>#REF!</v>
      </c>
      <c r="P211" s="51"/>
      <c r="Q211" s="31"/>
      <c r="R211" s="31" t="e">
        <f>'Repair Assessment Sheet'!#REF!</f>
        <v>#REF!</v>
      </c>
      <c r="S211" s="31"/>
      <c r="T211" s="31"/>
    </row>
    <row r="212" spans="1:20" ht="15" thickBot="1" x14ac:dyDescent="0.4">
      <c r="A212" s="4">
        <v>199</v>
      </c>
      <c r="B212" s="16"/>
      <c r="C212" s="16"/>
      <c r="D212" s="16"/>
      <c r="E212" s="16"/>
      <c r="F212" s="16"/>
      <c r="G212" s="632" t="e">
        <f>'Repair Assessment Sheet'!#REF!</f>
        <v>#REF!</v>
      </c>
      <c r="H212" s="633"/>
      <c r="I212" s="634"/>
      <c r="J212" s="374"/>
      <c r="K212" s="16" t="e">
        <f>'Repair Assessment Sheet'!#REF!</f>
        <v>#REF!</v>
      </c>
      <c r="L212" s="5"/>
      <c r="M212" s="16" t="e">
        <f>'Repair Assessment Sheet'!#REF!</f>
        <v>#REF!</v>
      </c>
      <c r="N212" s="16" t="e">
        <f>'Repair Assessment Sheet'!#REF!</f>
        <v>#REF!</v>
      </c>
      <c r="O212" s="51" t="e">
        <f>'Repair Assessment Sheet'!#REF!</f>
        <v>#REF!</v>
      </c>
      <c r="P212" s="51"/>
      <c r="Q212" s="31"/>
      <c r="R212" s="31" t="e">
        <f>'Repair Assessment Sheet'!#REF!</f>
        <v>#REF!</v>
      </c>
      <c r="S212" s="31"/>
      <c r="T212" s="31"/>
    </row>
    <row r="213" spans="1:20" ht="15" thickBot="1" x14ac:dyDescent="0.4">
      <c r="A213" s="4">
        <v>200</v>
      </c>
      <c r="B213" s="16"/>
      <c r="C213" s="16"/>
      <c r="D213" s="16"/>
      <c r="E213" s="16"/>
      <c r="F213" s="16"/>
      <c r="G213" s="632" t="e">
        <f>'Repair Assessment Sheet'!#REF!</f>
        <v>#REF!</v>
      </c>
      <c r="H213" s="633"/>
      <c r="I213" s="634"/>
      <c r="J213" s="374"/>
      <c r="K213" s="16" t="e">
        <f>'Repair Assessment Sheet'!#REF!</f>
        <v>#REF!</v>
      </c>
      <c r="L213" s="16"/>
      <c r="M213" s="16" t="e">
        <f>'Repair Assessment Sheet'!#REF!</f>
        <v>#REF!</v>
      </c>
      <c r="N213" s="16" t="e">
        <f>'Repair Assessment Sheet'!#REF!</f>
        <v>#REF!</v>
      </c>
      <c r="O213" s="51" t="e">
        <f>'Repair Assessment Sheet'!#REF!</f>
        <v>#REF!</v>
      </c>
      <c r="P213" s="51"/>
      <c r="Q213" s="31"/>
      <c r="R213" s="31" t="e">
        <f>'Repair Assessment Sheet'!#REF!</f>
        <v>#REF!</v>
      </c>
      <c r="S213" s="31"/>
      <c r="T213" s="31"/>
    </row>
    <row r="214" spans="1:20" ht="15" thickBot="1" x14ac:dyDescent="0.4">
      <c r="A214" s="4">
        <v>201</v>
      </c>
      <c r="B214" s="16"/>
      <c r="C214" s="16"/>
      <c r="D214" s="16"/>
      <c r="E214" s="16"/>
      <c r="F214" s="16"/>
      <c r="G214" s="632" t="e">
        <f>'Repair Assessment Sheet'!#REF!</f>
        <v>#REF!</v>
      </c>
      <c r="H214" s="633"/>
      <c r="I214" s="634"/>
      <c r="J214" s="374"/>
      <c r="K214" s="16" t="e">
        <f>'Repair Assessment Sheet'!#REF!</f>
        <v>#REF!</v>
      </c>
      <c r="L214" s="16"/>
      <c r="M214" s="16" t="e">
        <f>'Repair Assessment Sheet'!#REF!</f>
        <v>#REF!</v>
      </c>
      <c r="N214" s="16" t="e">
        <f>'Repair Assessment Sheet'!#REF!</f>
        <v>#REF!</v>
      </c>
      <c r="O214" s="51" t="e">
        <f>'Repair Assessment Sheet'!#REF!</f>
        <v>#REF!</v>
      </c>
      <c r="P214" s="51"/>
      <c r="Q214" s="31"/>
      <c r="R214" s="31" t="e">
        <f>'Repair Assessment Sheet'!#REF!</f>
        <v>#REF!</v>
      </c>
      <c r="S214" s="31"/>
      <c r="T214" s="31"/>
    </row>
    <row r="215" spans="1:20" ht="15" thickBot="1" x14ac:dyDescent="0.4">
      <c r="A215" s="4">
        <v>202</v>
      </c>
      <c r="B215" s="16"/>
      <c r="C215" s="16"/>
      <c r="D215" s="16"/>
      <c r="E215" s="16"/>
      <c r="F215" s="16"/>
      <c r="G215" s="632" t="e">
        <f>'Repair Assessment Sheet'!#REF!</f>
        <v>#REF!</v>
      </c>
      <c r="H215" s="633"/>
      <c r="I215" s="634"/>
      <c r="J215" s="374"/>
      <c r="K215" s="16" t="e">
        <f>'Repair Assessment Sheet'!#REF!</f>
        <v>#REF!</v>
      </c>
      <c r="L215" s="5"/>
      <c r="M215" s="16" t="e">
        <f>'Repair Assessment Sheet'!#REF!</f>
        <v>#REF!</v>
      </c>
      <c r="N215" s="16" t="e">
        <f>'Repair Assessment Sheet'!#REF!</f>
        <v>#REF!</v>
      </c>
      <c r="O215" s="51" t="e">
        <f>'Repair Assessment Sheet'!#REF!</f>
        <v>#REF!</v>
      </c>
      <c r="P215" s="51"/>
      <c r="Q215" s="31"/>
      <c r="R215" s="31" t="e">
        <f>'Repair Assessment Sheet'!#REF!</f>
        <v>#REF!</v>
      </c>
      <c r="S215" s="31"/>
      <c r="T215" s="31"/>
    </row>
    <row r="216" spans="1:20" ht="15" thickBot="1" x14ac:dyDescent="0.4">
      <c r="A216" s="4">
        <v>203</v>
      </c>
      <c r="B216" s="16"/>
      <c r="C216" s="16"/>
      <c r="D216" s="16"/>
      <c r="E216" s="16"/>
      <c r="F216" s="16"/>
      <c r="G216" s="632" t="e">
        <f>'Repair Assessment Sheet'!#REF!</f>
        <v>#REF!</v>
      </c>
      <c r="H216" s="633"/>
      <c r="I216" s="634"/>
      <c r="J216" s="374"/>
      <c r="K216" s="16" t="e">
        <f>'Repair Assessment Sheet'!#REF!</f>
        <v>#REF!</v>
      </c>
      <c r="L216" s="5"/>
      <c r="M216" s="16" t="e">
        <f>'Repair Assessment Sheet'!#REF!</f>
        <v>#REF!</v>
      </c>
      <c r="N216" s="16" t="e">
        <f>'Repair Assessment Sheet'!#REF!</f>
        <v>#REF!</v>
      </c>
      <c r="O216" s="51" t="e">
        <f>'Repair Assessment Sheet'!#REF!</f>
        <v>#REF!</v>
      </c>
      <c r="P216" s="51"/>
      <c r="Q216" s="31"/>
      <c r="R216" s="31" t="e">
        <f>'Repair Assessment Sheet'!#REF!</f>
        <v>#REF!</v>
      </c>
      <c r="S216" s="31"/>
      <c r="T216" s="31"/>
    </row>
    <row r="217" spans="1:20" ht="15" thickBot="1" x14ac:dyDescent="0.4">
      <c r="A217" s="4">
        <v>204</v>
      </c>
      <c r="B217" s="16"/>
      <c r="C217" s="16"/>
      <c r="D217" s="16"/>
      <c r="E217" s="16"/>
      <c r="F217" s="16"/>
      <c r="G217" s="632" t="e">
        <f>'Repair Assessment Sheet'!#REF!</f>
        <v>#REF!</v>
      </c>
      <c r="H217" s="633"/>
      <c r="I217" s="634"/>
      <c r="J217" s="374"/>
      <c r="K217" s="16" t="e">
        <f>'Repair Assessment Sheet'!#REF!</f>
        <v>#REF!</v>
      </c>
      <c r="L217" s="16"/>
      <c r="M217" s="16" t="e">
        <f>'Repair Assessment Sheet'!#REF!</f>
        <v>#REF!</v>
      </c>
      <c r="N217" s="16" t="e">
        <f>'Repair Assessment Sheet'!#REF!</f>
        <v>#REF!</v>
      </c>
      <c r="O217" s="51" t="e">
        <f>'Repair Assessment Sheet'!#REF!</f>
        <v>#REF!</v>
      </c>
      <c r="P217" s="51"/>
      <c r="Q217" s="31"/>
      <c r="R217" s="31" t="e">
        <f>'Repair Assessment Sheet'!#REF!</f>
        <v>#REF!</v>
      </c>
      <c r="S217" s="31"/>
      <c r="T217" s="31"/>
    </row>
    <row r="218" spans="1:20" ht="15" thickBot="1" x14ac:dyDescent="0.4">
      <c r="A218" s="4">
        <v>205</v>
      </c>
      <c r="B218" s="16"/>
      <c r="C218" s="16"/>
      <c r="D218" s="16"/>
      <c r="E218" s="16"/>
      <c r="F218" s="16"/>
      <c r="G218" s="632" t="e">
        <f>'Repair Assessment Sheet'!#REF!</f>
        <v>#REF!</v>
      </c>
      <c r="H218" s="633"/>
      <c r="I218" s="634"/>
      <c r="J218" s="374"/>
      <c r="K218" s="16" t="e">
        <f>'Repair Assessment Sheet'!#REF!</f>
        <v>#REF!</v>
      </c>
      <c r="L218" s="16"/>
      <c r="M218" s="16" t="e">
        <f>'Repair Assessment Sheet'!#REF!</f>
        <v>#REF!</v>
      </c>
      <c r="N218" s="16" t="e">
        <f>'Repair Assessment Sheet'!#REF!</f>
        <v>#REF!</v>
      </c>
      <c r="O218" s="51" t="e">
        <f>'Repair Assessment Sheet'!#REF!</f>
        <v>#REF!</v>
      </c>
      <c r="P218" s="51"/>
      <c r="Q218" s="31"/>
      <c r="R218" s="31" t="e">
        <f>'Repair Assessment Sheet'!#REF!</f>
        <v>#REF!</v>
      </c>
      <c r="S218" s="31"/>
      <c r="T218" s="31"/>
    </row>
    <row r="219" spans="1:20" ht="15" thickBot="1" x14ac:dyDescent="0.4">
      <c r="A219" s="4">
        <v>206</v>
      </c>
      <c r="B219" s="16"/>
      <c r="C219" s="16"/>
      <c r="D219" s="16"/>
      <c r="E219" s="16"/>
      <c r="F219" s="16"/>
      <c r="G219" s="632" t="e">
        <f>'Repair Assessment Sheet'!#REF!</f>
        <v>#REF!</v>
      </c>
      <c r="H219" s="633"/>
      <c r="I219" s="634"/>
      <c r="J219" s="374"/>
      <c r="K219" s="16" t="e">
        <f>'Repair Assessment Sheet'!#REF!</f>
        <v>#REF!</v>
      </c>
      <c r="L219" s="16"/>
      <c r="M219" s="16" t="e">
        <f>'Repair Assessment Sheet'!#REF!</f>
        <v>#REF!</v>
      </c>
      <c r="N219" s="16" t="e">
        <f>'Repair Assessment Sheet'!#REF!</f>
        <v>#REF!</v>
      </c>
      <c r="O219" s="51" t="e">
        <f>'Repair Assessment Sheet'!#REF!</f>
        <v>#REF!</v>
      </c>
      <c r="P219" s="51"/>
      <c r="Q219" s="31"/>
      <c r="R219" s="31" t="e">
        <f>'Repair Assessment Sheet'!#REF!</f>
        <v>#REF!</v>
      </c>
      <c r="S219" s="31"/>
      <c r="T219" s="31"/>
    </row>
    <row r="220" spans="1:20" ht="15" thickBot="1" x14ac:dyDescent="0.4">
      <c r="A220" s="4">
        <v>207</v>
      </c>
      <c r="B220" s="16"/>
      <c r="C220" s="16"/>
      <c r="D220" s="16"/>
      <c r="E220" s="16"/>
      <c r="F220" s="16"/>
      <c r="G220" s="632" t="e">
        <f>'Repair Assessment Sheet'!#REF!</f>
        <v>#REF!</v>
      </c>
      <c r="H220" s="633"/>
      <c r="I220" s="634"/>
      <c r="J220" s="374"/>
      <c r="K220" s="16" t="e">
        <f>'Repair Assessment Sheet'!#REF!</f>
        <v>#REF!</v>
      </c>
      <c r="L220" s="16"/>
      <c r="M220" s="16" t="e">
        <f>'Repair Assessment Sheet'!#REF!</f>
        <v>#REF!</v>
      </c>
      <c r="N220" s="16" t="e">
        <f>'Repair Assessment Sheet'!#REF!</f>
        <v>#REF!</v>
      </c>
      <c r="O220" s="51" t="e">
        <f>'Repair Assessment Sheet'!#REF!</f>
        <v>#REF!</v>
      </c>
      <c r="P220" s="51"/>
      <c r="Q220" s="31"/>
      <c r="R220" s="31" t="e">
        <f>'Repair Assessment Sheet'!#REF!</f>
        <v>#REF!</v>
      </c>
      <c r="S220" s="31"/>
      <c r="T220" s="31"/>
    </row>
    <row r="221" spans="1:20" ht="15" thickBot="1" x14ac:dyDescent="0.4">
      <c r="A221" s="4">
        <v>208</v>
      </c>
      <c r="B221" s="16"/>
      <c r="C221" s="16"/>
      <c r="D221" s="16"/>
      <c r="E221" s="16"/>
      <c r="F221" s="16"/>
      <c r="G221" s="632" t="e">
        <f>'Repair Assessment Sheet'!#REF!</f>
        <v>#REF!</v>
      </c>
      <c r="H221" s="633"/>
      <c r="I221" s="634"/>
      <c r="J221" s="374"/>
      <c r="K221" s="16" t="e">
        <f>'Repair Assessment Sheet'!#REF!</f>
        <v>#REF!</v>
      </c>
      <c r="L221" s="16"/>
      <c r="M221" s="16" t="e">
        <f>'Repair Assessment Sheet'!#REF!</f>
        <v>#REF!</v>
      </c>
      <c r="N221" s="16" t="e">
        <f>'Repair Assessment Sheet'!#REF!</f>
        <v>#REF!</v>
      </c>
      <c r="O221" s="51" t="e">
        <f>'Repair Assessment Sheet'!#REF!</f>
        <v>#REF!</v>
      </c>
      <c r="P221" s="51"/>
      <c r="Q221" s="31"/>
      <c r="R221" s="31" t="e">
        <f>'Repair Assessment Sheet'!#REF!</f>
        <v>#REF!</v>
      </c>
      <c r="S221" s="31"/>
      <c r="T221" s="31"/>
    </row>
    <row r="222" spans="1:20" ht="15" thickBot="1" x14ac:dyDescent="0.4">
      <c r="A222" s="4">
        <v>209</v>
      </c>
      <c r="B222" s="16"/>
      <c r="C222" s="16"/>
      <c r="D222" s="16"/>
      <c r="E222" s="16"/>
      <c r="F222" s="16"/>
      <c r="G222" s="632" t="e">
        <f>'Repair Assessment Sheet'!#REF!</f>
        <v>#REF!</v>
      </c>
      <c r="H222" s="633"/>
      <c r="I222" s="634"/>
      <c r="J222" s="374"/>
      <c r="K222" s="16" t="e">
        <f>'Repair Assessment Sheet'!#REF!</f>
        <v>#REF!</v>
      </c>
      <c r="L222" s="16"/>
      <c r="M222" s="16" t="e">
        <f>'Repair Assessment Sheet'!#REF!</f>
        <v>#REF!</v>
      </c>
      <c r="N222" s="16" t="e">
        <f>'Repair Assessment Sheet'!#REF!</f>
        <v>#REF!</v>
      </c>
      <c r="O222" s="51" t="e">
        <f>'Repair Assessment Sheet'!#REF!</f>
        <v>#REF!</v>
      </c>
      <c r="P222" s="51"/>
      <c r="Q222" s="31"/>
      <c r="R222" s="31" t="e">
        <f>'Repair Assessment Sheet'!#REF!</f>
        <v>#REF!</v>
      </c>
      <c r="S222" s="31"/>
      <c r="T222" s="31"/>
    </row>
    <row r="223" spans="1:20" ht="15" thickBot="1" x14ac:dyDescent="0.4">
      <c r="A223" s="4">
        <v>210</v>
      </c>
      <c r="B223" s="16"/>
      <c r="C223" s="16"/>
      <c r="D223" s="16"/>
      <c r="E223" s="16"/>
      <c r="F223" s="16"/>
      <c r="G223" s="632" t="e">
        <f>'Repair Assessment Sheet'!#REF!</f>
        <v>#REF!</v>
      </c>
      <c r="H223" s="633"/>
      <c r="I223" s="634"/>
      <c r="J223" s="374"/>
      <c r="K223" s="16" t="e">
        <f>'Repair Assessment Sheet'!#REF!</f>
        <v>#REF!</v>
      </c>
      <c r="L223" s="16"/>
      <c r="M223" s="16" t="e">
        <f>'Repair Assessment Sheet'!#REF!</f>
        <v>#REF!</v>
      </c>
      <c r="N223" s="16" t="e">
        <f>'Repair Assessment Sheet'!#REF!</f>
        <v>#REF!</v>
      </c>
      <c r="O223" s="51" t="e">
        <f>'Repair Assessment Sheet'!#REF!</f>
        <v>#REF!</v>
      </c>
      <c r="P223" s="51"/>
      <c r="Q223" s="31"/>
      <c r="R223" s="31" t="e">
        <f>'Repair Assessment Sheet'!#REF!</f>
        <v>#REF!</v>
      </c>
      <c r="S223" s="31"/>
      <c r="T223" s="31"/>
    </row>
    <row r="224" spans="1:20" ht="15" thickBot="1" x14ac:dyDescent="0.4">
      <c r="A224" s="4">
        <v>211</v>
      </c>
      <c r="B224" s="16"/>
      <c r="C224" s="16"/>
      <c r="D224" s="16"/>
      <c r="E224" s="16"/>
      <c r="F224" s="16"/>
      <c r="G224" s="632" t="e">
        <f>'Repair Assessment Sheet'!#REF!</f>
        <v>#REF!</v>
      </c>
      <c r="H224" s="633"/>
      <c r="I224" s="634"/>
      <c r="J224" s="374"/>
      <c r="K224" s="16" t="e">
        <f>'Repair Assessment Sheet'!#REF!</f>
        <v>#REF!</v>
      </c>
      <c r="L224" s="16"/>
      <c r="M224" s="16" t="e">
        <f>'Repair Assessment Sheet'!#REF!</f>
        <v>#REF!</v>
      </c>
      <c r="N224" s="16" t="e">
        <f>'Repair Assessment Sheet'!#REF!</f>
        <v>#REF!</v>
      </c>
      <c r="O224" s="51" t="e">
        <f>'Repair Assessment Sheet'!#REF!</f>
        <v>#REF!</v>
      </c>
      <c r="P224" s="51"/>
      <c r="Q224" s="31"/>
      <c r="R224" s="31" t="e">
        <f>'Repair Assessment Sheet'!#REF!</f>
        <v>#REF!</v>
      </c>
      <c r="S224" s="31"/>
      <c r="T224" s="31"/>
    </row>
    <row r="225" spans="1:20" ht="15" thickBot="1" x14ac:dyDescent="0.4">
      <c r="A225" s="4">
        <v>212</v>
      </c>
      <c r="B225" s="16"/>
      <c r="C225" s="16"/>
      <c r="D225" s="16"/>
      <c r="E225" s="16"/>
      <c r="F225" s="16"/>
      <c r="G225" s="632" t="e">
        <f>'Repair Assessment Sheet'!#REF!</f>
        <v>#REF!</v>
      </c>
      <c r="H225" s="633"/>
      <c r="I225" s="634"/>
      <c r="J225" s="374"/>
      <c r="K225" s="16" t="e">
        <f>'Repair Assessment Sheet'!#REF!</f>
        <v>#REF!</v>
      </c>
      <c r="L225" s="16"/>
      <c r="M225" s="16" t="e">
        <f>'Repair Assessment Sheet'!#REF!</f>
        <v>#REF!</v>
      </c>
      <c r="N225" s="16" t="e">
        <f>'Repair Assessment Sheet'!#REF!</f>
        <v>#REF!</v>
      </c>
      <c r="O225" s="51" t="e">
        <f>'Repair Assessment Sheet'!#REF!</f>
        <v>#REF!</v>
      </c>
      <c r="P225" s="51"/>
      <c r="Q225" s="31"/>
      <c r="R225" s="31" t="e">
        <f>'Repair Assessment Sheet'!#REF!</f>
        <v>#REF!</v>
      </c>
      <c r="S225" s="31"/>
      <c r="T225" s="31"/>
    </row>
    <row r="226" spans="1:20" ht="15" thickBot="1" x14ac:dyDescent="0.4">
      <c r="A226" s="4">
        <v>213</v>
      </c>
      <c r="B226" s="16"/>
      <c r="C226" s="16"/>
      <c r="D226" s="16"/>
      <c r="E226" s="16"/>
      <c r="F226" s="16"/>
      <c r="G226" s="632" t="e">
        <f>'Repair Assessment Sheet'!#REF!</f>
        <v>#REF!</v>
      </c>
      <c r="H226" s="633"/>
      <c r="I226" s="634"/>
      <c r="J226" s="374"/>
      <c r="K226" s="16" t="e">
        <f>'Repair Assessment Sheet'!#REF!</f>
        <v>#REF!</v>
      </c>
      <c r="L226" s="16"/>
      <c r="M226" s="16" t="e">
        <f>'Repair Assessment Sheet'!#REF!</f>
        <v>#REF!</v>
      </c>
      <c r="N226" s="16" t="e">
        <f>'Repair Assessment Sheet'!#REF!</f>
        <v>#REF!</v>
      </c>
      <c r="O226" s="51" t="e">
        <f>'Repair Assessment Sheet'!#REF!</f>
        <v>#REF!</v>
      </c>
      <c r="P226" s="51"/>
      <c r="Q226" s="31"/>
      <c r="R226" s="31" t="e">
        <f>'Repair Assessment Sheet'!#REF!</f>
        <v>#REF!</v>
      </c>
      <c r="S226" s="31"/>
      <c r="T226" s="31"/>
    </row>
    <row r="227" spans="1:20" ht="15" thickBot="1" x14ac:dyDescent="0.4">
      <c r="A227" s="4">
        <v>214</v>
      </c>
      <c r="B227" s="16"/>
      <c r="C227" s="16"/>
      <c r="D227" s="16"/>
      <c r="E227" s="16"/>
      <c r="F227" s="16"/>
      <c r="G227" s="632" t="e">
        <f>'Repair Assessment Sheet'!#REF!</f>
        <v>#REF!</v>
      </c>
      <c r="H227" s="633"/>
      <c r="I227" s="634"/>
      <c r="J227" s="374"/>
      <c r="K227" s="16" t="e">
        <f>'Repair Assessment Sheet'!#REF!</f>
        <v>#REF!</v>
      </c>
      <c r="L227" s="16"/>
      <c r="M227" s="16" t="e">
        <f>'Repair Assessment Sheet'!#REF!</f>
        <v>#REF!</v>
      </c>
      <c r="N227" s="16" t="e">
        <f>'Repair Assessment Sheet'!#REF!</f>
        <v>#REF!</v>
      </c>
      <c r="O227" s="51" t="e">
        <f>'Repair Assessment Sheet'!#REF!</f>
        <v>#REF!</v>
      </c>
      <c r="P227" s="51"/>
      <c r="Q227" s="31"/>
      <c r="R227" s="31" t="e">
        <f>'Repair Assessment Sheet'!#REF!</f>
        <v>#REF!</v>
      </c>
      <c r="S227" s="31"/>
      <c r="T227" s="31"/>
    </row>
    <row r="228" spans="1:20" ht="15" thickBot="1" x14ac:dyDescent="0.4">
      <c r="A228" s="4">
        <v>215</v>
      </c>
      <c r="B228" s="16"/>
      <c r="C228" s="16"/>
      <c r="D228" s="16"/>
      <c r="E228" s="16"/>
      <c r="F228" s="16"/>
      <c r="G228" s="632" t="e">
        <f>'Repair Assessment Sheet'!#REF!</f>
        <v>#REF!</v>
      </c>
      <c r="H228" s="633"/>
      <c r="I228" s="634"/>
      <c r="J228" s="374"/>
      <c r="K228" s="16" t="e">
        <f>'Repair Assessment Sheet'!#REF!</f>
        <v>#REF!</v>
      </c>
      <c r="L228" s="16"/>
      <c r="M228" s="16" t="e">
        <f>'Repair Assessment Sheet'!#REF!</f>
        <v>#REF!</v>
      </c>
      <c r="N228" s="16" t="e">
        <f>'Repair Assessment Sheet'!#REF!</f>
        <v>#REF!</v>
      </c>
      <c r="O228" s="51" t="e">
        <f>'Repair Assessment Sheet'!#REF!</f>
        <v>#REF!</v>
      </c>
      <c r="P228" s="51"/>
      <c r="Q228" s="31"/>
      <c r="R228" s="31" t="e">
        <f>'Repair Assessment Sheet'!#REF!</f>
        <v>#REF!</v>
      </c>
      <c r="S228" s="31"/>
      <c r="T228" s="31"/>
    </row>
    <row r="229" spans="1:20" ht="15" thickBot="1" x14ac:dyDescent="0.4">
      <c r="A229" s="4">
        <v>216</v>
      </c>
      <c r="B229" s="16"/>
      <c r="C229" s="16"/>
      <c r="D229" s="16"/>
      <c r="E229" s="16"/>
      <c r="F229" s="16"/>
      <c r="G229" s="632" t="e">
        <f>'Repair Assessment Sheet'!#REF!</f>
        <v>#REF!</v>
      </c>
      <c r="H229" s="633"/>
      <c r="I229" s="634"/>
      <c r="J229" s="374"/>
      <c r="K229" s="16" t="e">
        <f>'Repair Assessment Sheet'!#REF!</f>
        <v>#REF!</v>
      </c>
      <c r="L229" s="16"/>
      <c r="M229" s="16" t="e">
        <f>'Repair Assessment Sheet'!#REF!</f>
        <v>#REF!</v>
      </c>
      <c r="N229" s="16" t="e">
        <f>'Repair Assessment Sheet'!#REF!</f>
        <v>#REF!</v>
      </c>
      <c r="O229" s="51" t="e">
        <f>'Repair Assessment Sheet'!#REF!</f>
        <v>#REF!</v>
      </c>
      <c r="P229" s="51"/>
      <c r="Q229" s="31"/>
      <c r="R229" s="31" t="e">
        <f>'Repair Assessment Sheet'!#REF!</f>
        <v>#REF!</v>
      </c>
      <c r="S229" s="31"/>
      <c r="T229" s="31"/>
    </row>
    <row r="230" spans="1:20" ht="15" thickBot="1" x14ac:dyDescent="0.4">
      <c r="A230" s="4">
        <v>217</v>
      </c>
      <c r="B230" s="16"/>
      <c r="C230" s="16"/>
      <c r="D230" s="16"/>
      <c r="E230" s="16"/>
      <c r="F230" s="16"/>
      <c r="G230" s="632" t="e">
        <f>'Repair Assessment Sheet'!#REF!</f>
        <v>#REF!</v>
      </c>
      <c r="H230" s="633"/>
      <c r="I230" s="634"/>
      <c r="J230" s="374"/>
      <c r="K230" s="16" t="e">
        <f>'Repair Assessment Sheet'!#REF!</f>
        <v>#REF!</v>
      </c>
      <c r="L230" s="16"/>
      <c r="M230" s="16" t="e">
        <f>'Repair Assessment Sheet'!#REF!</f>
        <v>#REF!</v>
      </c>
      <c r="N230" s="16" t="e">
        <f>'Repair Assessment Sheet'!#REF!</f>
        <v>#REF!</v>
      </c>
      <c r="O230" s="51" t="e">
        <f>'Repair Assessment Sheet'!#REF!</f>
        <v>#REF!</v>
      </c>
      <c r="P230" s="51"/>
      <c r="Q230" s="31"/>
      <c r="R230" s="31" t="e">
        <f>'Repair Assessment Sheet'!#REF!</f>
        <v>#REF!</v>
      </c>
      <c r="S230" s="31"/>
      <c r="T230" s="31"/>
    </row>
    <row r="231" spans="1:20" ht="15" thickBot="1" x14ac:dyDescent="0.4">
      <c r="A231" s="4">
        <v>218</v>
      </c>
      <c r="B231" s="16"/>
      <c r="C231" s="16"/>
      <c r="D231" s="16"/>
      <c r="E231" s="16"/>
      <c r="F231" s="16"/>
      <c r="G231" s="632" t="e">
        <f>'Repair Assessment Sheet'!#REF!</f>
        <v>#REF!</v>
      </c>
      <c r="H231" s="633"/>
      <c r="I231" s="634"/>
      <c r="J231" s="374"/>
      <c r="K231" s="16" t="e">
        <f>'Repair Assessment Sheet'!#REF!</f>
        <v>#REF!</v>
      </c>
      <c r="L231" s="5"/>
      <c r="M231" s="16" t="e">
        <f>'Repair Assessment Sheet'!#REF!</f>
        <v>#REF!</v>
      </c>
      <c r="N231" s="16" t="e">
        <f>'Repair Assessment Sheet'!#REF!</f>
        <v>#REF!</v>
      </c>
      <c r="O231" s="51" t="e">
        <f>'Repair Assessment Sheet'!#REF!</f>
        <v>#REF!</v>
      </c>
      <c r="P231" s="51"/>
      <c r="Q231" s="31"/>
      <c r="R231" s="31" t="e">
        <f>'Repair Assessment Sheet'!#REF!</f>
        <v>#REF!</v>
      </c>
      <c r="S231" s="31"/>
      <c r="T231" s="31"/>
    </row>
    <row r="232" spans="1:20" ht="15" thickBot="1" x14ac:dyDescent="0.4">
      <c r="A232" s="4">
        <v>219</v>
      </c>
      <c r="B232" s="16"/>
      <c r="C232" s="16"/>
      <c r="D232" s="16"/>
      <c r="E232" s="16"/>
      <c r="F232" s="16"/>
      <c r="G232" s="632" t="e">
        <f>'Repair Assessment Sheet'!#REF!</f>
        <v>#REF!</v>
      </c>
      <c r="H232" s="633"/>
      <c r="I232" s="634"/>
      <c r="J232" s="374"/>
      <c r="K232" s="16" t="e">
        <f>'Repair Assessment Sheet'!#REF!</f>
        <v>#REF!</v>
      </c>
      <c r="L232" s="5"/>
      <c r="M232" s="16" t="e">
        <f>'Repair Assessment Sheet'!#REF!</f>
        <v>#REF!</v>
      </c>
      <c r="N232" s="16" t="e">
        <f>'Repair Assessment Sheet'!#REF!</f>
        <v>#REF!</v>
      </c>
      <c r="O232" s="51" t="e">
        <f>'Repair Assessment Sheet'!#REF!</f>
        <v>#REF!</v>
      </c>
      <c r="P232" s="51"/>
      <c r="Q232" s="31"/>
      <c r="R232" s="31" t="e">
        <f>'Repair Assessment Sheet'!#REF!</f>
        <v>#REF!</v>
      </c>
      <c r="S232" s="31"/>
      <c r="T232" s="31"/>
    </row>
    <row r="233" spans="1:20" ht="15" thickBot="1" x14ac:dyDescent="0.4">
      <c r="A233" s="4">
        <v>220</v>
      </c>
      <c r="B233" s="16"/>
      <c r="C233" s="16"/>
      <c r="D233" s="16"/>
      <c r="E233" s="16"/>
      <c r="F233" s="16"/>
      <c r="G233" s="632" t="e">
        <f>'Repair Assessment Sheet'!#REF!</f>
        <v>#REF!</v>
      </c>
      <c r="H233" s="633"/>
      <c r="I233" s="634"/>
      <c r="J233" s="374"/>
      <c r="K233" s="16" t="e">
        <f>'Repair Assessment Sheet'!#REF!</f>
        <v>#REF!</v>
      </c>
      <c r="L233" s="16"/>
      <c r="M233" s="16" t="e">
        <f>'Repair Assessment Sheet'!#REF!</f>
        <v>#REF!</v>
      </c>
      <c r="N233" s="16" t="e">
        <f>'Repair Assessment Sheet'!#REF!</f>
        <v>#REF!</v>
      </c>
      <c r="O233" s="51" t="e">
        <f>'Repair Assessment Sheet'!#REF!</f>
        <v>#REF!</v>
      </c>
      <c r="P233" s="51"/>
      <c r="Q233" s="31"/>
      <c r="R233" s="31" t="e">
        <f>'Repair Assessment Sheet'!#REF!</f>
        <v>#REF!</v>
      </c>
      <c r="S233" s="31"/>
      <c r="T233" s="31"/>
    </row>
    <row r="234" spans="1:20" ht="15" thickBot="1" x14ac:dyDescent="0.4">
      <c r="A234" s="4">
        <v>221</v>
      </c>
      <c r="B234" s="16"/>
      <c r="C234" s="16"/>
      <c r="D234" s="16"/>
      <c r="E234" s="16"/>
      <c r="F234" s="16"/>
      <c r="G234" s="632" t="e">
        <f>'Repair Assessment Sheet'!#REF!</f>
        <v>#REF!</v>
      </c>
      <c r="H234" s="633"/>
      <c r="I234" s="634"/>
      <c r="J234" s="374"/>
      <c r="K234" s="16" t="e">
        <f>'Repair Assessment Sheet'!#REF!</f>
        <v>#REF!</v>
      </c>
      <c r="L234" s="16"/>
      <c r="M234" s="16" t="e">
        <f>'Repair Assessment Sheet'!#REF!</f>
        <v>#REF!</v>
      </c>
      <c r="N234" s="16" t="e">
        <f>'Repair Assessment Sheet'!#REF!</f>
        <v>#REF!</v>
      </c>
      <c r="O234" s="51" t="e">
        <f>'Repair Assessment Sheet'!#REF!</f>
        <v>#REF!</v>
      </c>
      <c r="P234" s="51"/>
      <c r="Q234" s="31"/>
      <c r="R234" s="31" t="e">
        <f>'Repair Assessment Sheet'!#REF!</f>
        <v>#REF!</v>
      </c>
      <c r="S234" s="31"/>
      <c r="T234" s="31"/>
    </row>
    <row r="235" spans="1:20" ht="15" thickBot="1" x14ac:dyDescent="0.4">
      <c r="A235" s="4">
        <v>222</v>
      </c>
      <c r="B235" s="16"/>
      <c r="C235" s="16"/>
      <c r="D235" s="16"/>
      <c r="E235" s="16"/>
      <c r="F235" s="16"/>
      <c r="G235" s="632" t="e">
        <f>'Repair Assessment Sheet'!#REF!</f>
        <v>#REF!</v>
      </c>
      <c r="H235" s="633"/>
      <c r="I235" s="634"/>
      <c r="J235" s="374"/>
      <c r="K235" s="16" t="e">
        <f>'Repair Assessment Sheet'!#REF!</f>
        <v>#REF!</v>
      </c>
      <c r="L235" s="16"/>
      <c r="M235" s="16" t="e">
        <f>'Repair Assessment Sheet'!#REF!</f>
        <v>#REF!</v>
      </c>
      <c r="N235" s="16" t="e">
        <f>'Repair Assessment Sheet'!#REF!</f>
        <v>#REF!</v>
      </c>
      <c r="O235" s="51" t="e">
        <f>'Repair Assessment Sheet'!#REF!</f>
        <v>#REF!</v>
      </c>
      <c r="P235" s="51"/>
      <c r="Q235" s="31"/>
      <c r="R235" s="31" t="e">
        <f>'Repair Assessment Sheet'!#REF!</f>
        <v>#REF!</v>
      </c>
      <c r="S235" s="31"/>
      <c r="T235" s="31"/>
    </row>
    <row r="236" spans="1:20" ht="15" thickBot="1" x14ac:dyDescent="0.4">
      <c r="A236" s="4">
        <v>223</v>
      </c>
      <c r="B236" s="16"/>
      <c r="C236" s="16"/>
      <c r="D236" s="16"/>
      <c r="E236" s="16"/>
      <c r="F236" s="16"/>
      <c r="G236" s="632" t="e">
        <f>'Repair Assessment Sheet'!#REF!</f>
        <v>#REF!</v>
      </c>
      <c r="H236" s="633"/>
      <c r="I236" s="634"/>
      <c r="J236" s="374"/>
      <c r="K236" s="16" t="e">
        <f>'Repair Assessment Sheet'!#REF!</f>
        <v>#REF!</v>
      </c>
      <c r="L236" s="16"/>
      <c r="M236" s="16" t="e">
        <f>'Repair Assessment Sheet'!#REF!</f>
        <v>#REF!</v>
      </c>
      <c r="N236" s="16" t="e">
        <f>'Repair Assessment Sheet'!#REF!</f>
        <v>#REF!</v>
      </c>
      <c r="O236" s="51" t="e">
        <f>'Repair Assessment Sheet'!#REF!</f>
        <v>#REF!</v>
      </c>
      <c r="P236" s="51"/>
      <c r="Q236" s="31"/>
      <c r="R236" s="31" t="e">
        <f>'Repair Assessment Sheet'!#REF!</f>
        <v>#REF!</v>
      </c>
      <c r="S236" s="31"/>
      <c r="T236" s="31"/>
    </row>
    <row r="237" spans="1:20" ht="15" thickBot="1" x14ac:dyDescent="0.4">
      <c r="A237" s="4">
        <v>224</v>
      </c>
      <c r="B237" s="16"/>
      <c r="C237" s="16"/>
      <c r="D237" s="16"/>
      <c r="E237" s="16"/>
      <c r="F237" s="16"/>
      <c r="G237" s="632" t="e">
        <f>'Repair Assessment Sheet'!#REF!</f>
        <v>#REF!</v>
      </c>
      <c r="H237" s="633"/>
      <c r="I237" s="634"/>
      <c r="J237" s="374"/>
      <c r="K237" s="16" t="e">
        <f>'Repair Assessment Sheet'!#REF!</f>
        <v>#REF!</v>
      </c>
      <c r="L237" s="16"/>
      <c r="M237" s="16" t="e">
        <f>'Repair Assessment Sheet'!#REF!</f>
        <v>#REF!</v>
      </c>
      <c r="N237" s="16" t="e">
        <f>'Repair Assessment Sheet'!#REF!</f>
        <v>#REF!</v>
      </c>
      <c r="O237" s="51" t="e">
        <f>'Repair Assessment Sheet'!#REF!</f>
        <v>#REF!</v>
      </c>
      <c r="P237" s="51"/>
      <c r="Q237" s="31"/>
      <c r="R237" s="31" t="e">
        <f>'Repair Assessment Sheet'!#REF!</f>
        <v>#REF!</v>
      </c>
      <c r="S237" s="31"/>
      <c r="T237" s="31"/>
    </row>
    <row r="238" spans="1:20" ht="15" thickBot="1" x14ac:dyDescent="0.4">
      <c r="A238" s="4">
        <v>225</v>
      </c>
      <c r="B238" s="16"/>
      <c r="C238" s="16"/>
      <c r="D238" s="16"/>
      <c r="E238" s="16"/>
      <c r="F238" s="16"/>
      <c r="G238" s="632" t="e">
        <f>'Repair Assessment Sheet'!#REF!</f>
        <v>#REF!</v>
      </c>
      <c r="H238" s="633"/>
      <c r="I238" s="634"/>
      <c r="J238" s="374"/>
      <c r="K238" s="16" t="e">
        <f>'Repair Assessment Sheet'!#REF!</f>
        <v>#REF!</v>
      </c>
      <c r="L238" s="16"/>
      <c r="M238" s="16" t="e">
        <f>'Repair Assessment Sheet'!#REF!</f>
        <v>#REF!</v>
      </c>
      <c r="N238" s="16" t="e">
        <f>'Repair Assessment Sheet'!#REF!</f>
        <v>#REF!</v>
      </c>
      <c r="O238" s="51" t="e">
        <f>'Repair Assessment Sheet'!#REF!</f>
        <v>#REF!</v>
      </c>
      <c r="P238" s="51"/>
      <c r="Q238" s="31"/>
      <c r="R238" s="31" t="e">
        <f>'Repair Assessment Sheet'!#REF!</f>
        <v>#REF!</v>
      </c>
      <c r="S238" s="31"/>
      <c r="T238" s="31"/>
    </row>
    <row r="239" spans="1:20" ht="15" thickBot="1" x14ac:dyDescent="0.4">
      <c r="A239" s="4">
        <v>226</v>
      </c>
      <c r="B239" s="16"/>
      <c r="C239" s="16"/>
      <c r="D239" s="16"/>
      <c r="E239" s="16"/>
      <c r="F239" s="16"/>
      <c r="G239" s="632" t="e">
        <f>'Repair Assessment Sheet'!#REF!</f>
        <v>#REF!</v>
      </c>
      <c r="H239" s="633"/>
      <c r="I239" s="634"/>
      <c r="J239" s="374"/>
      <c r="K239" s="16" t="e">
        <f>'Repair Assessment Sheet'!#REF!</f>
        <v>#REF!</v>
      </c>
      <c r="L239" s="16"/>
      <c r="M239" s="16" t="e">
        <f>'Repair Assessment Sheet'!#REF!</f>
        <v>#REF!</v>
      </c>
      <c r="N239" s="16" t="e">
        <f>'Repair Assessment Sheet'!#REF!</f>
        <v>#REF!</v>
      </c>
      <c r="O239" s="51" t="e">
        <f>'Repair Assessment Sheet'!#REF!</f>
        <v>#REF!</v>
      </c>
      <c r="P239" s="51"/>
      <c r="Q239" s="31"/>
      <c r="R239" s="31" t="e">
        <f>'Repair Assessment Sheet'!#REF!</f>
        <v>#REF!</v>
      </c>
      <c r="S239" s="31"/>
      <c r="T239" s="31"/>
    </row>
    <row r="240" spans="1:20" ht="15" thickBot="1" x14ac:dyDescent="0.4">
      <c r="A240" s="4">
        <v>227</v>
      </c>
      <c r="B240" s="16"/>
      <c r="C240" s="16"/>
      <c r="D240" s="16"/>
      <c r="E240" s="16"/>
      <c r="F240" s="16"/>
      <c r="G240" s="632" t="e">
        <f>'Repair Assessment Sheet'!#REF!</f>
        <v>#REF!</v>
      </c>
      <c r="H240" s="633"/>
      <c r="I240" s="634"/>
      <c r="J240" s="374"/>
      <c r="K240" s="16" t="e">
        <f>'Repair Assessment Sheet'!#REF!</f>
        <v>#REF!</v>
      </c>
      <c r="L240" s="16"/>
      <c r="M240" s="16" t="e">
        <f>'Repair Assessment Sheet'!#REF!</f>
        <v>#REF!</v>
      </c>
      <c r="N240" s="16" t="e">
        <f>'Repair Assessment Sheet'!#REF!</f>
        <v>#REF!</v>
      </c>
      <c r="O240" s="51" t="e">
        <f>'Repair Assessment Sheet'!#REF!</f>
        <v>#REF!</v>
      </c>
      <c r="P240" s="51"/>
      <c r="Q240" s="31"/>
      <c r="R240" s="31" t="e">
        <f>'Repair Assessment Sheet'!#REF!</f>
        <v>#REF!</v>
      </c>
      <c r="S240" s="31"/>
      <c r="T240" s="31"/>
    </row>
    <row r="241" spans="1:20" ht="15" thickBot="1" x14ac:dyDescent="0.4">
      <c r="A241" s="4">
        <v>228</v>
      </c>
      <c r="B241" s="16"/>
      <c r="C241" s="16"/>
      <c r="D241" s="16"/>
      <c r="E241" s="16"/>
      <c r="F241" s="16"/>
      <c r="G241" s="632" t="e">
        <f>'Repair Assessment Sheet'!#REF!</f>
        <v>#REF!</v>
      </c>
      <c r="H241" s="633"/>
      <c r="I241" s="634"/>
      <c r="J241" s="374"/>
      <c r="K241" s="16" t="e">
        <f>'Repair Assessment Sheet'!#REF!</f>
        <v>#REF!</v>
      </c>
      <c r="L241" s="16"/>
      <c r="M241" s="16" t="e">
        <f>'Repair Assessment Sheet'!#REF!</f>
        <v>#REF!</v>
      </c>
      <c r="N241" s="16" t="e">
        <f>'Repair Assessment Sheet'!#REF!</f>
        <v>#REF!</v>
      </c>
      <c r="O241" s="51" t="e">
        <f>'Repair Assessment Sheet'!#REF!</f>
        <v>#REF!</v>
      </c>
      <c r="P241" s="51"/>
      <c r="Q241" s="31"/>
      <c r="R241" s="31" t="e">
        <f>'Repair Assessment Sheet'!#REF!</f>
        <v>#REF!</v>
      </c>
      <c r="S241" s="31"/>
      <c r="T241" s="31"/>
    </row>
    <row r="242" spans="1:20" ht="15" thickBot="1" x14ac:dyDescent="0.4">
      <c r="A242" s="4">
        <v>229</v>
      </c>
      <c r="B242" s="16"/>
      <c r="C242" s="16"/>
      <c r="D242" s="16"/>
      <c r="E242" s="16"/>
      <c r="F242" s="16"/>
      <c r="G242" s="632" t="e">
        <f>'Repair Assessment Sheet'!#REF!</f>
        <v>#REF!</v>
      </c>
      <c r="H242" s="633"/>
      <c r="I242" s="634"/>
      <c r="J242" s="374"/>
      <c r="K242" s="16" t="e">
        <f>'Repair Assessment Sheet'!#REF!</f>
        <v>#REF!</v>
      </c>
      <c r="L242" s="16"/>
      <c r="M242" s="16" t="e">
        <f>'Repair Assessment Sheet'!#REF!</f>
        <v>#REF!</v>
      </c>
      <c r="N242" s="16" t="e">
        <f>'Repair Assessment Sheet'!#REF!</f>
        <v>#REF!</v>
      </c>
      <c r="O242" s="51" t="e">
        <f>'Repair Assessment Sheet'!#REF!</f>
        <v>#REF!</v>
      </c>
      <c r="P242" s="51"/>
      <c r="Q242" s="31"/>
      <c r="R242" s="31" t="e">
        <f>'Repair Assessment Sheet'!#REF!</f>
        <v>#REF!</v>
      </c>
      <c r="S242" s="31"/>
      <c r="T242" s="31"/>
    </row>
    <row r="243" spans="1:20" ht="15" thickBot="1" x14ac:dyDescent="0.4">
      <c r="A243" s="4">
        <v>230</v>
      </c>
      <c r="B243" s="16"/>
      <c r="C243" s="16"/>
      <c r="D243" s="16"/>
      <c r="E243" s="16"/>
      <c r="F243" s="16"/>
      <c r="G243" s="632" t="e">
        <f>'Repair Assessment Sheet'!#REF!</f>
        <v>#REF!</v>
      </c>
      <c r="H243" s="633"/>
      <c r="I243" s="634"/>
      <c r="J243" s="374"/>
      <c r="K243" s="16" t="e">
        <f>'Repair Assessment Sheet'!#REF!</f>
        <v>#REF!</v>
      </c>
      <c r="L243" s="16"/>
      <c r="M243" s="16" t="e">
        <f>'Repair Assessment Sheet'!#REF!</f>
        <v>#REF!</v>
      </c>
      <c r="N243" s="16" t="e">
        <f>'Repair Assessment Sheet'!#REF!</f>
        <v>#REF!</v>
      </c>
      <c r="O243" s="51" t="e">
        <f>'Repair Assessment Sheet'!#REF!</f>
        <v>#REF!</v>
      </c>
      <c r="P243" s="51"/>
      <c r="Q243" s="31"/>
      <c r="R243" s="31" t="e">
        <f>'Repair Assessment Sheet'!#REF!</f>
        <v>#REF!</v>
      </c>
      <c r="S243" s="31"/>
      <c r="T243" s="31"/>
    </row>
    <row r="244" spans="1:20" ht="15" thickBot="1" x14ac:dyDescent="0.4">
      <c r="A244" s="4">
        <v>231</v>
      </c>
      <c r="B244" s="16"/>
      <c r="C244" s="16"/>
      <c r="D244" s="16"/>
      <c r="E244" s="16"/>
      <c r="F244" s="16"/>
      <c r="G244" s="632" t="e">
        <f>'Repair Assessment Sheet'!#REF!</f>
        <v>#REF!</v>
      </c>
      <c r="H244" s="633"/>
      <c r="I244" s="634"/>
      <c r="J244" s="374"/>
      <c r="K244" s="16" t="e">
        <f>'Repair Assessment Sheet'!#REF!</f>
        <v>#REF!</v>
      </c>
      <c r="L244" s="16"/>
      <c r="M244" s="16" t="e">
        <f>'Repair Assessment Sheet'!#REF!</f>
        <v>#REF!</v>
      </c>
      <c r="N244" s="16" t="e">
        <f>'Repair Assessment Sheet'!#REF!</f>
        <v>#REF!</v>
      </c>
      <c r="O244" s="51" t="e">
        <f>'Repair Assessment Sheet'!#REF!</f>
        <v>#REF!</v>
      </c>
      <c r="P244" s="51"/>
      <c r="Q244" s="31"/>
      <c r="R244" s="31" t="e">
        <f>'Repair Assessment Sheet'!#REF!</f>
        <v>#REF!</v>
      </c>
      <c r="S244" s="31"/>
      <c r="T244" s="31"/>
    </row>
    <row r="245" spans="1:20" ht="15" thickBot="1" x14ac:dyDescent="0.4">
      <c r="A245" s="4">
        <v>232</v>
      </c>
      <c r="B245" s="16"/>
      <c r="C245" s="16"/>
      <c r="D245" s="16"/>
      <c r="E245" s="16"/>
      <c r="F245" s="16"/>
      <c r="G245" s="632" t="e">
        <f>'Repair Assessment Sheet'!#REF!</f>
        <v>#REF!</v>
      </c>
      <c r="H245" s="633"/>
      <c r="I245" s="634"/>
      <c r="J245" s="374"/>
      <c r="K245" s="16" t="e">
        <f>'Repair Assessment Sheet'!#REF!</f>
        <v>#REF!</v>
      </c>
      <c r="L245" s="16"/>
      <c r="M245" s="16" t="e">
        <f>'Repair Assessment Sheet'!#REF!</f>
        <v>#REF!</v>
      </c>
      <c r="N245" s="16" t="e">
        <f>'Repair Assessment Sheet'!#REF!</f>
        <v>#REF!</v>
      </c>
      <c r="O245" s="51" t="e">
        <f>'Repair Assessment Sheet'!#REF!</f>
        <v>#REF!</v>
      </c>
      <c r="P245" s="51"/>
      <c r="Q245" s="31"/>
      <c r="R245" s="31" t="e">
        <f>'Repair Assessment Sheet'!#REF!</f>
        <v>#REF!</v>
      </c>
      <c r="S245" s="31"/>
      <c r="T245" s="31"/>
    </row>
    <row r="246" spans="1:20" ht="15" thickBot="1" x14ac:dyDescent="0.4">
      <c r="A246" s="4">
        <v>233</v>
      </c>
      <c r="B246" s="16"/>
      <c r="C246" s="16"/>
      <c r="D246" s="16"/>
      <c r="E246" s="16"/>
      <c r="F246" s="16"/>
      <c r="G246" s="632" t="e">
        <f>'Repair Assessment Sheet'!#REF!</f>
        <v>#REF!</v>
      </c>
      <c r="H246" s="633"/>
      <c r="I246" s="634"/>
      <c r="J246" s="374"/>
      <c r="K246" s="16" t="e">
        <f>'Repair Assessment Sheet'!#REF!</f>
        <v>#REF!</v>
      </c>
      <c r="L246" s="16"/>
      <c r="M246" s="16" t="e">
        <f>'Repair Assessment Sheet'!#REF!</f>
        <v>#REF!</v>
      </c>
      <c r="N246" s="16" t="e">
        <f>'Repair Assessment Sheet'!#REF!</f>
        <v>#REF!</v>
      </c>
      <c r="O246" s="51" t="e">
        <f>'Repair Assessment Sheet'!#REF!</f>
        <v>#REF!</v>
      </c>
      <c r="P246" s="51"/>
      <c r="Q246" s="31"/>
      <c r="R246" s="31" t="e">
        <f>'Repair Assessment Sheet'!#REF!</f>
        <v>#REF!</v>
      </c>
      <c r="S246" s="31"/>
      <c r="T246" s="31"/>
    </row>
    <row r="247" spans="1:20" ht="15" thickBot="1" x14ac:dyDescent="0.4">
      <c r="A247" s="4">
        <v>234</v>
      </c>
      <c r="B247" s="16"/>
      <c r="C247" s="16"/>
      <c r="D247" s="16"/>
      <c r="E247" s="16"/>
      <c r="F247" s="16"/>
      <c r="G247" s="632" t="e">
        <f>'Repair Assessment Sheet'!#REF!</f>
        <v>#REF!</v>
      </c>
      <c r="H247" s="633"/>
      <c r="I247" s="634"/>
      <c r="J247" s="374"/>
      <c r="K247" s="16" t="e">
        <f>'Repair Assessment Sheet'!#REF!</f>
        <v>#REF!</v>
      </c>
      <c r="L247" s="16"/>
      <c r="M247" s="16" t="e">
        <f>'Repair Assessment Sheet'!#REF!</f>
        <v>#REF!</v>
      </c>
      <c r="N247" s="16" t="e">
        <f>'Repair Assessment Sheet'!#REF!</f>
        <v>#REF!</v>
      </c>
      <c r="O247" s="51" t="e">
        <f>'Repair Assessment Sheet'!#REF!</f>
        <v>#REF!</v>
      </c>
      <c r="P247" s="51"/>
      <c r="Q247" s="31"/>
      <c r="R247" s="31" t="e">
        <f>'Repair Assessment Sheet'!#REF!</f>
        <v>#REF!</v>
      </c>
      <c r="S247" s="31"/>
      <c r="T247" s="31"/>
    </row>
    <row r="248" spans="1:20" ht="15" thickBot="1" x14ac:dyDescent="0.4">
      <c r="A248" s="4">
        <v>235</v>
      </c>
      <c r="B248" s="16"/>
      <c r="C248" s="16"/>
      <c r="D248" s="16"/>
      <c r="E248" s="16"/>
      <c r="F248" s="16"/>
      <c r="G248" s="632" t="e">
        <f>'Repair Assessment Sheet'!#REF!</f>
        <v>#REF!</v>
      </c>
      <c r="H248" s="633"/>
      <c r="I248" s="634"/>
      <c r="J248" s="374"/>
      <c r="K248" s="16" t="e">
        <f>'Repair Assessment Sheet'!#REF!</f>
        <v>#REF!</v>
      </c>
      <c r="L248" s="16"/>
      <c r="M248" s="16" t="e">
        <f>'Repair Assessment Sheet'!#REF!</f>
        <v>#REF!</v>
      </c>
      <c r="N248" s="16" t="e">
        <f>'Repair Assessment Sheet'!#REF!</f>
        <v>#REF!</v>
      </c>
      <c r="O248" s="51" t="e">
        <f>'Repair Assessment Sheet'!#REF!</f>
        <v>#REF!</v>
      </c>
      <c r="P248" s="51"/>
      <c r="Q248" s="31"/>
      <c r="R248" s="31" t="e">
        <f>'Repair Assessment Sheet'!#REF!</f>
        <v>#REF!</v>
      </c>
      <c r="S248" s="31"/>
      <c r="T248" s="31"/>
    </row>
    <row r="249" spans="1:20" ht="15" thickBot="1" x14ac:dyDescent="0.4">
      <c r="A249" s="4">
        <v>236</v>
      </c>
      <c r="B249" s="16"/>
      <c r="C249" s="16"/>
      <c r="D249" s="16"/>
      <c r="E249" s="16"/>
      <c r="F249" s="16"/>
      <c r="G249" s="632" t="e">
        <f>'Repair Assessment Sheet'!#REF!</f>
        <v>#REF!</v>
      </c>
      <c r="H249" s="633"/>
      <c r="I249" s="634"/>
      <c r="J249" s="374"/>
      <c r="K249" s="16" t="e">
        <f>'Repair Assessment Sheet'!#REF!</f>
        <v>#REF!</v>
      </c>
      <c r="L249" s="16"/>
      <c r="M249" s="16" t="e">
        <f>'Repair Assessment Sheet'!#REF!</f>
        <v>#REF!</v>
      </c>
      <c r="N249" s="16" t="e">
        <f>'Repair Assessment Sheet'!#REF!</f>
        <v>#REF!</v>
      </c>
      <c r="O249" s="51" t="e">
        <f>'Repair Assessment Sheet'!#REF!</f>
        <v>#REF!</v>
      </c>
      <c r="P249" s="51"/>
      <c r="Q249" s="31"/>
      <c r="R249" s="31" t="e">
        <f>'Repair Assessment Sheet'!#REF!</f>
        <v>#REF!</v>
      </c>
      <c r="S249" s="31"/>
      <c r="T249" s="31"/>
    </row>
    <row r="250" spans="1:20" ht="15" thickBot="1" x14ac:dyDescent="0.4">
      <c r="A250" s="4">
        <v>237</v>
      </c>
      <c r="B250" s="16"/>
      <c r="C250" s="16"/>
      <c r="D250" s="16"/>
      <c r="E250" s="16"/>
      <c r="F250" s="16"/>
      <c r="G250" s="632" t="e">
        <f>'Repair Assessment Sheet'!#REF!</f>
        <v>#REF!</v>
      </c>
      <c r="H250" s="633"/>
      <c r="I250" s="634"/>
      <c r="J250" s="374"/>
      <c r="K250" s="16" t="e">
        <f>'Repair Assessment Sheet'!#REF!</f>
        <v>#REF!</v>
      </c>
      <c r="L250" s="16"/>
      <c r="M250" s="16" t="e">
        <f>'Repair Assessment Sheet'!#REF!</f>
        <v>#REF!</v>
      </c>
      <c r="N250" s="16" t="e">
        <f>'Repair Assessment Sheet'!#REF!</f>
        <v>#REF!</v>
      </c>
      <c r="O250" s="51" t="e">
        <f>'Repair Assessment Sheet'!#REF!</f>
        <v>#REF!</v>
      </c>
      <c r="P250" s="51"/>
      <c r="Q250" s="31"/>
      <c r="R250" s="31" t="e">
        <f>'Repair Assessment Sheet'!#REF!</f>
        <v>#REF!</v>
      </c>
      <c r="S250" s="31"/>
      <c r="T250" s="31"/>
    </row>
    <row r="251" spans="1:20" ht="15" thickBot="1" x14ac:dyDescent="0.4">
      <c r="A251" s="4">
        <v>238</v>
      </c>
      <c r="B251" s="16"/>
      <c r="C251" s="16"/>
      <c r="D251" s="16"/>
      <c r="E251" s="16"/>
      <c r="F251" s="16"/>
      <c r="G251" s="632" t="e">
        <f>'Repair Assessment Sheet'!#REF!</f>
        <v>#REF!</v>
      </c>
      <c r="H251" s="633"/>
      <c r="I251" s="634"/>
      <c r="J251" s="374"/>
      <c r="K251" s="16" t="e">
        <f>'Repair Assessment Sheet'!#REF!</f>
        <v>#REF!</v>
      </c>
      <c r="L251" s="5"/>
      <c r="M251" s="16" t="e">
        <f>'Repair Assessment Sheet'!#REF!</f>
        <v>#REF!</v>
      </c>
      <c r="N251" s="16" t="e">
        <f>'Repair Assessment Sheet'!#REF!</f>
        <v>#REF!</v>
      </c>
      <c r="O251" s="51" t="e">
        <f>'Repair Assessment Sheet'!#REF!</f>
        <v>#REF!</v>
      </c>
      <c r="P251" s="51"/>
      <c r="Q251" s="31"/>
      <c r="R251" s="31" t="e">
        <f>'Repair Assessment Sheet'!#REF!</f>
        <v>#REF!</v>
      </c>
      <c r="S251" s="31"/>
      <c r="T251" s="31"/>
    </row>
    <row r="252" spans="1:20" ht="15" thickBot="1" x14ac:dyDescent="0.4">
      <c r="A252" s="4">
        <v>239</v>
      </c>
      <c r="B252" s="16"/>
      <c r="C252" s="16"/>
      <c r="D252" s="16"/>
      <c r="E252" s="16"/>
      <c r="F252" s="16"/>
      <c r="G252" s="632" t="e">
        <f>'Repair Assessment Sheet'!#REF!</f>
        <v>#REF!</v>
      </c>
      <c r="H252" s="633"/>
      <c r="I252" s="634"/>
      <c r="J252" s="374"/>
      <c r="K252" s="16" t="e">
        <f>'Repair Assessment Sheet'!#REF!</f>
        <v>#REF!</v>
      </c>
      <c r="L252" s="5"/>
      <c r="M252" s="16" t="e">
        <f>'Repair Assessment Sheet'!#REF!</f>
        <v>#REF!</v>
      </c>
      <c r="N252" s="16" t="e">
        <f>'Repair Assessment Sheet'!#REF!</f>
        <v>#REF!</v>
      </c>
      <c r="O252" s="51" t="e">
        <f>'Repair Assessment Sheet'!#REF!</f>
        <v>#REF!</v>
      </c>
      <c r="P252" s="51"/>
      <c r="Q252" s="31"/>
      <c r="R252" s="31" t="e">
        <f>'Repair Assessment Sheet'!#REF!</f>
        <v>#REF!</v>
      </c>
      <c r="S252" s="31"/>
      <c r="T252" s="31"/>
    </row>
    <row r="253" spans="1:20" ht="15" thickBot="1" x14ac:dyDescent="0.4">
      <c r="A253" s="4">
        <v>240</v>
      </c>
      <c r="B253" s="16"/>
      <c r="C253" s="16"/>
      <c r="D253" s="16"/>
      <c r="E253" s="16"/>
      <c r="F253" s="16"/>
      <c r="G253" s="632" t="e">
        <f>'Repair Assessment Sheet'!#REF!</f>
        <v>#REF!</v>
      </c>
      <c r="H253" s="633"/>
      <c r="I253" s="634"/>
      <c r="J253" s="374"/>
      <c r="K253" s="16" t="e">
        <f>'Repair Assessment Sheet'!#REF!</f>
        <v>#REF!</v>
      </c>
      <c r="L253" s="5"/>
      <c r="M253" s="16" t="e">
        <f>'Repair Assessment Sheet'!#REF!</f>
        <v>#REF!</v>
      </c>
      <c r="N253" s="16" t="e">
        <f>'Repair Assessment Sheet'!#REF!</f>
        <v>#REF!</v>
      </c>
      <c r="O253" s="51" t="e">
        <f>'Repair Assessment Sheet'!#REF!</f>
        <v>#REF!</v>
      </c>
      <c r="P253" s="51"/>
      <c r="Q253" s="31"/>
      <c r="R253" s="31" t="e">
        <f>'Repair Assessment Sheet'!#REF!</f>
        <v>#REF!</v>
      </c>
      <c r="S253" s="31"/>
      <c r="T253" s="31"/>
    </row>
    <row r="254" spans="1:20" ht="15" thickBot="1" x14ac:dyDescent="0.4">
      <c r="A254" s="4">
        <v>241</v>
      </c>
      <c r="B254" s="16"/>
      <c r="C254" s="16"/>
      <c r="D254" s="16"/>
      <c r="E254" s="16"/>
      <c r="F254" s="16"/>
      <c r="G254" s="632" t="e">
        <f>'Repair Assessment Sheet'!#REF!</f>
        <v>#REF!</v>
      </c>
      <c r="H254" s="633"/>
      <c r="I254" s="634"/>
      <c r="J254" s="374"/>
      <c r="K254" s="16" t="e">
        <f>'Repair Assessment Sheet'!#REF!</f>
        <v>#REF!</v>
      </c>
      <c r="L254" s="5"/>
      <c r="M254" s="16" t="e">
        <f>'Repair Assessment Sheet'!#REF!</f>
        <v>#REF!</v>
      </c>
      <c r="N254" s="16" t="e">
        <f>'Repair Assessment Sheet'!#REF!</f>
        <v>#REF!</v>
      </c>
      <c r="O254" s="51" t="e">
        <f>'Repair Assessment Sheet'!#REF!</f>
        <v>#REF!</v>
      </c>
      <c r="P254" s="51"/>
      <c r="Q254" s="31"/>
      <c r="R254" s="31" t="e">
        <f>'Repair Assessment Sheet'!#REF!</f>
        <v>#REF!</v>
      </c>
      <c r="S254" s="31"/>
      <c r="T254" s="31"/>
    </row>
    <row r="255" spans="1:20" ht="15" thickBot="1" x14ac:dyDescent="0.4">
      <c r="A255" s="4">
        <v>242</v>
      </c>
      <c r="B255" s="16"/>
      <c r="C255" s="16"/>
      <c r="D255" s="16"/>
      <c r="E255" s="16"/>
      <c r="F255" s="16"/>
      <c r="G255" s="632" t="e">
        <f>'Repair Assessment Sheet'!#REF!</f>
        <v>#REF!</v>
      </c>
      <c r="H255" s="633"/>
      <c r="I255" s="634"/>
      <c r="J255" s="374"/>
      <c r="K255" s="16" t="e">
        <f>'Repair Assessment Sheet'!#REF!</f>
        <v>#REF!</v>
      </c>
      <c r="L255" s="5"/>
      <c r="M255" s="16" t="e">
        <f>'Repair Assessment Sheet'!#REF!</f>
        <v>#REF!</v>
      </c>
      <c r="N255" s="16" t="e">
        <f>'Repair Assessment Sheet'!#REF!</f>
        <v>#REF!</v>
      </c>
      <c r="O255" s="51" t="e">
        <f>'Repair Assessment Sheet'!#REF!</f>
        <v>#REF!</v>
      </c>
      <c r="P255" s="51"/>
      <c r="Q255" s="31"/>
      <c r="R255" s="31" t="e">
        <f>'Repair Assessment Sheet'!#REF!</f>
        <v>#REF!</v>
      </c>
      <c r="S255" s="31"/>
      <c r="T255" s="31"/>
    </row>
    <row r="256" spans="1:20" ht="15" thickBot="1" x14ac:dyDescent="0.4">
      <c r="A256" s="4">
        <v>243</v>
      </c>
      <c r="B256" s="16"/>
      <c r="C256" s="16"/>
      <c r="D256" s="16"/>
      <c r="E256" s="16"/>
      <c r="F256" s="16"/>
      <c r="G256" s="632" t="e">
        <f>'Repair Assessment Sheet'!#REF!</f>
        <v>#REF!</v>
      </c>
      <c r="H256" s="633"/>
      <c r="I256" s="634"/>
      <c r="J256" s="374"/>
      <c r="K256" s="16" t="e">
        <f>'Repair Assessment Sheet'!#REF!</f>
        <v>#REF!</v>
      </c>
      <c r="L256" s="5"/>
      <c r="M256" s="16" t="e">
        <f>'Repair Assessment Sheet'!#REF!</f>
        <v>#REF!</v>
      </c>
      <c r="N256" s="16" t="e">
        <f>'Repair Assessment Sheet'!#REF!</f>
        <v>#REF!</v>
      </c>
      <c r="O256" s="51" t="e">
        <f>'Repair Assessment Sheet'!#REF!</f>
        <v>#REF!</v>
      </c>
      <c r="P256" s="51"/>
      <c r="Q256" s="31"/>
      <c r="R256" s="31" t="e">
        <f>'Repair Assessment Sheet'!#REF!</f>
        <v>#REF!</v>
      </c>
      <c r="S256" s="31"/>
      <c r="T256" s="31"/>
    </row>
    <row r="257" spans="1:20" ht="15" thickBot="1" x14ac:dyDescent="0.4">
      <c r="A257" s="4">
        <v>244</v>
      </c>
      <c r="B257" s="16"/>
      <c r="C257" s="16"/>
      <c r="D257" s="16"/>
      <c r="E257" s="16"/>
      <c r="F257" s="16"/>
      <c r="G257" s="632" t="e">
        <f>'Repair Assessment Sheet'!#REF!</f>
        <v>#REF!</v>
      </c>
      <c r="H257" s="633"/>
      <c r="I257" s="634"/>
      <c r="J257" s="374"/>
      <c r="K257" s="16" t="e">
        <f>'Repair Assessment Sheet'!#REF!</f>
        <v>#REF!</v>
      </c>
      <c r="L257" s="5"/>
      <c r="M257" s="16" t="e">
        <f>'Repair Assessment Sheet'!#REF!</f>
        <v>#REF!</v>
      </c>
      <c r="N257" s="16" t="e">
        <f>'Repair Assessment Sheet'!#REF!</f>
        <v>#REF!</v>
      </c>
      <c r="O257" s="51" t="e">
        <f>'Repair Assessment Sheet'!#REF!</f>
        <v>#REF!</v>
      </c>
      <c r="P257" s="51"/>
      <c r="Q257" s="31"/>
      <c r="R257" s="31" t="e">
        <f>'Repair Assessment Sheet'!#REF!</f>
        <v>#REF!</v>
      </c>
      <c r="S257" s="31"/>
      <c r="T257" s="31"/>
    </row>
    <row r="258" spans="1:20" ht="15" thickBot="1" x14ac:dyDescent="0.4">
      <c r="A258" s="4">
        <v>245</v>
      </c>
      <c r="B258" s="16"/>
      <c r="C258" s="16"/>
      <c r="D258" s="16"/>
      <c r="E258" s="16"/>
      <c r="F258" s="16"/>
      <c r="G258" s="632" t="e">
        <f>'Repair Assessment Sheet'!#REF!</f>
        <v>#REF!</v>
      </c>
      <c r="H258" s="633"/>
      <c r="I258" s="634"/>
      <c r="J258" s="374"/>
      <c r="K258" s="16" t="e">
        <f>'Repair Assessment Sheet'!#REF!</f>
        <v>#REF!</v>
      </c>
      <c r="L258" s="5"/>
      <c r="M258" s="16" t="e">
        <f>'Repair Assessment Sheet'!#REF!</f>
        <v>#REF!</v>
      </c>
      <c r="N258" s="16" t="e">
        <f>'Repair Assessment Sheet'!#REF!</f>
        <v>#REF!</v>
      </c>
      <c r="O258" s="51" t="e">
        <f>'Repair Assessment Sheet'!#REF!</f>
        <v>#REF!</v>
      </c>
      <c r="P258" s="51"/>
      <c r="Q258" s="31"/>
      <c r="R258" s="31" t="e">
        <f>'Repair Assessment Sheet'!#REF!</f>
        <v>#REF!</v>
      </c>
      <c r="S258" s="31"/>
      <c r="T258" s="31"/>
    </row>
    <row r="259" spans="1:20" ht="15" thickBot="1" x14ac:dyDescent="0.4">
      <c r="A259" s="4">
        <v>246</v>
      </c>
      <c r="B259" s="16"/>
      <c r="C259" s="16"/>
      <c r="D259" s="16"/>
      <c r="E259" s="16"/>
      <c r="F259" s="16"/>
      <c r="G259" s="632" t="e">
        <f>'Repair Assessment Sheet'!#REF!</f>
        <v>#REF!</v>
      </c>
      <c r="H259" s="633"/>
      <c r="I259" s="634"/>
      <c r="J259" s="374"/>
      <c r="K259" s="16" t="e">
        <f>'Repair Assessment Sheet'!#REF!</f>
        <v>#REF!</v>
      </c>
      <c r="L259" s="5"/>
      <c r="M259" s="16" t="e">
        <f>'Repair Assessment Sheet'!#REF!</f>
        <v>#REF!</v>
      </c>
      <c r="N259" s="16" t="e">
        <f>'Repair Assessment Sheet'!#REF!</f>
        <v>#REF!</v>
      </c>
      <c r="O259" s="51" t="e">
        <f>'Repair Assessment Sheet'!#REF!</f>
        <v>#REF!</v>
      </c>
      <c r="P259" s="51"/>
      <c r="Q259" s="31"/>
      <c r="R259" s="31" t="e">
        <f>'Repair Assessment Sheet'!#REF!</f>
        <v>#REF!</v>
      </c>
      <c r="S259" s="31"/>
      <c r="T259" s="31"/>
    </row>
    <row r="260" spans="1:20" ht="15" thickBot="1" x14ac:dyDescent="0.4">
      <c r="A260" s="4">
        <v>247</v>
      </c>
      <c r="B260" s="16"/>
      <c r="C260" s="16"/>
      <c r="D260" s="16"/>
      <c r="E260" s="16"/>
      <c r="F260" s="16"/>
      <c r="G260" s="632" t="e">
        <f>'Repair Assessment Sheet'!#REF!</f>
        <v>#REF!</v>
      </c>
      <c r="H260" s="633"/>
      <c r="I260" s="634"/>
      <c r="J260" s="374"/>
      <c r="K260" s="16" t="e">
        <f>'Repair Assessment Sheet'!#REF!</f>
        <v>#REF!</v>
      </c>
      <c r="L260" s="5"/>
      <c r="M260" s="16" t="e">
        <f>'Repair Assessment Sheet'!#REF!</f>
        <v>#REF!</v>
      </c>
      <c r="N260" s="16" t="e">
        <f>'Repair Assessment Sheet'!#REF!</f>
        <v>#REF!</v>
      </c>
      <c r="O260" s="51" t="e">
        <f>'Repair Assessment Sheet'!#REF!</f>
        <v>#REF!</v>
      </c>
      <c r="P260" s="51"/>
      <c r="Q260" s="31"/>
      <c r="R260" s="31" t="e">
        <f>'Repair Assessment Sheet'!#REF!</f>
        <v>#REF!</v>
      </c>
      <c r="S260" s="31"/>
      <c r="T260" s="31"/>
    </row>
    <row r="261" spans="1:20" ht="15" thickBot="1" x14ac:dyDescent="0.4">
      <c r="A261" s="4">
        <v>248</v>
      </c>
      <c r="B261" s="16"/>
      <c r="C261" s="16"/>
      <c r="D261" s="16"/>
      <c r="E261" s="16"/>
      <c r="F261" s="16"/>
      <c r="G261" s="632" t="e">
        <f>'Repair Assessment Sheet'!#REF!</f>
        <v>#REF!</v>
      </c>
      <c r="H261" s="633"/>
      <c r="I261" s="634"/>
      <c r="J261" s="374"/>
      <c r="K261" s="16" t="e">
        <f>'Repair Assessment Sheet'!#REF!</f>
        <v>#REF!</v>
      </c>
      <c r="L261" s="5"/>
      <c r="M261" s="16" t="e">
        <f>'Repair Assessment Sheet'!#REF!</f>
        <v>#REF!</v>
      </c>
      <c r="N261" s="16" t="e">
        <f>'Repair Assessment Sheet'!#REF!</f>
        <v>#REF!</v>
      </c>
      <c r="O261" s="51" t="e">
        <f>'Repair Assessment Sheet'!#REF!</f>
        <v>#REF!</v>
      </c>
      <c r="P261" s="51"/>
      <c r="Q261" s="31"/>
      <c r="R261" s="31" t="e">
        <f>'Repair Assessment Sheet'!#REF!</f>
        <v>#REF!</v>
      </c>
      <c r="S261" s="31"/>
      <c r="T261" s="31"/>
    </row>
    <row r="262" spans="1:20" ht="15" thickBot="1" x14ac:dyDescent="0.4">
      <c r="A262" s="4">
        <v>249</v>
      </c>
      <c r="B262" s="16"/>
      <c r="C262" s="16"/>
      <c r="D262" s="16"/>
      <c r="E262" s="16"/>
      <c r="F262" s="16"/>
      <c r="G262" s="632" t="e">
        <f>'Repair Assessment Sheet'!#REF!</f>
        <v>#REF!</v>
      </c>
      <c r="H262" s="633"/>
      <c r="I262" s="634"/>
      <c r="J262" s="374"/>
      <c r="K262" s="16" t="e">
        <f>'Repair Assessment Sheet'!#REF!</f>
        <v>#REF!</v>
      </c>
      <c r="L262" s="5"/>
      <c r="M262" s="16" t="e">
        <f>'Repair Assessment Sheet'!#REF!</f>
        <v>#REF!</v>
      </c>
      <c r="N262" s="16" t="e">
        <f>'Repair Assessment Sheet'!#REF!</f>
        <v>#REF!</v>
      </c>
      <c r="O262" s="51" t="e">
        <f>'Repair Assessment Sheet'!#REF!</f>
        <v>#REF!</v>
      </c>
      <c r="P262" s="51"/>
      <c r="Q262" s="31"/>
      <c r="R262" s="31" t="e">
        <f>'Repair Assessment Sheet'!#REF!</f>
        <v>#REF!</v>
      </c>
      <c r="S262" s="31"/>
      <c r="T262" s="31"/>
    </row>
    <row r="263" spans="1:20" ht="15" thickBot="1" x14ac:dyDescent="0.4">
      <c r="A263" s="4">
        <v>250</v>
      </c>
      <c r="B263" s="16"/>
      <c r="C263" s="16"/>
      <c r="D263" s="16"/>
      <c r="E263" s="16"/>
      <c r="F263" s="16"/>
      <c r="G263" s="632" t="e">
        <f>'Repair Assessment Sheet'!#REF!</f>
        <v>#REF!</v>
      </c>
      <c r="H263" s="633"/>
      <c r="I263" s="634"/>
      <c r="J263" s="374"/>
      <c r="K263" s="16" t="e">
        <f>'Repair Assessment Sheet'!#REF!</f>
        <v>#REF!</v>
      </c>
      <c r="L263" s="5"/>
      <c r="M263" s="16" t="e">
        <f>'Repair Assessment Sheet'!#REF!</f>
        <v>#REF!</v>
      </c>
      <c r="N263" s="16" t="e">
        <f>'Repair Assessment Sheet'!#REF!</f>
        <v>#REF!</v>
      </c>
      <c r="O263" s="51" t="e">
        <f>'Repair Assessment Sheet'!#REF!</f>
        <v>#REF!</v>
      </c>
      <c r="P263" s="51"/>
      <c r="Q263" s="31"/>
      <c r="R263" s="31" t="e">
        <f>'Repair Assessment Sheet'!#REF!</f>
        <v>#REF!</v>
      </c>
      <c r="S263" s="31"/>
      <c r="T263" s="31"/>
    </row>
    <row r="264" spans="1:20" ht="15" thickBot="1" x14ac:dyDescent="0.4">
      <c r="A264" s="4">
        <v>251</v>
      </c>
      <c r="B264" s="49"/>
      <c r="C264" s="5"/>
      <c r="D264" s="16"/>
      <c r="E264" s="16"/>
      <c r="F264" s="5"/>
      <c r="G264" s="632" t="e">
        <f>'Repair Assessment Sheet'!#REF!</f>
        <v>#REF!</v>
      </c>
      <c r="H264" s="633"/>
      <c r="I264" s="634"/>
      <c r="J264" s="7"/>
      <c r="K264" s="16" t="e">
        <f>'Repair Assessment Sheet'!#REF!</f>
        <v>#REF!</v>
      </c>
      <c r="L264" s="5"/>
      <c r="M264" s="16" t="e">
        <f>'Repair Assessment Sheet'!#REF!</f>
        <v>#REF!</v>
      </c>
      <c r="N264" s="16" t="e">
        <f>'Repair Assessment Sheet'!#REF!</f>
        <v>#REF!</v>
      </c>
      <c r="O264" s="51" t="e">
        <f>'Repair Assessment Sheet'!#REF!</f>
        <v>#REF!</v>
      </c>
      <c r="P264" s="51"/>
      <c r="Q264" s="31"/>
      <c r="R264" s="31" t="e">
        <f>'Repair Assessment Sheet'!#REF!</f>
        <v>#REF!</v>
      </c>
      <c r="S264" s="31"/>
      <c r="T264" s="31"/>
    </row>
    <row r="265" spans="1:20" ht="15" thickBot="1" x14ac:dyDescent="0.4">
      <c r="A265" s="4">
        <v>252</v>
      </c>
      <c r="B265" s="49"/>
      <c r="C265" s="5"/>
      <c r="D265" s="16"/>
      <c r="E265" s="5"/>
      <c r="F265" s="5"/>
      <c r="G265" s="632">
        <f>'Repair Assessment Sheet'!H68</f>
        <v>0</v>
      </c>
      <c r="H265" s="633"/>
      <c r="I265" s="634"/>
      <c r="J265" s="7"/>
      <c r="K265" s="16">
        <f>'Repair Assessment Sheet'!J68</f>
        <v>0</v>
      </c>
      <c r="L265" s="5"/>
      <c r="M265" s="16">
        <f>'Repair Assessment Sheet'!Q68</f>
        <v>0</v>
      </c>
      <c r="N265" s="16">
        <f>'Repair Assessment Sheet'!R68</f>
        <v>0</v>
      </c>
      <c r="O265" s="51">
        <f>'Repair Assessment Sheet'!S68</f>
        <v>0</v>
      </c>
      <c r="P265" s="51"/>
      <c r="Q265" s="31"/>
      <c r="R265" s="31"/>
      <c r="S265" s="31"/>
      <c r="T265" s="31"/>
    </row>
    <row r="266" spans="1:20" ht="15" thickBot="1" x14ac:dyDescent="0.4">
      <c r="A266" s="4">
        <v>253</v>
      </c>
      <c r="B266" s="49"/>
      <c r="C266" s="5"/>
      <c r="D266" s="16"/>
      <c r="E266" s="5"/>
      <c r="F266" s="5"/>
      <c r="G266" s="632">
        <f>'Repair Assessment Sheet'!H69</f>
        <v>0</v>
      </c>
      <c r="H266" s="633"/>
      <c r="I266" s="634"/>
      <c r="J266" s="7"/>
      <c r="K266" s="16">
        <f>'Repair Assessment Sheet'!J69</f>
        <v>0</v>
      </c>
      <c r="L266" s="5"/>
      <c r="M266" s="16">
        <f>'Repair Assessment Sheet'!Q69</f>
        <v>0</v>
      </c>
      <c r="N266" s="16">
        <f>'Repair Assessment Sheet'!R69</f>
        <v>0</v>
      </c>
      <c r="O266" s="51">
        <f>'Repair Assessment Sheet'!S69</f>
        <v>0</v>
      </c>
      <c r="P266" s="51"/>
      <c r="Q266" s="31"/>
      <c r="R266" s="31"/>
      <c r="S266" s="31"/>
      <c r="T266" s="31"/>
    </row>
    <row r="267" spans="1:20" ht="15" thickBot="1" x14ac:dyDescent="0.4">
      <c r="A267" s="4">
        <v>254</v>
      </c>
      <c r="B267" s="49"/>
      <c r="C267" s="5"/>
      <c r="D267" s="16"/>
      <c r="E267" s="5"/>
      <c r="F267" s="5"/>
      <c r="G267" s="632">
        <f>'Repair Assessment Sheet'!H70</f>
        <v>0</v>
      </c>
      <c r="H267" s="633"/>
      <c r="I267" s="634"/>
      <c r="J267" s="7"/>
      <c r="K267" s="16">
        <f>'Repair Assessment Sheet'!J70</f>
        <v>0</v>
      </c>
      <c r="L267" s="5"/>
      <c r="M267" s="16">
        <f>'Repair Assessment Sheet'!Q70</f>
        <v>0</v>
      </c>
      <c r="N267" s="16">
        <f>'Repair Assessment Sheet'!R70</f>
        <v>0</v>
      </c>
      <c r="O267" s="51">
        <f>'Repair Assessment Sheet'!S70</f>
        <v>0</v>
      </c>
      <c r="P267" s="51"/>
      <c r="Q267" s="31"/>
      <c r="R267" s="31"/>
      <c r="S267" s="31"/>
      <c r="T267" s="31"/>
    </row>
    <row r="268" spans="1:20" ht="15" thickBot="1" x14ac:dyDescent="0.4">
      <c r="A268" s="4">
        <v>255</v>
      </c>
      <c r="B268" s="49"/>
      <c r="C268" s="5"/>
      <c r="D268" s="16"/>
      <c r="E268" s="5"/>
      <c r="F268" s="5"/>
      <c r="G268" s="632">
        <f>'Repair Assessment Sheet'!H71</f>
        <v>0</v>
      </c>
      <c r="H268" s="633"/>
      <c r="I268" s="634"/>
      <c r="J268" s="7"/>
      <c r="K268" s="16">
        <f>'Repair Assessment Sheet'!J71</f>
        <v>0</v>
      </c>
      <c r="L268" s="5"/>
      <c r="M268" s="16"/>
      <c r="N268" s="16"/>
      <c r="O268" s="16"/>
      <c r="P268" s="16"/>
      <c r="Q268" s="31"/>
      <c r="R268" s="31"/>
      <c r="S268" s="31"/>
      <c r="T268" s="31"/>
    </row>
    <row r="269" spans="1:20" ht="15" thickBot="1" x14ac:dyDescent="0.4">
      <c r="A269" s="4">
        <v>256</v>
      </c>
      <c r="B269" s="49"/>
      <c r="C269" s="5"/>
      <c r="D269" s="16"/>
      <c r="E269" s="5"/>
      <c r="F269" s="5"/>
      <c r="G269" s="632">
        <f>'Repair Assessment Sheet'!H72</f>
        <v>0</v>
      </c>
      <c r="H269" s="633"/>
      <c r="I269" s="634"/>
      <c r="J269" s="7"/>
      <c r="K269" s="16"/>
      <c r="L269" s="5"/>
      <c r="M269" s="16"/>
      <c r="N269" s="16"/>
      <c r="O269" s="16"/>
      <c r="P269" s="16"/>
      <c r="Q269" s="31"/>
      <c r="R269" s="31"/>
      <c r="S269" s="31"/>
      <c r="T269" s="31"/>
    </row>
    <row r="270" spans="1:20" ht="15" thickBot="1" x14ac:dyDescent="0.4">
      <c r="A270" s="4">
        <v>257</v>
      </c>
      <c r="B270" s="49"/>
      <c r="C270" s="5"/>
      <c r="D270" s="16"/>
      <c r="E270" s="5"/>
      <c r="F270" s="5"/>
      <c r="G270" s="632">
        <f>'Repair Assessment Sheet'!H73</f>
        <v>0</v>
      </c>
      <c r="H270" s="633"/>
      <c r="I270" s="634"/>
      <c r="J270" s="7"/>
      <c r="K270" s="16"/>
      <c r="L270" s="5"/>
      <c r="M270" s="16"/>
      <c r="N270" s="16"/>
      <c r="O270" s="16"/>
      <c r="P270" s="16"/>
      <c r="Q270" s="31"/>
      <c r="R270" s="31"/>
      <c r="S270" s="31"/>
      <c r="T270" s="31"/>
    </row>
    <row r="271" spans="1:20" ht="15" thickBot="1" x14ac:dyDescent="0.4">
      <c r="A271" s="4">
        <v>258</v>
      </c>
      <c r="B271" s="49"/>
      <c r="C271" s="5"/>
      <c r="D271" s="16"/>
      <c r="E271" s="5"/>
      <c r="F271" s="5"/>
      <c r="G271" s="632" t="str">
        <f>'Repair Assessment Sheet'!H74</f>
        <v xml:space="preserve">Discount </v>
      </c>
      <c r="H271" s="633"/>
      <c r="I271" s="634"/>
      <c r="J271" s="7"/>
      <c r="K271" s="16"/>
      <c r="L271" s="5"/>
      <c r="M271" s="16"/>
      <c r="N271" s="16"/>
      <c r="O271" s="16"/>
      <c r="P271" s="16"/>
      <c r="Q271" s="31"/>
      <c r="R271" s="31"/>
      <c r="S271" s="31"/>
      <c r="T271" s="31"/>
    </row>
    <row r="272" spans="1:20" ht="15" thickBot="1" x14ac:dyDescent="0.4">
      <c r="A272" s="4">
        <v>259</v>
      </c>
      <c r="B272" s="49"/>
      <c r="C272" s="5"/>
      <c r="D272" s="16"/>
      <c r="E272" s="5"/>
      <c r="F272" s="5"/>
      <c r="G272" s="632">
        <f>'Repair Assessment Sheet'!H75</f>
        <v>0</v>
      </c>
      <c r="H272" s="633"/>
      <c r="I272" s="634"/>
      <c r="J272" s="7"/>
      <c r="K272" s="16"/>
      <c r="L272" s="5"/>
      <c r="M272" s="16"/>
      <c r="N272" s="16"/>
      <c r="O272" s="16"/>
      <c r="P272" s="16"/>
      <c r="Q272" s="31"/>
      <c r="R272" s="31"/>
      <c r="S272" s="31"/>
      <c r="T272" s="31"/>
    </row>
    <row r="273" spans="1:20" ht="15" thickBot="1" x14ac:dyDescent="0.4">
      <c r="A273" s="4">
        <v>260</v>
      </c>
      <c r="B273" s="49"/>
      <c r="C273" s="5"/>
      <c r="D273" s="16"/>
      <c r="E273" s="5"/>
      <c r="F273" s="5"/>
      <c r="G273" s="632">
        <f>'Repair Assessment Sheet'!H76</f>
        <v>0</v>
      </c>
      <c r="H273" s="633"/>
      <c r="I273" s="634"/>
      <c r="J273" s="7"/>
      <c r="K273" s="16"/>
      <c r="L273" s="5"/>
      <c r="M273" s="16"/>
      <c r="N273" s="16"/>
      <c r="O273" s="16"/>
      <c r="P273" s="16"/>
      <c r="Q273" s="31"/>
      <c r="R273" s="31"/>
      <c r="S273" s="31"/>
      <c r="T273" s="31"/>
    </row>
    <row r="274" spans="1:20" ht="15" thickBot="1" x14ac:dyDescent="0.4">
      <c r="A274" s="4">
        <v>261</v>
      </c>
      <c r="B274" s="49"/>
      <c r="C274" s="5"/>
      <c r="D274" s="16"/>
      <c r="E274" s="5"/>
      <c r="F274" s="5"/>
      <c r="G274" s="632">
        <f>'Repair Assessment Sheet'!H77</f>
        <v>0</v>
      </c>
      <c r="H274" s="633"/>
      <c r="I274" s="634"/>
      <c r="J274" s="7"/>
      <c r="K274" s="16"/>
      <c r="L274" s="5"/>
      <c r="M274" s="16"/>
      <c r="N274" s="16"/>
      <c r="O274" s="16"/>
      <c r="P274" s="16"/>
      <c r="Q274" s="31"/>
      <c r="R274" s="31"/>
      <c r="S274" s="31"/>
      <c r="T274" s="31"/>
    </row>
    <row r="275" spans="1:20" ht="15" thickBot="1" x14ac:dyDescent="0.4">
      <c r="A275" s="4">
        <v>262</v>
      </c>
      <c r="B275" s="49"/>
      <c r="C275" s="5"/>
      <c r="D275" s="16"/>
      <c r="E275" s="5"/>
      <c r="F275" s="5"/>
      <c r="G275" s="632">
        <f>'Repair Assessment Sheet'!H78</f>
        <v>0</v>
      </c>
      <c r="H275" s="633"/>
      <c r="I275" s="634"/>
      <c r="J275" s="7"/>
      <c r="K275" s="16"/>
      <c r="L275" s="5"/>
      <c r="M275" s="16"/>
      <c r="N275" s="16"/>
      <c r="O275" s="16"/>
      <c r="P275" s="16"/>
      <c r="Q275" s="31"/>
      <c r="R275" s="31"/>
      <c r="S275" s="31"/>
      <c r="T275" s="31"/>
    </row>
    <row r="276" spans="1:20" ht="15" thickBot="1" x14ac:dyDescent="0.4">
      <c r="A276" s="4">
        <v>263</v>
      </c>
      <c r="B276" s="49"/>
      <c r="C276" s="5"/>
      <c r="D276" s="16"/>
      <c r="E276" s="5"/>
      <c r="F276" s="5"/>
      <c r="G276" s="632">
        <f>'Repair Assessment Sheet'!H79</f>
        <v>0</v>
      </c>
      <c r="H276" s="633"/>
      <c r="I276" s="634"/>
      <c r="J276" s="7"/>
      <c r="K276" s="16"/>
      <c r="L276" s="5"/>
      <c r="M276" s="16"/>
      <c r="N276" s="16"/>
      <c r="O276" s="16"/>
      <c r="P276" s="16"/>
      <c r="Q276" s="31"/>
      <c r="R276" s="31"/>
      <c r="S276" s="31"/>
      <c r="T276" s="31"/>
    </row>
    <row r="277" spans="1:20" ht="15" thickBot="1" x14ac:dyDescent="0.4">
      <c r="A277" s="4">
        <v>264</v>
      </c>
      <c r="B277" s="49"/>
      <c r="C277" s="5"/>
      <c r="D277" s="16"/>
      <c r="E277" s="5"/>
      <c r="F277" s="5"/>
      <c r="G277" s="632"/>
      <c r="H277" s="633"/>
      <c r="I277" s="634"/>
      <c r="J277" s="7"/>
      <c r="K277" s="16"/>
      <c r="L277" s="5"/>
      <c r="M277" s="16"/>
      <c r="N277" s="16"/>
      <c r="O277" s="16"/>
      <c r="P277" s="16"/>
      <c r="Q277" s="31"/>
      <c r="R277" s="31"/>
      <c r="S277" s="31"/>
      <c r="T277" s="31"/>
    </row>
    <row r="278" spans="1:20" ht="15" thickBot="1" x14ac:dyDescent="0.4">
      <c r="A278" s="4">
        <v>265</v>
      </c>
      <c r="B278" s="49"/>
      <c r="C278" s="5"/>
      <c r="D278" s="16"/>
      <c r="E278" s="5"/>
      <c r="F278" s="5"/>
      <c r="G278" s="632"/>
      <c r="H278" s="633"/>
      <c r="I278" s="634"/>
      <c r="J278" s="7"/>
      <c r="K278" s="16"/>
      <c r="L278" s="5"/>
      <c r="M278" s="16"/>
      <c r="N278" s="16"/>
      <c r="O278" s="16"/>
      <c r="P278" s="16"/>
      <c r="Q278" s="31"/>
      <c r="R278" s="31"/>
      <c r="S278" s="31"/>
      <c r="T278" s="31"/>
    </row>
    <row r="279" spans="1:20" ht="15" thickBot="1" x14ac:dyDescent="0.4">
      <c r="A279" s="4">
        <v>266</v>
      </c>
      <c r="B279" s="49"/>
      <c r="C279" s="5"/>
      <c r="D279" s="16"/>
      <c r="E279" s="5"/>
      <c r="F279" s="5"/>
      <c r="G279" s="632"/>
      <c r="H279" s="633"/>
      <c r="I279" s="634"/>
      <c r="J279" s="7"/>
      <c r="K279" s="16"/>
      <c r="L279" s="5"/>
      <c r="M279" s="16"/>
      <c r="N279" s="16"/>
      <c r="O279" s="16"/>
      <c r="P279" s="16"/>
      <c r="Q279" s="31"/>
      <c r="R279" s="31"/>
      <c r="S279" s="31"/>
      <c r="T279" s="31"/>
    </row>
    <row r="280" spans="1:20" ht="15" thickBot="1" x14ac:dyDescent="0.4">
      <c r="A280" s="4">
        <v>267</v>
      </c>
      <c r="B280" s="49"/>
      <c r="C280" s="5"/>
      <c r="D280" s="16"/>
      <c r="E280" s="5"/>
      <c r="F280" s="5"/>
      <c r="G280" s="632"/>
      <c r="H280" s="633"/>
      <c r="I280" s="634"/>
      <c r="J280" s="7"/>
      <c r="K280" s="16"/>
      <c r="L280" s="5"/>
      <c r="M280" s="16"/>
      <c r="N280" s="16"/>
      <c r="O280" s="16"/>
      <c r="P280" s="16"/>
      <c r="Q280" s="31"/>
      <c r="R280" s="31"/>
      <c r="S280" s="31"/>
      <c r="T280" s="31"/>
    </row>
    <row r="281" spans="1:20" ht="15" thickBot="1" x14ac:dyDescent="0.4">
      <c r="A281" s="4">
        <v>268</v>
      </c>
      <c r="B281" s="49"/>
      <c r="C281" s="5"/>
      <c r="D281" s="16"/>
      <c r="E281" s="5"/>
      <c r="F281" s="5"/>
      <c r="G281" s="632"/>
      <c r="H281" s="633"/>
      <c r="I281" s="634"/>
      <c r="J281" s="7"/>
      <c r="K281" s="16"/>
      <c r="L281" s="5"/>
      <c r="M281" s="16"/>
      <c r="N281" s="16"/>
      <c r="O281" s="16"/>
      <c r="P281" s="16"/>
      <c r="Q281" s="31"/>
      <c r="R281" s="31"/>
      <c r="S281" s="31"/>
      <c r="T281" s="31"/>
    </row>
    <row r="282" spans="1:20" ht="15" thickBot="1" x14ac:dyDescent="0.4">
      <c r="A282" s="4">
        <v>269</v>
      </c>
      <c r="B282" s="49"/>
      <c r="C282" s="5"/>
      <c r="D282" s="16"/>
      <c r="E282" s="5"/>
      <c r="F282" s="5"/>
      <c r="G282" s="632"/>
      <c r="H282" s="633"/>
      <c r="I282" s="634"/>
      <c r="J282" s="7"/>
      <c r="K282" s="16"/>
      <c r="L282" s="5"/>
      <c r="M282" s="16"/>
      <c r="N282" s="16"/>
      <c r="O282" s="16"/>
      <c r="P282" s="16"/>
      <c r="Q282" s="31"/>
      <c r="R282" s="31"/>
      <c r="S282" s="31"/>
      <c r="T282" s="31"/>
    </row>
    <row r="283" spans="1:20" ht="15" thickBot="1" x14ac:dyDescent="0.4">
      <c r="A283" s="4">
        <v>270</v>
      </c>
      <c r="B283" s="49"/>
      <c r="C283" s="5"/>
      <c r="D283" s="16"/>
      <c r="E283" s="5"/>
      <c r="F283" s="5"/>
      <c r="G283" s="632"/>
      <c r="H283" s="633"/>
      <c r="I283" s="634"/>
      <c r="J283" s="7"/>
      <c r="K283" s="16"/>
      <c r="L283" s="5"/>
      <c r="M283" s="16"/>
      <c r="N283" s="16"/>
      <c r="O283" s="16"/>
      <c r="P283" s="16"/>
      <c r="Q283" s="31"/>
      <c r="R283" s="31"/>
      <c r="S283" s="31"/>
      <c r="T283" s="31"/>
    </row>
    <row r="284" spans="1:20" ht="15" thickBot="1" x14ac:dyDescent="0.4">
      <c r="A284" s="4">
        <v>271</v>
      </c>
      <c r="B284" s="49"/>
      <c r="C284" s="5"/>
      <c r="D284" s="16"/>
      <c r="E284" s="5"/>
      <c r="F284" s="5"/>
      <c r="G284" s="632"/>
      <c r="H284" s="633"/>
      <c r="I284" s="634"/>
      <c r="J284" s="7"/>
      <c r="K284" s="16"/>
      <c r="L284" s="5"/>
      <c r="M284" s="16"/>
      <c r="N284" s="16"/>
      <c r="O284" s="16"/>
      <c r="P284" s="16"/>
      <c r="Q284" s="31"/>
      <c r="R284" s="31"/>
      <c r="S284" s="31"/>
      <c r="T284" s="31"/>
    </row>
    <row r="285" spans="1:20" ht="15" thickBot="1" x14ac:dyDescent="0.4">
      <c r="A285" s="4">
        <v>272</v>
      </c>
      <c r="B285" s="49"/>
      <c r="C285" s="5"/>
      <c r="D285" s="16"/>
      <c r="E285" s="5"/>
      <c r="F285" s="5"/>
      <c r="G285" s="632"/>
      <c r="H285" s="633"/>
      <c r="I285" s="634"/>
      <c r="J285" s="7"/>
      <c r="K285" s="16"/>
      <c r="L285" s="5"/>
      <c r="M285" s="16"/>
      <c r="N285" s="16"/>
      <c r="O285" s="16"/>
      <c r="P285" s="16"/>
      <c r="Q285" s="31"/>
      <c r="R285" s="31"/>
      <c r="S285" s="31"/>
      <c r="T285" s="31"/>
    </row>
    <row r="286" spans="1:20" ht="15" thickBot="1" x14ac:dyDescent="0.4">
      <c r="A286" s="4">
        <v>273</v>
      </c>
      <c r="B286" s="49"/>
      <c r="C286" s="5"/>
      <c r="D286" s="16"/>
      <c r="E286" s="5"/>
      <c r="F286" s="5"/>
      <c r="G286" s="632"/>
      <c r="H286" s="633"/>
      <c r="I286" s="634"/>
      <c r="J286" s="7"/>
      <c r="K286" s="16"/>
      <c r="L286" s="5"/>
      <c r="M286" s="16"/>
      <c r="N286" s="16"/>
      <c r="O286" s="16"/>
      <c r="P286" s="16"/>
      <c r="Q286" s="31"/>
      <c r="R286" s="31"/>
      <c r="S286" s="31"/>
      <c r="T286" s="31"/>
    </row>
    <row r="287" spans="1:20" ht="15" thickBot="1" x14ac:dyDescent="0.4">
      <c r="A287" s="4">
        <v>274</v>
      </c>
      <c r="B287" s="49"/>
      <c r="C287" s="5"/>
      <c r="D287" s="16"/>
      <c r="E287" s="5"/>
      <c r="F287" s="5"/>
      <c r="G287" s="632"/>
      <c r="H287" s="633"/>
      <c r="I287" s="634"/>
      <c r="J287" s="7"/>
      <c r="K287" s="16"/>
      <c r="L287" s="5"/>
      <c r="M287" s="16"/>
      <c r="N287" s="16"/>
      <c r="O287" s="16"/>
      <c r="P287" s="16"/>
      <c r="Q287" s="31"/>
      <c r="R287" s="31"/>
      <c r="S287" s="31"/>
      <c r="T287" s="31"/>
    </row>
    <row r="288" spans="1:20" ht="15" thickBot="1" x14ac:dyDescent="0.4">
      <c r="A288" s="4">
        <v>275</v>
      </c>
      <c r="B288" s="49"/>
      <c r="C288" s="5"/>
      <c r="D288" s="16"/>
      <c r="E288" s="5"/>
      <c r="F288" s="5"/>
      <c r="G288" s="632"/>
      <c r="H288" s="633"/>
      <c r="I288" s="634"/>
      <c r="J288" s="7"/>
      <c r="K288" s="16"/>
      <c r="L288" s="5"/>
      <c r="M288" s="16"/>
      <c r="N288" s="16"/>
      <c r="O288" s="16"/>
      <c r="P288" s="16"/>
      <c r="Q288" s="31"/>
      <c r="R288" s="31"/>
      <c r="S288" s="31"/>
      <c r="T288" s="31"/>
    </row>
    <row r="289" spans="1:20" ht="15" thickBot="1" x14ac:dyDescent="0.4">
      <c r="A289" s="4">
        <v>276</v>
      </c>
      <c r="B289" s="49"/>
      <c r="C289" s="5"/>
      <c r="D289" s="16"/>
      <c r="E289" s="5"/>
      <c r="F289" s="5"/>
      <c r="G289" s="632"/>
      <c r="H289" s="633"/>
      <c r="I289" s="634"/>
      <c r="J289" s="7"/>
      <c r="K289" s="16"/>
      <c r="L289" s="5"/>
      <c r="M289" s="16"/>
      <c r="N289" s="16"/>
      <c r="O289" s="16"/>
      <c r="P289" s="16"/>
      <c r="Q289" s="31"/>
      <c r="R289" s="31"/>
      <c r="S289" s="31"/>
      <c r="T289" s="31"/>
    </row>
    <row r="290" spans="1:20" ht="15" thickBot="1" x14ac:dyDescent="0.4">
      <c r="A290" s="4">
        <v>277</v>
      </c>
      <c r="B290" s="49"/>
      <c r="C290" s="5"/>
      <c r="D290" s="16"/>
      <c r="E290" s="5"/>
      <c r="F290" s="5"/>
      <c r="G290" s="632"/>
      <c r="H290" s="633"/>
      <c r="I290" s="634"/>
      <c r="J290" s="7"/>
      <c r="K290" s="16"/>
      <c r="L290" s="5"/>
      <c r="M290" s="16"/>
      <c r="N290" s="16"/>
      <c r="O290" s="16"/>
      <c r="P290" s="16"/>
      <c r="Q290" s="31"/>
      <c r="R290" s="31"/>
      <c r="S290" s="31"/>
      <c r="T290" s="31"/>
    </row>
    <row r="291" spans="1:20" ht="15" thickBot="1" x14ac:dyDescent="0.4">
      <c r="A291" s="4">
        <v>278</v>
      </c>
      <c r="B291" s="49"/>
      <c r="C291" s="5"/>
      <c r="D291" s="16"/>
      <c r="E291" s="5"/>
      <c r="F291" s="5"/>
      <c r="G291" s="632"/>
      <c r="H291" s="633"/>
      <c r="I291" s="634"/>
      <c r="J291" s="7"/>
      <c r="K291" s="16"/>
      <c r="L291" s="5"/>
      <c r="M291" s="16"/>
      <c r="N291" s="16"/>
      <c r="O291" s="16"/>
      <c r="P291" s="16"/>
      <c r="Q291" s="31"/>
      <c r="R291" s="31"/>
      <c r="S291" s="31"/>
      <c r="T291" s="31"/>
    </row>
    <row r="292" spans="1:20" ht="15" thickBot="1" x14ac:dyDescent="0.4">
      <c r="A292" s="4">
        <v>279</v>
      </c>
      <c r="B292" s="49"/>
      <c r="C292" s="5"/>
      <c r="D292" s="16"/>
      <c r="E292" s="5"/>
      <c r="F292" s="5"/>
      <c r="G292" s="632"/>
      <c r="H292" s="633"/>
      <c r="I292" s="634"/>
      <c r="J292" s="7"/>
      <c r="K292" s="16"/>
      <c r="L292" s="5"/>
      <c r="M292" s="16"/>
      <c r="N292" s="16"/>
      <c r="O292" s="16"/>
      <c r="P292" s="16"/>
      <c r="Q292" s="31"/>
      <c r="R292" s="31"/>
      <c r="S292" s="31"/>
      <c r="T292" s="31"/>
    </row>
    <row r="293" spans="1:20" ht="15" thickBot="1" x14ac:dyDescent="0.4">
      <c r="A293" s="4">
        <v>280</v>
      </c>
      <c r="B293" s="49"/>
      <c r="C293" s="5"/>
      <c r="D293" s="16"/>
      <c r="E293" s="5"/>
      <c r="F293" s="5"/>
      <c r="G293" s="632"/>
      <c r="H293" s="633"/>
      <c r="I293" s="634"/>
      <c r="J293" s="7"/>
      <c r="K293" s="16"/>
      <c r="L293" s="5"/>
      <c r="M293" s="16"/>
      <c r="N293" s="16"/>
      <c r="O293" s="16"/>
      <c r="P293" s="16"/>
      <c r="Q293" s="31"/>
      <c r="R293" s="31"/>
      <c r="S293" s="31"/>
      <c r="T293" s="31"/>
    </row>
    <row r="294" spans="1:20" ht="15" thickBot="1" x14ac:dyDescent="0.4">
      <c r="A294" s="4">
        <v>281</v>
      </c>
      <c r="B294" s="49"/>
      <c r="C294" s="5"/>
      <c r="D294" s="16"/>
      <c r="E294" s="5"/>
      <c r="F294" s="5"/>
      <c r="G294" s="632"/>
      <c r="H294" s="633"/>
      <c r="I294" s="634"/>
      <c r="J294" s="7"/>
      <c r="K294" s="16"/>
      <c r="L294" s="5"/>
      <c r="M294" s="16"/>
      <c r="N294" s="16"/>
      <c r="O294" s="16"/>
      <c r="P294" s="16"/>
      <c r="Q294" s="31"/>
      <c r="R294" s="31"/>
      <c r="S294" s="31"/>
      <c r="T294" s="31"/>
    </row>
    <row r="295" spans="1:20" ht="15" thickBot="1" x14ac:dyDescent="0.4">
      <c r="A295" s="4">
        <v>282</v>
      </c>
      <c r="B295" s="49"/>
      <c r="C295" s="5"/>
      <c r="D295" s="16"/>
      <c r="E295" s="5"/>
      <c r="F295" s="5"/>
      <c r="G295" s="632"/>
      <c r="H295" s="633"/>
      <c r="I295" s="634"/>
      <c r="J295" s="7"/>
      <c r="K295" s="16"/>
      <c r="L295" s="5"/>
      <c r="M295" s="16"/>
      <c r="N295" s="16"/>
      <c r="O295" s="16"/>
      <c r="P295" s="16"/>
      <c r="Q295" s="31"/>
      <c r="R295" s="31"/>
      <c r="S295" s="31"/>
      <c r="T295" s="31"/>
    </row>
    <row r="296" spans="1:20" ht="15" thickBot="1" x14ac:dyDescent="0.4">
      <c r="A296" s="4">
        <v>283</v>
      </c>
      <c r="B296" s="49"/>
      <c r="C296" s="5"/>
      <c r="D296" s="16"/>
      <c r="E296" s="5"/>
      <c r="F296" s="5"/>
      <c r="G296" s="632"/>
      <c r="H296" s="633"/>
      <c r="I296" s="634"/>
      <c r="J296" s="7"/>
      <c r="K296" s="16"/>
      <c r="L296" s="5"/>
      <c r="M296" s="16"/>
      <c r="N296" s="16"/>
      <c r="O296" s="16"/>
      <c r="P296" s="16"/>
      <c r="Q296" s="31"/>
      <c r="R296" s="31"/>
      <c r="S296" s="31"/>
      <c r="T296" s="31"/>
    </row>
    <row r="297" spans="1:20" ht="15" thickBot="1" x14ac:dyDescent="0.4">
      <c r="A297" s="4">
        <v>284</v>
      </c>
      <c r="B297" s="49"/>
      <c r="C297" s="5"/>
      <c r="D297" s="16"/>
      <c r="E297" s="5"/>
      <c r="F297" s="5"/>
      <c r="G297" s="632"/>
      <c r="H297" s="633"/>
      <c r="I297" s="634"/>
      <c r="J297" s="7"/>
      <c r="K297" s="16"/>
      <c r="L297" s="5"/>
      <c r="M297" s="16"/>
      <c r="N297" s="16"/>
      <c r="O297" s="16"/>
      <c r="P297" s="16"/>
      <c r="Q297" s="31"/>
      <c r="R297" s="31"/>
      <c r="S297" s="31"/>
      <c r="T297" s="31"/>
    </row>
    <row r="298" spans="1:20" ht="15" thickBot="1" x14ac:dyDescent="0.4">
      <c r="A298" s="4">
        <v>285</v>
      </c>
      <c r="B298" s="49"/>
      <c r="C298" s="5"/>
      <c r="D298" s="16"/>
      <c r="E298" s="5"/>
      <c r="F298" s="5"/>
      <c r="G298" s="632"/>
      <c r="H298" s="633"/>
      <c r="I298" s="634"/>
      <c r="J298" s="7"/>
      <c r="K298" s="16"/>
      <c r="L298" s="5"/>
      <c r="M298" s="16"/>
      <c r="N298" s="16"/>
      <c r="O298" s="16"/>
      <c r="P298" s="16"/>
      <c r="Q298" s="31"/>
      <c r="R298" s="31"/>
      <c r="S298" s="31"/>
      <c r="T298" s="31"/>
    </row>
    <row r="299" spans="1:20" ht="15" thickBot="1" x14ac:dyDescent="0.4">
      <c r="A299" s="4">
        <v>286</v>
      </c>
      <c r="B299" s="49"/>
      <c r="C299" s="5"/>
      <c r="D299" s="16"/>
      <c r="E299" s="5"/>
      <c r="F299" s="5"/>
      <c r="G299" s="632"/>
      <c r="H299" s="633"/>
      <c r="I299" s="634"/>
      <c r="J299" s="7"/>
      <c r="K299" s="16"/>
      <c r="L299" s="5"/>
      <c r="M299" s="16"/>
      <c r="N299" s="16"/>
      <c r="O299" s="16"/>
      <c r="P299" s="16"/>
      <c r="Q299" s="31"/>
      <c r="R299" s="31"/>
      <c r="S299" s="31"/>
      <c r="T299" s="31"/>
    </row>
    <row r="300" spans="1:20" ht="15" thickBot="1" x14ac:dyDescent="0.4">
      <c r="A300" s="4">
        <v>287</v>
      </c>
      <c r="B300" s="49"/>
      <c r="C300" s="5"/>
      <c r="D300" s="16"/>
      <c r="E300" s="5"/>
      <c r="F300" s="5"/>
      <c r="G300" s="632"/>
      <c r="H300" s="633"/>
      <c r="I300" s="634"/>
      <c r="J300" s="7"/>
      <c r="K300" s="16"/>
      <c r="L300" s="5"/>
      <c r="M300" s="16"/>
      <c r="N300" s="16"/>
      <c r="O300" s="16"/>
      <c r="P300" s="16"/>
      <c r="Q300" s="31"/>
      <c r="R300" s="31"/>
      <c r="S300" s="31"/>
      <c r="T300" s="31"/>
    </row>
    <row r="301" spans="1:20" ht="15" thickBot="1" x14ac:dyDescent="0.4">
      <c r="A301" s="4">
        <v>288</v>
      </c>
      <c r="B301" s="49"/>
      <c r="C301" s="5"/>
      <c r="D301" s="16"/>
      <c r="E301" s="5"/>
      <c r="F301" s="5"/>
      <c r="G301" s="632"/>
      <c r="H301" s="633"/>
      <c r="I301" s="634"/>
      <c r="J301" s="7"/>
      <c r="K301" s="16"/>
      <c r="L301" s="5"/>
      <c r="M301" s="16"/>
      <c r="N301" s="16"/>
      <c r="O301" s="16"/>
      <c r="P301" s="16"/>
      <c r="Q301" s="31"/>
      <c r="R301" s="31"/>
      <c r="S301" s="31"/>
      <c r="T301" s="31"/>
    </row>
    <row r="302" spans="1:20" ht="15" thickBot="1" x14ac:dyDescent="0.4">
      <c r="A302" s="4">
        <v>289</v>
      </c>
      <c r="B302" s="49"/>
      <c r="C302" s="5"/>
      <c r="D302" s="16"/>
      <c r="E302" s="5"/>
      <c r="F302" s="5"/>
      <c r="G302" s="632"/>
      <c r="H302" s="633"/>
      <c r="I302" s="634"/>
      <c r="J302" s="7"/>
      <c r="K302" s="16"/>
      <c r="L302" s="5"/>
      <c r="M302" s="16"/>
      <c r="N302" s="16"/>
      <c r="O302" s="16"/>
      <c r="P302" s="16"/>
      <c r="Q302" s="31"/>
      <c r="R302" s="31"/>
      <c r="S302" s="31"/>
      <c r="T302" s="31"/>
    </row>
    <row r="303" spans="1:20" ht="15" thickBot="1" x14ac:dyDescent="0.4">
      <c r="A303" s="4">
        <v>290</v>
      </c>
      <c r="B303" s="49"/>
      <c r="C303" s="5"/>
      <c r="D303" s="16"/>
      <c r="E303" s="5"/>
      <c r="F303" s="5"/>
      <c r="G303" s="632"/>
      <c r="H303" s="633"/>
      <c r="I303" s="634"/>
      <c r="J303" s="7"/>
      <c r="K303" s="16"/>
      <c r="L303" s="5"/>
      <c r="M303" s="16"/>
      <c r="N303" s="16"/>
      <c r="O303" s="16"/>
      <c r="P303" s="16"/>
      <c r="Q303" s="31"/>
      <c r="R303" s="31"/>
      <c r="S303" s="31"/>
      <c r="T303" s="31"/>
    </row>
    <row r="304" spans="1:20" ht="15" thickBot="1" x14ac:dyDescent="0.4">
      <c r="A304" s="4">
        <v>291</v>
      </c>
      <c r="B304" s="49"/>
      <c r="C304" s="5"/>
      <c r="D304" s="16"/>
      <c r="E304" s="5"/>
      <c r="F304" s="5"/>
      <c r="G304" s="632"/>
      <c r="H304" s="633"/>
      <c r="I304" s="634"/>
      <c r="J304" s="7"/>
      <c r="K304" s="16"/>
      <c r="L304" s="5"/>
      <c r="M304" s="16"/>
      <c r="N304" s="16"/>
      <c r="O304" s="16"/>
      <c r="P304" s="16"/>
      <c r="Q304" s="31"/>
      <c r="R304" s="31"/>
      <c r="S304" s="31"/>
      <c r="T304" s="31"/>
    </row>
    <row r="305" spans="1:20" ht="15" thickBot="1" x14ac:dyDescent="0.4">
      <c r="A305" s="4">
        <v>292</v>
      </c>
      <c r="B305" s="49"/>
      <c r="C305" s="5"/>
      <c r="D305" s="16"/>
      <c r="E305" s="5"/>
      <c r="F305" s="5"/>
      <c r="G305" s="632"/>
      <c r="H305" s="633"/>
      <c r="I305" s="634"/>
      <c r="J305" s="7"/>
      <c r="K305" s="16"/>
      <c r="L305" s="5"/>
      <c r="M305" s="16"/>
      <c r="N305" s="16"/>
      <c r="O305" s="16"/>
      <c r="P305" s="16"/>
      <c r="Q305" s="31"/>
      <c r="R305" s="31"/>
      <c r="S305" s="31"/>
      <c r="T305" s="31"/>
    </row>
    <row r="306" spans="1:20" ht="15" thickBot="1" x14ac:dyDescent="0.4">
      <c r="A306" s="4">
        <v>293</v>
      </c>
      <c r="B306" s="49"/>
      <c r="C306" s="5"/>
      <c r="D306" s="16"/>
      <c r="E306" s="5"/>
      <c r="F306" s="5"/>
      <c r="G306" s="632"/>
      <c r="H306" s="633"/>
      <c r="I306" s="634"/>
      <c r="J306" s="7"/>
      <c r="K306" s="16"/>
      <c r="L306" s="5"/>
      <c r="M306" s="16"/>
      <c r="N306" s="16"/>
      <c r="O306" s="16"/>
      <c r="P306" s="16"/>
      <c r="Q306" s="31"/>
      <c r="R306" s="31"/>
      <c r="S306" s="31"/>
      <c r="T306" s="31"/>
    </row>
    <row r="307" spans="1:20" ht="15" thickBot="1" x14ac:dyDescent="0.4">
      <c r="A307" s="4">
        <v>294</v>
      </c>
      <c r="B307" s="49"/>
      <c r="C307" s="5"/>
      <c r="D307" s="16"/>
      <c r="E307" s="5"/>
      <c r="F307" s="5"/>
      <c r="G307" s="632"/>
      <c r="H307" s="633"/>
      <c r="I307" s="634"/>
      <c r="J307" s="7"/>
      <c r="K307" s="16"/>
      <c r="L307" s="5"/>
      <c r="M307" s="16"/>
      <c r="N307" s="16"/>
      <c r="O307" s="16"/>
      <c r="P307" s="16"/>
      <c r="Q307" s="31"/>
      <c r="R307" s="31"/>
      <c r="S307" s="31"/>
      <c r="T307" s="31"/>
    </row>
    <row r="308" spans="1:20" ht="15" thickBot="1" x14ac:dyDescent="0.4">
      <c r="A308" s="4">
        <v>295</v>
      </c>
      <c r="B308" s="49"/>
      <c r="C308" s="5"/>
      <c r="D308" s="16"/>
      <c r="E308" s="5"/>
      <c r="F308" s="5"/>
      <c r="G308" s="632"/>
      <c r="H308" s="633"/>
      <c r="I308" s="634"/>
      <c r="J308" s="7"/>
      <c r="K308" s="16"/>
      <c r="L308" s="5"/>
      <c r="M308" s="16"/>
      <c r="N308" s="16"/>
      <c r="O308" s="16"/>
      <c r="P308" s="16"/>
      <c r="Q308" s="31"/>
      <c r="R308" s="31"/>
      <c r="S308" s="31"/>
      <c r="T308" s="31"/>
    </row>
    <row r="309" spans="1:20" ht="15" thickBot="1" x14ac:dyDescent="0.4">
      <c r="A309" s="4">
        <v>296</v>
      </c>
      <c r="B309" s="49"/>
      <c r="C309" s="5"/>
      <c r="D309" s="16"/>
      <c r="E309" s="5"/>
      <c r="F309" s="5"/>
      <c r="G309" s="632"/>
      <c r="H309" s="633"/>
      <c r="I309" s="634"/>
      <c r="J309" s="7"/>
      <c r="K309" s="16"/>
      <c r="L309" s="5"/>
      <c r="M309" s="16"/>
      <c r="N309" s="16"/>
      <c r="O309" s="16"/>
      <c r="P309" s="16"/>
      <c r="Q309" s="31"/>
      <c r="R309" s="31"/>
      <c r="S309" s="31"/>
      <c r="T309" s="31"/>
    </row>
    <row r="310" spans="1:20" ht="15" thickBot="1" x14ac:dyDescent="0.4">
      <c r="A310" s="4">
        <v>297</v>
      </c>
      <c r="B310" s="49"/>
      <c r="C310" s="5"/>
      <c r="D310" s="16"/>
      <c r="E310" s="5"/>
      <c r="F310" s="5"/>
      <c r="G310" s="632"/>
      <c r="H310" s="633"/>
      <c r="I310" s="634"/>
      <c r="J310" s="7"/>
      <c r="K310" s="16"/>
      <c r="L310" s="5"/>
      <c r="M310" s="16"/>
      <c r="N310" s="16"/>
      <c r="O310" s="16"/>
      <c r="P310" s="16"/>
      <c r="Q310" s="31"/>
      <c r="R310" s="31"/>
      <c r="S310" s="31"/>
      <c r="T310" s="31"/>
    </row>
    <row r="311" spans="1:20" ht="15" thickBot="1" x14ac:dyDescent="0.4">
      <c r="A311" s="4">
        <v>298</v>
      </c>
      <c r="B311" s="49"/>
      <c r="C311" s="5"/>
      <c r="D311" s="16"/>
      <c r="E311" s="5"/>
      <c r="F311" s="5"/>
      <c r="G311" s="632"/>
      <c r="H311" s="633"/>
      <c r="I311" s="634"/>
      <c r="J311" s="7"/>
      <c r="K311" s="16"/>
      <c r="L311" s="5"/>
      <c r="M311" s="16"/>
      <c r="N311" s="16"/>
      <c r="O311" s="16"/>
      <c r="P311" s="16"/>
      <c r="Q311" s="31"/>
      <c r="R311" s="31"/>
      <c r="S311" s="31"/>
      <c r="T311" s="31"/>
    </row>
    <row r="312" spans="1:20" ht="15" thickBot="1" x14ac:dyDescent="0.4">
      <c r="A312" s="4">
        <v>299</v>
      </c>
      <c r="B312" s="49"/>
      <c r="C312" s="5"/>
      <c r="D312" s="16"/>
      <c r="E312" s="5"/>
      <c r="F312" s="5"/>
      <c r="G312" s="632"/>
      <c r="H312" s="633"/>
      <c r="I312" s="634"/>
      <c r="J312" s="7"/>
      <c r="K312" s="16"/>
      <c r="L312" s="5"/>
      <c r="M312" s="16"/>
      <c r="N312" s="16"/>
      <c r="O312" s="16"/>
      <c r="P312" s="16"/>
      <c r="Q312" s="31"/>
      <c r="R312" s="31"/>
      <c r="S312" s="31"/>
      <c r="T312" s="31"/>
    </row>
    <row r="313" spans="1:20" ht="15" thickBot="1" x14ac:dyDescent="0.4">
      <c r="A313" s="4">
        <v>300</v>
      </c>
      <c r="B313" s="49"/>
      <c r="C313" s="5"/>
      <c r="D313" s="16"/>
      <c r="E313" s="5"/>
      <c r="F313" s="5"/>
      <c r="G313" s="632"/>
      <c r="H313" s="633"/>
      <c r="I313" s="634"/>
      <c r="J313" s="7"/>
      <c r="K313" s="16"/>
      <c r="L313" s="5"/>
      <c r="M313" s="16"/>
      <c r="N313" s="16"/>
      <c r="O313" s="16"/>
      <c r="P313" s="16"/>
      <c r="Q313" s="31"/>
      <c r="R313" s="31"/>
      <c r="S313" s="31"/>
      <c r="T313" s="31"/>
    </row>
    <row r="314" spans="1:20" ht="15" thickBot="1" x14ac:dyDescent="0.4">
      <c r="A314" s="4">
        <v>301</v>
      </c>
      <c r="B314" s="49"/>
      <c r="C314" s="5"/>
      <c r="D314" s="16"/>
      <c r="E314" s="5"/>
      <c r="F314" s="5"/>
      <c r="G314" s="632"/>
      <c r="H314" s="633"/>
      <c r="I314" s="634"/>
      <c r="J314" s="7"/>
      <c r="K314" s="16"/>
      <c r="L314" s="5"/>
      <c r="M314" s="16"/>
      <c r="N314" s="16"/>
      <c r="O314" s="16"/>
      <c r="P314" s="16"/>
      <c r="Q314" s="31"/>
      <c r="R314" s="31"/>
      <c r="S314" s="31"/>
      <c r="T314" s="31"/>
    </row>
    <row r="315" spans="1:20" ht="15" thickBot="1" x14ac:dyDescent="0.4">
      <c r="A315" s="4">
        <v>302</v>
      </c>
      <c r="B315" s="49"/>
      <c r="C315" s="5"/>
      <c r="D315" s="16"/>
      <c r="E315" s="5"/>
      <c r="F315" s="5"/>
      <c r="G315" s="632"/>
      <c r="H315" s="633"/>
      <c r="I315" s="634"/>
      <c r="J315" s="7"/>
      <c r="K315" s="16"/>
      <c r="L315" s="5"/>
      <c r="M315" s="16"/>
      <c r="N315" s="16"/>
      <c r="O315" s="16"/>
      <c r="P315" s="16"/>
      <c r="Q315" s="31"/>
      <c r="R315" s="31"/>
      <c r="S315" s="31"/>
      <c r="T315" s="31"/>
    </row>
    <row r="316" spans="1:20" ht="15" thickBot="1" x14ac:dyDescent="0.4">
      <c r="A316" s="4">
        <v>303</v>
      </c>
      <c r="B316" s="49"/>
      <c r="C316" s="5"/>
      <c r="D316" s="16"/>
      <c r="E316" s="5"/>
      <c r="F316" s="5"/>
      <c r="G316" s="632"/>
      <c r="H316" s="633"/>
      <c r="I316" s="634"/>
      <c r="J316" s="7"/>
      <c r="K316" s="16"/>
      <c r="L316" s="5"/>
      <c r="M316" s="16"/>
      <c r="N316" s="16"/>
      <c r="O316" s="16"/>
      <c r="P316" s="16"/>
      <c r="Q316" s="31"/>
      <c r="R316" s="31"/>
      <c r="S316" s="31"/>
      <c r="T316" s="31"/>
    </row>
    <row r="317" spans="1:20" ht="15" thickBot="1" x14ac:dyDescent="0.4">
      <c r="A317" s="4">
        <v>304</v>
      </c>
      <c r="B317" s="49"/>
      <c r="C317" s="5"/>
      <c r="D317" s="16"/>
      <c r="E317" s="5"/>
      <c r="F317" s="5"/>
      <c r="G317" s="632"/>
      <c r="H317" s="633"/>
      <c r="I317" s="634"/>
      <c r="J317" s="7"/>
      <c r="K317" s="16"/>
      <c r="L317" s="5"/>
      <c r="M317" s="16"/>
      <c r="N317" s="16"/>
      <c r="O317" s="16"/>
      <c r="P317" s="16"/>
      <c r="Q317" s="31"/>
      <c r="R317" s="31"/>
      <c r="S317" s="31"/>
      <c r="T317" s="31"/>
    </row>
    <row r="318" spans="1:20" ht="15" thickBot="1" x14ac:dyDescent="0.4">
      <c r="A318" s="4">
        <v>305</v>
      </c>
      <c r="B318" s="49"/>
      <c r="C318" s="5"/>
      <c r="D318" s="16"/>
      <c r="E318" s="5"/>
      <c r="F318" s="5"/>
      <c r="G318" s="632"/>
      <c r="H318" s="633"/>
      <c r="I318" s="634"/>
      <c r="J318" s="7"/>
      <c r="K318" s="16"/>
      <c r="L318" s="5"/>
      <c r="M318" s="16"/>
      <c r="N318" s="16"/>
      <c r="O318" s="16"/>
      <c r="P318" s="16"/>
      <c r="Q318" s="31"/>
      <c r="R318" s="31"/>
      <c r="S318" s="31"/>
      <c r="T318" s="31"/>
    </row>
    <row r="319" spans="1:20" ht="15" thickBot="1" x14ac:dyDescent="0.4">
      <c r="A319" s="4">
        <v>306</v>
      </c>
      <c r="B319" s="49"/>
      <c r="C319" s="5"/>
      <c r="D319" s="16"/>
      <c r="E319" s="5"/>
      <c r="F319" s="5"/>
      <c r="G319" s="632"/>
      <c r="H319" s="633"/>
      <c r="I319" s="634"/>
      <c r="J319" s="7"/>
      <c r="K319" s="16"/>
      <c r="L319" s="5"/>
      <c r="M319" s="16"/>
      <c r="N319" s="16"/>
      <c r="O319" s="16"/>
      <c r="P319" s="16"/>
      <c r="Q319" s="31"/>
      <c r="R319" s="31"/>
      <c r="S319" s="31"/>
      <c r="T319" s="31"/>
    </row>
    <row r="320" spans="1:20" ht="15" thickBot="1" x14ac:dyDescent="0.4">
      <c r="A320" s="4">
        <v>307</v>
      </c>
      <c r="B320" s="49"/>
      <c r="C320" s="5"/>
      <c r="D320" s="16"/>
      <c r="E320" s="5"/>
      <c r="F320" s="5"/>
      <c r="G320" s="632"/>
      <c r="H320" s="633"/>
      <c r="I320" s="634"/>
      <c r="J320" s="7"/>
      <c r="K320" s="16"/>
      <c r="L320" s="5"/>
      <c r="M320" s="16"/>
      <c r="N320" s="16"/>
      <c r="O320" s="16"/>
      <c r="P320" s="16"/>
      <c r="Q320" s="31"/>
      <c r="R320" s="31"/>
      <c r="S320" s="31"/>
      <c r="T320" s="31"/>
    </row>
    <row r="321" spans="1:20" ht="15" thickBot="1" x14ac:dyDescent="0.4">
      <c r="A321" s="4">
        <v>308</v>
      </c>
      <c r="B321" s="49"/>
      <c r="C321" s="5"/>
      <c r="D321" s="16"/>
      <c r="E321" s="5"/>
      <c r="F321" s="5"/>
      <c r="G321" s="632"/>
      <c r="H321" s="633"/>
      <c r="I321" s="634"/>
      <c r="J321" s="7"/>
      <c r="K321" s="16"/>
      <c r="L321" s="5"/>
      <c r="M321" s="16"/>
      <c r="N321" s="16"/>
      <c r="O321" s="16"/>
      <c r="P321" s="16"/>
      <c r="Q321" s="31"/>
      <c r="R321" s="31"/>
      <c r="S321" s="31"/>
      <c r="T321" s="31"/>
    </row>
    <row r="322" spans="1:20" ht="15" thickBot="1" x14ac:dyDescent="0.4">
      <c r="A322" s="4">
        <v>309</v>
      </c>
      <c r="B322" s="49"/>
      <c r="C322" s="5"/>
      <c r="D322" s="16"/>
      <c r="E322" s="5"/>
      <c r="F322" s="5"/>
      <c r="G322" s="632"/>
      <c r="H322" s="633"/>
      <c r="I322" s="634"/>
      <c r="J322" s="7"/>
      <c r="K322" s="16"/>
      <c r="L322" s="5"/>
      <c r="M322" s="16"/>
      <c r="N322" s="16"/>
      <c r="O322" s="16"/>
      <c r="P322" s="16"/>
      <c r="Q322" s="31"/>
      <c r="R322" s="31"/>
      <c r="S322" s="31"/>
      <c r="T322" s="31"/>
    </row>
    <row r="323" spans="1:20" ht="15" thickBot="1" x14ac:dyDescent="0.4">
      <c r="A323" s="4">
        <v>310</v>
      </c>
      <c r="B323" s="49"/>
      <c r="C323" s="5"/>
      <c r="D323" s="16"/>
      <c r="E323" s="5"/>
      <c r="F323" s="5"/>
      <c r="G323" s="632"/>
      <c r="H323" s="633"/>
      <c r="I323" s="634"/>
      <c r="J323" s="7"/>
      <c r="K323" s="16"/>
      <c r="L323" s="5"/>
      <c r="M323" s="16"/>
      <c r="N323" s="16"/>
      <c r="O323" s="16"/>
      <c r="P323" s="16"/>
      <c r="Q323" s="31"/>
      <c r="R323" s="31"/>
      <c r="S323" s="31"/>
      <c r="T323" s="31"/>
    </row>
    <row r="324" spans="1:20" ht="15" thickBot="1" x14ac:dyDescent="0.4">
      <c r="A324" s="4">
        <v>311</v>
      </c>
      <c r="B324" s="49"/>
      <c r="C324" s="5"/>
      <c r="D324" s="16"/>
      <c r="E324" s="5"/>
      <c r="F324" s="5"/>
      <c r="G324" s="632"/>
      <c r="H324" s="633"/>
      <c r="I324" s="634"/>
      <c r="J324" s="7"/>
      <c r="K324" s="16"/>
      <c r="L324" s="5"/>
      <c r="M324" s="16"/>
      <c r="N324" s="16"/>
      <c r="O324" s="16"/>
      <c r="P324" s="16"/>
      <c r="Q324" s="31"/>
      <c r="R324" s="31"/>
      <c r="S324" s="31"/>
      <c r="T324" s="31"/>
    </row>
    <row r="325" spans="1:20" ht="15" thickBot="1" x14ac:dyDescent="0.4">
      <c r="A325" s="4">
        <v>312</v>
      </c>
      <c r="B325" s="49"/>
      <c r="C325" s="5"/>
      <c r="D325" s="16"/>
      <c r="E325" s="5"/>
      <c r="F325" s="5"/>
      <c r="G325" s="632"/>
      <c r="H325" s="633"/>
      <c r="I325" s="634"/>
      <c r="J325" s="7"/>
      <c r="K325" s="16"/>
      <c r="L325" s="5"/>
      <c r="M325" s="16"/>
      <c r="N325" s="16"/>
      <c r="O325" s="16"/>
      <c r="P325" s="16"/>
      <c r="Q325" s="31"/>
      <c r="R325" s="31"/>
      <c r="S325" s="31"/>
      <c r="T325" s="31"/>
    </row>
    <row r="326" spans="1:20" ht="15" thickBot="1" x14ac:dyDescent="0.4">
      <c r="A326" s="4">
        <v>313</v>
      </c>
      <c r="B326" s="49"/>
      <c r="C326" s="5"/>
      <c r="D326" s="16"/>
      <c r="E326" s="5"/>
      <c r="F326" s="5"/>
      <c r="G326" s="632"/>
      <c r="H326" s="633"/>
      <c r="I326" s="634"/>
      <c r="J326" s="7"/>
      <c r="K326" s="16"/>
      <c r="L326" s="5"/>
      <c r="M326" s="16"/>
      <c r="N326" s="16"/>
      <c r="O326" s="16"/>
      <c r="P326" s="16"/>
      <c r="Q326" s="31"/>
      <c r="R326" s="31"/>
      <c r="S326" s="31"/>
      <c r="T326" s="31"/>
    </row>
    <row r="327" spans="1:20" ht="15" thickBot="1" x14ac:dyDescent="0.4">
      <c r="A327" s="4">
        <v>314</v>
      </c>
      <c r="B327" s="49"/>
      <c r="C327" s="5"/>
      <c r="D327" s="16"/>
      <c r="E327" s="5"/>
      <c r="F327" s="5"/>
      <c r="G327" s="632"/>
      <c r="H327" s="633"/>
      <c r="I327" s="634"/>
      <c r="J327" s="7"/>
      <c r="K327" s="16"/>
      <c r="L327" s="5"/>
      <c r="M327" s="16"/>
      <c r="N327" s="16"/>
      <c r="O327" s="16"/>
      <c r="P327" s="16"/>
      <c r="Q327" s="31"/>
      <c r="R327" s="31"/>
      <c r="S327" s="31"/>
      <c r="T327" s="31"/>
    </row>
    <row r="328" spans="1:20" ht="15" thickBot="1" x14ac:dyDescent="0.4">
      <c r="A328" s="4">
        <v>315</v>
      </c>
      <c r="B328" s="49"/>
      <c r="C328" s="5"/>
      <c r="D328" s="16"/>
      <c r="E328" s="5"/>
      <c r="F328" s="5"/>
      <c r="G328" s="632"/>
      <c r="H328" s="633"/>
      <c r="I328" s="634"/>
      <c r="J328" s="7"/>
      <c r="K328" s="16"/>
      <c r="L328" s="5"/>
      <c r="M328" s="16"/>
      <c r="N328" s="16"/>
      <c r="O328" s="16"/>
      <c r="P328" s="16"/>
      <c r="Q328" s="31"/>
      <c r="R328" s="31"/>
      <c r="S328" s="31"/>
      <c r="T328" s="31"/>
    </row>
    <row r="329" spans="1:20" ht="15" thickBot="1" x14ac:dyDescent="0.4">
      <c r="A329" s="4">
        <v>316</v>
      </c>
      <c r="B329" s="49"/>
      <c r="C329" s="5"/>
      <c r="D329" s="16"/>
      <c r="E329" s="5"/>
      <c r="F329" s="5"/>
      <c r="G329" s="632"/>
      <c r="H329" s="633"/>
      <c r="I329" s="634"/>
      <c r="J329" s="7"/>
      <c r="K329" s="16"/>
      <c r="L329" s="5"/>
      <c r="M329" s="16"/>
      <c r="N329" s="16"/>
      <c r="O329" s="16"/>
      <c r="P329" s="16"/>
      <c r="Q329" s="31"/>
      <c r="R329" s="31"/>
      <c r="S329" s="31"/>
      <c r="T329" s="31"/>
    </row>
    <row r="330" spans="1:20" ht="15" thickBot="1" x14ac:dyDescent="0.4">
      <c r="A330" s="4">
        <v>317</v>
      </c>
      <c r="B330" s="49"/>
      <c r="C330" s="5"/>
      <c r="D330" s="16"/>
      <c r="E330" s="5"/>
      <c r="F330" s="5"/>
      <c r="G330" s="632"/>
      <c r="H330" s="633"/>
      <c r="I330" s="634"/>
      <c r="J330" s="7"/>
      <c r="K330" s="16"/>
      <c r="L330" s="5"/>
      <c r="M330" s="16"/>
      <c r="N330" s="16"/>
      <c r="O330" s="16"/>
      <c r="P330" s="16"/>
      <c r="Q330" s="31"/>
      <c r="R330" s="31"/>
      <c r="S330" s="31"/>
      <c r="T330" s="31"/>
    </row>
    <row r="331" spans="1:20" ht="15" thickBot="1" x14ac:dyDescent="0.4">
      <c r="A331" s="4">
        <v>318</v>
      </c>
      <c r="B331" s="49"/>
      <c r="C331" s="5"/>
      <c r="D331" s="16"/>
      <c r="E331" s="5"/>
      <c r="F331" s="5"/>
      <c r="G331" s="632"/>
      <c r="H331" s="633"/>
      <c r="I331" s="634"/>
      <c r="J331" s="7"/>
      <c r="K331" s="16"/>
      <c r="L331" s="5"/>
      <c r="M331" s="16"/>
      <c r="N331" s="16"/>
      <c r="O331" s="16"/>
      <c r="P331" s="16"/>
      <c r="Q331" s="31"/>
      <c r="R331" s="31"/>
      <c r="S331" s="31"/>
      <c r="T331" s="31"/>
    </row>
    <row r="332" spans="1:20" ht="15" thickBot="1" x14ac:dyDescent="0.4">
      <c r="A332" s="4">
        <v>319</v>
      </c>
      <c r="B332" s="49"/>
      <c r="C332" s="5"/>
      <c r="D332" s="16"/>
      <c r="E332" s="5"/>
      <c r="F332" s="5"/>
      <c r="G332" s="632"/>
      <c r="H332" s="633"/>
      <c r="I332" s="634"/>
      <c r="J332" s="7"/>
      <c r="K332" s="16"/>
      <c r="L332" s="5"/>
      <c r="M332" s="16"/>
      <c r="N332" s="16"/>
      <c r="O332" s="16"/>
      <c r="P332" s="16"/>
      <c r="Q332" s="31"/>
      <c r="R332" s="31"/>
      <c r="S332" s="31"/>
      <c r="T332" s="31"/>
    </row>
    <row r="333" spans="1:20" ht="15" thickBot="1" x14ac:dyDescent="0.4">
      <c r="A333" s="4">
        <v>320</v>
      </c>
      <c r="B333" s="49"/>
      <c r="C333" s="5"/>
      <c r="D333" s="16"/>
      <c r="E333" s="5"/>
      <c r="F333" s="5"/>
      <c r="G333" s="632"/>
      <c r="H333" s="633"/>
      <c r="I333" s="634"/>
      <c r="J333" s="7"/>
      <c r="K333" s="16"/>
      <c r="L333" s="5"/>
      <c r="M333" s="16"/>
      <c r="N333" s="16"/>
      <c r="O333" s="16"/>
      <c r="P333" s="16"/>
      <c r="Q333" s="31"/>
      <c r="R333" s="31"/>
      <c r="S333" s="31"/>
      <c r="T333" s="31"/>
    </row>
    <row r="334" spans="1:20" ht="15" thickBot="1" x14ac:dyDescent="0.4">
      <c r="A334" s="4">
        <v>321</v>
      </c>
      <c r="B334" s="49"/>
      <c r="C334" s="5"/>
      <c r="D334" s="16"/>
      <c r="E334" s="5"/>
      <c r="F334" s="5"/>
      <c r="G334" s="632"/>
      <c r="H334" s="633"/>
      <c r="I334" s="634"/>
      <c r="J334" s="7"/>
      <c r="K334" s="16"/>
      <c r="L334" s="5"/>
      <c r="M334" s="16"/>
      <c r="N334" s="16"/>
      <c r="O334" s="16"/>
      <c r="P334" s="16"/>
      <c r="Q334" s="31"/>
      <c r="R334" s="31"/>
      <c r="S334" s="31"/>
      <c r="T334" s="31"/>
    </row>
    <row r="335" spans="1:20" ht="15" thickBot="1" x14ac:dyDescent="0.4">
      <c r="A335" s="4">
        <v>322</v>
      </c>
      <c r="B335" s="49"/>
      <c r="C335" s="5"/>
      <c r="D335" s="16"/>
      <c r="E335" s="5"/>
      <c r="F335" s="5"/>
      <c r="G335" s="632"/>
      <c r="H335" s="633"/>
      <c r="I335" s="634"/>
      <c r="J335" s="7"/>
      <c r="K335" s="16"/>
      <c r="L335" s="5"/>
      <c r="M335" s="16"/>
      <c r="N335" s="16"/>
      <c r="O335" s="16"/>
      <c r="P335" s="16"/>
      <c r="Q335" s="31"/>
      <c r="R335" s="31"/>
      <c r="S335" s="31"/>
      <c r="T335" s="31"/>
    </row>
    <row r="336" spans="1:20" ht="15" thickBot="1" x14ac:dyDescent="0.4">
      <c r="A336" s="4">
        <v>323</v>
      </c>
      <c r="B336" s="49"/>
      <c r="C336" s="5"/>
      <c r="D336" s="16"/>
      <c r="E336" s="5"/>
      <c r="F336" s="5"/>
      <c r="G336" s="632"/>
      <c r="H336" s="633"/>
      <c r="I336" s="634"/>
      <c r="J336" s="7"/>
      <c r="K336" s="16"/>
      <c r="L336" s="5"/>
      <c r="M336" s="16"/>
      <c r="N336" s="16"/>
      <c r="O336" s="16"/>
      <c r="P336" s="16"/>
      <c r="Q336" s="31"/>
      <c r="R336" s="31"/>
      <c r="S336" s="31"/>
      <c r="T336" s="31"/>
    </row>
    <row r="337" spans="1:20" ht="15" thickBot="1" x14ac:dyDescent="0.4">
      <c r="A337" s="4">
        <v>324</v>
      </c>
      <c r="B337" s="49"/>
      <c r="C337" s="5"/>
      <c r="D337" s="16"/>
      <c r="E337" s="5"/>
      <c r="F337" s="5"/>
      <c r="G337" s="632"/>
      <c r="H337" s="633"/>
      <c r="I337" s="634"/>
      <c r="J337" s="7"/>
      <c r="K337" s="16"/>
      <c r="L337" s="5"/>
      <c r="M337" s="16"/>
      <c r="N337" s="16"/>
      <c r="O337" s="16"/>
      <c r="P337" s="16"/>
      <c r="Q337" s="31"/>
      <c r="R337" s="31"/>
      <c r="S337" s="31"/>
      <c r="T337" s="31"/>
    </row>
    <row r="338" spans="1:20" ht="15" thickBot="1" x14ac:dyDescent="0.4">
      <c r="A338" s="4">
        <v>325</v>
      </c>
      <c r="B338" s="49"/>
      <c r="C338" s="5"/>
      <c r="D338" s="16"/>
      <c r="E338" s="5"/>
      <c r="F338" s="5"/>
      <c r="G338" s="632"/>
      <c r="H338" s="633"/>
      <c r="I338" s="634"/>
      <c r="J338" s="7"/>
      <c r="K338" s="16"/>
      <c r="L338" s="5"/>
      <c r="M338" s="16"/>
      <c r="N338" s="16"/>
      <c r="O338" s="16"/>
      <c r="P338" s="16"/>
      <c r="Q338" s="31"/>
      <c r="R338" s="31"/>
      <c r="S338" s="31"/>
      <c r="T338" s="31"/>
    </row>
    <row r="339" spans="1:20" ht="15" thickBot="1" x14ac:dyDescent="0.4">
      <c r="A339" s="4">
        <v>326</v>
      </c>
      <c r="B339" s="49"/>
      <c r="C339" s="5"/>
      <c r="D339" s="16"/>
      <c r="E339" s="5"/>
      <c r="F339" s="5"/>
      <c r="G339" s="632"/>
      <c r="H339" s="633"/>
      <c r="I339" s="634"/>
      <c r="J339" s="7"/>
      <c r="K339" s="16"/>
      <c r="L339" s="5"/>
      <c r="M339" s="16"/>
      <c r="N339" s="16"/>
      <c r="O339" s="16"/>
      <c r="P339" s="16"/>
      <c r="Q339" s="31"/>
      <c r="R339" s="31"/>
      <c r="S339" s="31"/>
      <c r="T339" s="31"/>
    </row>
    <row r="340" spans="1:20" ht="15" thickBot="1" x14ac:dyDescent="0.4">
      <c r="A340" s="4">
        <v>327</v>
      </c>
      <c r="B340" s="49"/>
      <c r="C340" s="5"/>
      <c r="D340" s="16"/>
      <c r="E340" s="5"/>
      <c r="F340" s="5"/>
      <c r="G340" s="632"/>
      <c r="H340" s="633"/>
      <c r="I340" s="634"/>
      <c r="J340" s="7"/>
      <c r="K340" s="16"/>
      <c r="L340" s="5"/>
      <c r="M340" s="16"/>
      <c r="N340" s="16"/>
      <c r="O340" s="16"/>
      <c r="P340" s="16"/>
      <c r="Q340" s="31"/>
      <c r="R340" s="31"/>
      <c r="S340" s="31"/>
      <c r="T340" s="31"/>
    </row>
    <row r="341" spans="1:20" ht="15" thickBot="1" x14ac:dyDescent="0.4">
      <c r="A341" s="4">
        <v>328</v>
      </c>
      <c r="B341" s="49"/>
      <c r="C341" s="5"/>
      <c r="D341" s="16"/>
      <c r="E341" s="5"/>
      <c r="F341" s="5"/>
      <c r="G341" s="632"/>
      <c r="H341" s="633"/>
      <c r="I341" s="634"/>
      <c r="J341" s="7"/>
      <c r="K341" s="16"/>
      <c r="L341" s="5"/>
      <c r="M341" s="16"/>
      <c r="N341" s="16"/>
      <c r="O341" s="16"/>
      <c r="P341" s="16"/>
      <c r="Q341" s="31"/>
      <c r="R341" s="31"/>
      <c r="S341" s="31"/>
      <c r="T341" s="31"/>
    </row>
    <row r="342" spans="1:20" ht="15" thickBot="1" x14ac:dyDescent="0.4">
      <c r="A342" s="4">
        <v>329</v>
      </c>
      <c r="B342" s="49"/>
      <c r="C342" s="5"/>
      <c r="D342" s="16"/>
      <c r="E342" s="5"/>
      <c r="F342" s="5"/>
      <c r="G342" s="632"/>
      <c r="H342" s="633"/>
      <c r="I342" s="634"/>
      <c r="J342" s="7"/>
      <c r="K342" s="16"/>
      <c r="L342" s="5"/>
      <c r="M342" s="16"/>
      <c r="N342" s="16"/>
      <c r="O342" s="16"/>
      <c r="P342" s="16"/>
      <c r="Q342" s="31"/>
      <c r="R342" s="31"/>
      <c r="S342" s="31"/>
      <c r="T342" s="31"/>
    </row>
    <row r="343" spans="1:20" ht="15" thickBot="1" x14ac:dyDescent="0.4">
      <c r="A343" s="4">
        <v>330</v>
      </c>
      <c r="B343" s="49"/>
      <c r="C343" s="5"/>
      <c r="D343" s="16"/>
      <c r="E343" s="5"/>
      <c r="F343" s="5"/>
      <c r="G343" s="632"/>
      <c r="H343" s="633"/>
      <c r="I343" s="634"/>
      <c r="J343" s="7"/>
      <c r="K343" s="16"/>
      <c r="L343" s="5"/>
      <c r="M343" s="16"/>
      <c r="N343" s="16"/>
      <c r="O343" s="16"/>
      <c r="P343" s="16"/>
      <c r="Q343" s="31"/>
      <c r="R343" s="31"/>
      <c r="S343" s="31"/>
      <c r="T343" s="31"/>
    </row>
    <row r="344" spans="1:20" ht="15" thickBot="1" x14ac:dyDescent="0.4">
      <c r="A344" s="4">
        <v>331</v>
      </c>
      <c r="B344" s="49"/>
      <c r="C344" s="5"/>
      <c r="D344" s="16"/>
      <c r="E344" s="5"/>
      <c r="F344" s="5"/>
      <c r="G344" s="632"/>
      <c r="H344" s="633"/>
      <c r="I344" s="634"/>
      <c r="J344" s="7"/>
      <c r="K344" s="16"/>
      <c r="L344" s="5"/>
      <c r="M344" s="16"/>
      <c r="N344" s="16"/>
      <c r="O344" s="16"/>
      <c r="P344" s="16"/>
      <c r="Q344" s="31"/>
      <c r="R344" s="31"/>
      <c r="S344" s="31"/>
      <c r="T344" s="31"/>
    </row>
    <row r="345" spans="1:20" ht="15" thickBot="1" x14ac:dyDescent="0.4">
      <c r="A345" s="4">
        <v>332</v>
      </c>
      <c r="B345" s="49"/>
      <c r="C345" s="5"/>
      <c r="D345" s="16"/>
      <c r="E345" s="5"/>
      <c r="F345" s="5"/>
      <c r="G345" s="632"/>
      <c r="H345" s="633"/>
      <c r="I345" s="634"/>
      <c r="J345" s="7"/>
      <c r="K345" s="16"/>
      <c r="L345" s="5"/>
      <c r="M345" s="16"/>
      <c r="N345" s="16"/>
      <c r="O345" s="16"/>
      <c r="P345" s="16"/>
      <c r="Q345" s="31"/>
      <c r="R345" s="31"/>
      <c r="S345" s="31"/>
      <c r="T345" s="31"/>
    </row>
    <row r="346" spans="1:20" ht="15" thickBot="1" x14ac:dyDescent="0.4">
      <c r="A346" s="4">
        <v>333</v>
      </c>
      <c r="B346" s="49"/>
      <c r="C346" s="5"/>
      <c r="D346" s="16"/>
      <c r="E346" s="5"/>
      <c r="F346" s="5"/>
      <c r="G346" s="632"/>
      <c r="H346" s="633"/>
      <c r="I346" s="634"/>
      <c r="J346" s="7"/>
      <c r="K346" s="16"/>
      <c r="L346" s="5"/>
      <c r="M346" s="16"/>
      <c r="N346" s="16"/>
      <c r="O346" s="16"/>
      <c r="P346" s="16"/>
      <c r="Q346" s="31"/>
      <c r="R346" s="31"/>
      <c r="S346" s="31"/>
      <c r="T346" s="31"/>
    </row>
    <row r="347" spans="1:20" ht="15" thickBot="1" x14ac:dyDescent="0.4">
      <c r="A347" s="4">
        <v>334</v>
      </c>
      <c r="B347" s="49"/>
      <c r="C347" s="5"/>
      <c r="D347" s="16"/>
      <c r="E347" s="5"/>
      <c r="F347" s="5"/>
      <c r="G347" s="632"/>
      <c r="H347" s="633"/>
      <c r="I347" s="634"/>
      <c r="J347" s="7"/>
      <c r="K347" s="16"/>
      <c r="L347" s="5"/>
      <c r="M347" s="16"/>
      <c r="N347" s="16"/>
      <c r="O347" s="16"/>
      <c r="P347" s="16"/>
      <c r="Q347" s="31"/>
      <c r="R347" s="31"/>
      <c r="S347" s="31"/>
      <c r="T347" s="31"/>
    </row>
    <row r="348" spans="1:20" ht="15" thickBot="1" x14ac:dyDescent="0.4">
      <c r="A348" s="4">
        <v>335</v>
      </c>
      <c r="B348" s="49"/>
      <c r="C348" s="5"/>
      <c r="D348" s="16"/>
      <c r="E348" s="5"/>
      <c r="F348" s="5"/>
      <c r="G348" s="632"/>
      <c r="H348" s="633"/>
      <c r="I348" s="634"/>
      <c r="J348" s="7"/>
      <c r="K348" s="16"/>
      <c r="L348" s="5"/>
      <c r="M348" s="16"/>
      <c r="N348" s="16"/>
      <c r="O348" s="16"/>
      <c r="P348" s="16"/>
      <c r="Q348" s="31"/>
      <c r="R348" s="31"/>
      <c r="S348" s="31"/>
      <c r="T348" s="31"/>
    </row>
    <row r="349" spans="1:20" ht="15" thickBot="1" x14ac:dyDescent="0.4">
      <c r="A349" s="4">
        <v>336</v>
      </c>
      <c r="B349" s="49"/>
      <c r="C349" s="5"/>
      <c r="D349" s="16"/>
      <c r="E349" s="5"/>
      <c r="F349" s="5"/>
      <c r="G349" s="632"/>
      <c r="H349" s="633"/>
      <c r="I349" s="634"/>
      <c r="J349" s="7"/>
      <c r="K349" s="16"/>
      <c r="L349" s="5"/>
      <c r="M349" s="16"/>
      <c r="N349" s="16"/>
      <c r="O349" s="16"/>
      <c r="P349" s="16"/>
      <c r="Q349" s="31"/>
      <c r="R349" s="31"/>
      <c r="S349" s="31"/>
      <c r="T349" s="31"/>
    </row>
    <row r="350" spans="1:20" ht="15" thickBot="1" x14ac:dyDescent="0.4">
      <c r="A350" s="4">
        <v>337</v>
      </c>
      <c r="B350" s="49"/>
      <c r="C350" s="5"/>
      <c r="D350" s="16"/>
      <c r="E350" s="5"/>
      <c r="F350" s="5"/>
      <c r="G350" s="632"/>
      <c r="H350" s="633"/>
      <c r="I350" s="634"/>
      <c r="J350" s="7"/>
      <c r="K350" s="16"/>
      <c r="L350" s="5"/>
      <c r="M350" s="16"/>
      <c r="N350" s="16"/>
      <c r="O350" s="16"/>
      <c r="P350" s="16"/>
      <c r="Q350" s="31"/>
      <c r="R350" s="31"/>
      <c r="S350" s="31"/>
      <c r="T350" s="31"/>
    </row>
    <row r="351" spans="1:20" ht="15" thickBot="1" x14ac:dyDescent="0.4">
      <c r="A351" s="4">
        <v>338</v>
      </c>
      <c r="B351" s="49"/>
      <c r="C351" s="5"/>
      <c r="D351" s="16"/>
      <c r="E351" s="5"/>
      <c r="F351" s="5"/>
      <c r="G351" s="632"/>
      <c r="H351" s="633"/>
      <c r="I351" s="634"/>
      <c r="J351" s="7"/>
      <c r="K351" s="16"/>
      <c r="L351" s="5"/>
      <c r="M351" s="16"/>
      <c r="N351" s="16"/>
      <c r="O351" s="16"/>
      <c r="P351" s="16"/>
      <c r="Q351" s="31"/>
      <c r="R351" s="31"/>
      <c r="S351" s="31"/>
      <c r="T351" s="31"/>
    </row>
    <row r="352" spans="1:20" ht="15" thickBot="1" x14ac:dyDescent="0.4">
      <c r="A352" s="4">
        <v>339</v>
      </c>
      <c r="B352" s="49"/>
      <c r="C352" s="5"/>
      <c r="D352" s="16"/>
      <c r="E352" s="5"/>
      <c r="F352" s="5"/>
      <c r="G352" s="632"/>
      <c r="H352" s="633"/>
      <c r="I352" s="634"/>
      <c r="J352" s="7"/>
      <c r="K352" s="16"/>
      <c r="L352" s="5"/>
      <c r="M352" s="16"/>
      <c r="N352" s="16"/>
      <c r="O352" s="16"/>
      <c r="P352" s="16"/>
      <c r="Q352" s="31"/>
      <c r="R352" s="31"/>
      <c r="S352" s="31"/>
      <c r="T352" s="31"/>
    </row>
    <row r="353" spans="1:20" ht="15" thickBot="1" x14ac:dyDescent="0.4">
      <c r="A353" s="4">
        <v>340</v>
      </c>
      <c r="B353" s="49"/>
      <c r="C353" s="5"/>
      <c r="D353" s="16"/>
      <c r="E353" s="5"/>
      <c r="F353" s="5"/>
      <c r="G353" s="632"/>
      <c r="H353" s="633"/>
      <c r="I353" s="634"/>
      <c r="J353" s="7"/>
      <c r="K353" s="16"/>
      <c r="L353" s="5"/>
      <c r="M353" s="16"/>
      <c r="N353" s="16"/>
      <c r="O353" s="16"/>
      <c r="P353" s="16"/>
      <c r="Q353" s="31"/>
      <c r="R353" s="31"/>
      <c r="S353" s="31"/>
      <c r="T353" s="31"/>
    </row>
    <row r="354" spans="1:20" ht="15" thickBot="1" x14ac:dyDescent="0.4">
      <c r="A354" s="4">
        <v>341</v>
      </c>
      <c r="B354" s="49"/>
      <c r="C354" s="5"/>
      <c r="D354" s="16"/>
      <c r="E354" s="5"/>
      <c r="F354" s="5"/>
      <c r="G354" s="632"/>
      <c r="H354" s="633"/>
      <c r="I354" s="634"/>
      <c r="J354" s="7"/>
      <c r="K354" s="16"/>
      <c r="L354" s="5"/>
      <c r="M354" s="16"/>
      <c r="N354" s="16"/>
      <c r="O354" s="16"/>
      <c r="P354" s="16"/>
      <c r="Q354" s="31"/>
      <c r="R354" s="31"/>
      <c r="S354" s="31"/>
      <c r="T354" s="31"/>
    </row>
    <row r="355" spans="1:20" ht="15" thickBot="1" x14ac:dyDescent="0.4">
      <c r="A355" s="4">
        <v>342</v>
      </c>
      <c r="B355" s="49"/>
      <c r="C355" s="5"/>
      <c r="D355" s="16"/>
      <c r="E355" s="5"/>
      <c r="F355" s="5"/>
      <c r="G355" s="632"/>
      <c r="H355" s="633"/>
      <c r="I355" s="634"/>
      <c r="J355" s="7"/>
      <c r="K355" s="16"/>
      <c r="L355" s="5"/>
      <c r="M355" s="16"/>
      <c r="N355" s="16"/>
      <c r="O355" s="16"/>
      <c r="P355" s="16"/>
      <c r="Q355" s="31"/>
      <c r="R355" s="31"/>
      <c r="S355" s="31"/>
      <c r="T355" s="31"/>
    </row>
    <row r="356" spans="1:20" ht="15" thickBot="1" x14ac:dyDescent="0.4">
      <c r="A356" s="4">
        <v>343</v>
      </c>
      <c r="B356" s="49"/>
      <c r="C356" s="5"/>
      <c r="D356" s="16"/>
      <c r="E356" s="5"/>
      <c r="F356" s="5"/>
      <c r="G356" s="632"/>
      <c r="H356" s="633"/>
      <c r="I356" s="634"/>
      <c r="J356" s="7"/>
      <c r="K356" s="16"/>
      <c r="L356" s="5"/>
      <c r="M356" s="16"/>
      <c r="N356" s="16"/>
      <c r="O356" s="16"/>
      <c r="P356" s="16"/>
      <c r="Q356" s="31"/>
      <c r="R356" s="31"/>
      <c r="S356" s="31"/>
      <c r="T356" s="31"/>
    </row>
    <row r="357" spans="1:20" ht="15" thickBot="1" x14ac:dyDescent="0.4">
      <c r="A357" s="4">
        <v>344</v>
      </c>
      <c r="B357" s="49"/>
      <c r="C357" s="5"/>
      <c r="D357" s="16"/>
      <c r="E357" s="5"/>
      <c r="F357" s="5"/>
      <c r="G357" s="632"/>
      <c r="H357" s="633"/>
      <c r="I357" s="634"/>
      <c r="J357" s="7"/>
      <c r="K357" s="16"/>
      <c r="L357" s="5"/>
      <c r="M357" s="16"/>
      <c r="N357" s="16"/>
      <c r="O357" s="16"/>
      <c r="P357" s="16"/>
      <c r="Q357" s="31"/>
      <c r="R357" s="31"/>
      <c r="S357" s="31"/>
      <c r="T357" s="31"/>
    </row>
    <row r="358" spans="1:20" ht="15" thickBot="1" x14ac:dyDescent="0.4">
      <c r="A358" s="4">
        <v>345</v>
      </c>
      <c r="B358" s="49"/>
      <c r="C358" s="5"/>
      <c r="D358" s="16"/>
      <c r="E358" s="5"/>
      <c r="F358" s="5"/>
      <c r="G358" s="632"/>
      <c r="H358" s="633"/>
      <c r="I358" s="634"/>
      <c r="J358" s="7"/>
      <c r="K358" s="16"/>
      <c r="L358" s="5"/>
      <c r="M358" s="16"/>
      <c r="N358" s="16"/>
      <c r="O358" s="16"/>
      <c r="P358" s="16"/>
      <c r="Q358" s="31"/>
      <c r="R358" s="31"/>
      <c r="S358" s="31"/>
      <c r="T358" s="31"/>
    </row>
    <row r="359" spans="1:20" ht="15" thickBot="1" x14ac:dyDescent="0.4">
      <c r="A359" s="4">
        <v>346</v>
      </c>
      <c r="B359" s="49"/>
      <c r="C359" s="5"/>
      <c r="D359" s="16"/>
      <c r="E359" s="5"/>
      <c r="F359" s="5"/>
      <c r="G359" s="632"/>
      <c r="H359" s="633"/>
      <c r="I359" s="634"/>
      <c r="J359" s="7"/>
      <c r="K359" s="16"/>
      <c r="L359" s="5"/>
      <c r="M359" s="16"/>
      <c r="N359" s="16"/>
      <c r="O359" s="16"/>
      <c r="P359" s="16"/>
      <c r="Q359" s="31"/>
      <c r="R359" s="31"/>
      <c r="S359" s="31"/>
      <c r="T359" s="31"/>
    </row>
    <row r="360" spans="1:20" ht="15" thickBot="1" x14ac:dyDescent="0.4">
      <c r="A360" s="4">
        <v>347</v>
      </c>
      <c r="B360" s="49"/>
      <c r="C360" s="5"/>
      <c r="D360" s="16"/>
      <c r="E360" s="5"/>
      <c r="F360" s="5"/>
      <c r="G360" s="632"/>
      <c r="H360" s="633"/>
      <c r="I360" s="634"/>
      <c r="J360" s="7"/>
      <c r="K360" s="16"/>
      <c r="L360" s="5"/>
      <c r="M360" s="16"/>
      <c r="N360" s="16"/>
      <c r="O360" s="16"/>
      <c r="P360" s="16"/>
      <c r="Q360" s="31"/>
      <c r="R360" s="31"/>
      <c r="S360" s="31"/>
      <c r="T360" s="31"/>
    </row>
    <row r="361" spans="1:20" ht="15" thickBot="1" x14ac:dyDescent="0.4">
      <c r="A361" s="4">
        <v>348</v>
      </c>
      <c r="B361" s="49"/>
      <c r="C361" s="5"/>
      <c r="D361" s="16"/>
      <c r="E361" s="5"/>
      <c r="F361" s="5"/>
      <c r="G361" s="632"/>
      <c r="H361" s="633"/>
      <c r="I361" s="634"/>
      <c r="J361" s="7"/>
      <c r="K361" s="16"/>
      <c r="L361" s="5"/>
      <c r="M361" s="16"/>
      <c r="N361" s="16"/>
      <c r="O361" s="16"/>
      <c r="P361" s="16"/>
      <c r="Q361" s="31"/>
      <c r="R361" s="31"/>
      <c r="S361" s="31"/>
      <c r="T361" s="31"/>
    </row>
    <row r="362" spans="1:20" ht="15" thickBot="1" x14ac:dyDescent="0.4">
      <c r="A362" s="4">
        <v>349</v>
      </c>
      <c r="B362" s="49"/>
      <c r="C362" s="5"/>
      <c r="D362" s="16"/>
      <c r="E362" s="5"/>
      <c r="F362" s="5"/>
      <c r="G362" s="632"/>
      <c r="H362" s="633"/>
      <c r="I362" s="634"/>
      <c r="J362" s="7"/>
      <c r="K362" s="16"/>
      <c r="L362" s="5"/>
      <c r="M362" s="16"/>
      <c r="N362" s="16"/>
      <c r="O362" s="16"/>
      <c r="P362" s="16"/>
      <c r="Q362" s="31"/>
      <c r="R362" s="31"/>
      <c r="S362" s="31"/>
      <c r="T362" s="31"/>
    </row>
    <row r="363" spans="1:20" ht="15" thickBot="1" x14ac:dyDescent="0.4">
      <c r="A363" s="4">
        <v>350</v>
      </c>
      <c r="B363" s="49"/>
      <c r="C363" s="5"/>
      <c r="D363" s="16"/>
      <c r="E363" s="5"/>
      <c r="F363" s="5"/>
      <c r="G363" s="632"/>
      <c r="H363" s="633"/>
      <c r="I363" s="634"/>
      <c r="J363" s="7"/>
      <c r="K363" s="16"/>
      <c r="L363" s="5"/>
      <c r="M363" s="16"/>
      <c r="N363" s="16"/>
      <c r="O363" s="16"/>
      <c r="P363" s="16"/>
      <c r="Q363" s="31"/>
      <c r="R363" s="31"/>
      <c r="S363" s="31"/>
      <c r="T363" s="31"/>
    </row>
    <row r="364" spans="1:20" ht="15" thickBot="1" x14ac:dyDescent="0.4">
      <c r="A364" s="4">
        <v>351</v>
      </c>
      <c r="B364" s="49"/>
      <c r="C364" s="5"/>
      <c r="D364" s="16"/>
      <c r="E364" s="5"/>
      <c r="F364" s="5"/>
      <c r="G364" s="632"/>
      <c r="H364" s="633"/>
      <c r="I364" s="634"/>
      <c r="J364" s="7"/>
      <c r="K364" s="16"/>
      <c r="L364" s="5"/>
      <c r="M364" s="16"/>
      <c r="N364" s="16"/>
      <c r="O364" s="16"/>
      <c r="P364" s="16"/>
      <c r="Q364" s="31"/>
      <c r="R364" s="31"/>
      <c r="S364" s="31"/>
      <c r="T364" s="31"/>
    </row>
    <row r="365" spans="1:20" ht="15" thickBot="1" x14ac:dyDescent="0.4">
      <c r="A365" s="4">
        <v>352</v>
      </c>
      <c r="B365" s="49"/>
      <c r="C365" s="5"/>
      <c r="D365" s="16"/>
      <c r="E365" s="5"/>
      <c r="F365" s="5"/>
      <c r="G365" s="632"/>
      <c r="H365" s="633"/>
      <c r="I365" s="634"/>
      <c r="J365" s="7"/>
      <c r="K365" s="16"/>
      <c r="L365" s="5"/>
      <c r="M365" s="16"/>
      <c r="N365" s="16"/>
      <c r="O365" s="16"/>
      <c r="P365" s="16"/>
      <c r="Q365" s="31"/>
      <c r="R365" s="31"/>
      <c r="S365" s="31"/>
      <c r="T365" s="31"/>
    </row>
    <row r="366" spans="1:20" ht="15" thickBot="1" x14ac:dyDescent="0.4">
      <c r="A366" s="4">
        <v>353</v>
      </c>
      <c r="B366" s="49"/>
      <c r="C366" s="5"/>
      <c r="D366" s="16"/>
      <c r="E366" s="5"/>
      <c r="F366" s="5"/>
      <c r="G366" s="632"/>
      <c r="H366" s="633"/>
      <c r="I366" s="634"/>
      <c r="J366" s="7"/>
      <c r="K366" s="16"/>
      <c r="L366" s="5"/>
      <c r="M366" s="16"/>
      <c r="N366" s="16"/>
      <c r="O366" s="16"/>
      <c r="P366" s="16"/>
      <c r="Q366" s="31"/>
      <c r="R366" s="31"/>
      <c r="S366" s="31"/>
      <c r="T366" s="31"/>
    </row>
    <row r="367" spans="1:20" ht="15" thickBot="1" x14ac:dyDescent="0.4">
      <c r="A367" s="4">
        <v>354</v>
      </c>
      <c r="B367" s="49"/>
      <c r="C367" s="5"/>
      <c r="D367" s="16"/>
      <c r="E367" s="5"/>
      <c r="F367" s="5"/>
      <c r="G367" s="632"/>
      <c r="H367" s="633"/>
      <c r="I367" s="634"/>
      <c r="J367" s="7"/>
      <c r="K367" s="16"/>
      <c r="L367" s="5"/>
      <c r="M367" s="16"/>
      <c r="N367" s="16"/>
      <c r="O367" s="16"/>
      <c r="P367" s="16"/>
      <c r="Q367" s="31"/>
      <c r="R367" s="31"/>
      <c r="S367" s="31"/>
      <c r="T367" s="31"/>
    </row>
    <row r="368" spans="1:20" ht="15" thickBot="1" x14ac:dyDescent="0.4">
      <c r="A368" s="4">
        <v>355</v>
      </c>
      <c r="B368" s="49"/>
      <c r="C368" s="5"/>
      <c r="D368" s="16"/>
      <c r="E368" s="5"/>
      <c r="F368" s="5"/>
      <c r="G368" s="632"/>
      <c r="H368" s="633"/>
      <c r="I368" s="634"/>
      <c r="J368" s="7"/>
      <c r="K368" s="16"/>
      <c r="L368" s="5"/>
      <c r="M368" s="16"/>
      <c r="N368" s="16"/>
      <c r="O368" s="16"/>
      <c r="P368" s="16"/>
      <c r="Q368" s="31"/>
      <c r="R368" s="31"/>
      <c r="S368" s="31"/>
      <c r="T368" s="31"/>
    </row>
    <row r="369" spans="1:20" ht="15" thickBot="1" x14ac:dyDescent="0.4">
      <c r="A369" s="4">
        <v>356</v>
      </c>
      <c r="B369" s="49"/>
      <c r="C369" s="5"/>
      <c r="D369" s="16"/>
      <c r="E369" s="5"/>
      <c r="F369" s="5"/>
      <c r="G369" s="632"/>
      <c r="H369" s="633"/>
      <c r="I369" s="634"/>
      <c r="J369" s="7"/>
      <c r="K369" s="16"/>
      <c r="L369" s="5"/>
      <c r="M369" s="16"/>
      <c r="N369" s="16"/>
      <c r="O369" s="16"/>
      <c r="P369" s="16"/>
      <c r="Q369" s="31"/>
      <c r="R369" s="31"/>
      <c r="S369" s="31"/>
      <c r="T369" s="31"/>
    </row>
    <row r="370" spans="1:20" ht="15" thickBot="1" x14ac:dyDescent="0.4">
      <c r="A370" s="4">
        <v>357</v>
      </c>
      <c r="B370" s="49"/>
      <c r="C370" s="5"/>
      <c r="D370" s="16"/>
      <c r="E370" s="5"/>
      <c r="F370" s="5"/>
      <c r="G370" s="632"/>
      <c r="H370" s="633"/>
      <c r="I370" s="634"/>
      <c r="J370" s="7"/>
      <c r="K370" s="16"/>
      <c r="L370" s="5"/>
      <c r="M370" s="16"/>
      <c r="N370" s="16"/>
      <c r="O370" s="16"/>
      <c r="P370" s="16"/>
      <c r="Q370" s="31"/>
      <c r="R370" s="31"/>
      <c r="S370" s="31"/>
      <c r="T370" s="31"/>
    </row>
    <row r="371" spans="1:20" ht="15" thickBot="1" x14ac:dyDescent="0.4">
      <c r="A371" s="4">
        <v>358</v>
      </c>
      <c r="B371" s="49"/>
      <c r="C371" s="5"/>
      <c r="D371" s="16"/>
      <c r="E371" s="5"/>
      <c r="F371" s="5"/>
      <c r="G371" s="632"/>
      <c r="H371" s="633"/>
      <c r="I371" s="634"/>
      <c r="J371" s="7"/>
      <c r="K371" s="16"/>
      <c r="L371" s="5"/>
      <c r="M371" s="16"/>
      <c r="N371" s="16"/>
      <c r="O371" s="16"/>
      <c r="P371" s="16"/>
      <c r="Q371" s="31"/>
      <c r="R371" s="31"/>
      <c r="S371" s="31"/>
      <c r="T371" s="31"/>
    </row>
    <row r="372" spans="1:20" ht="15" thickBot="1" x14ac:dyDescent="0.4">
      <c r="A372" s="4">
        <v>359</v>
      </c>
      <c r="B372" s="49"/>
      <c r="C372" s="5"/>
      <c r="D372" s="16"/>
      <c r="E372" s="5"/>
      <c r="F372" s="5"/>
      <c r="G372" s="632"/>
      <c r="H372" s="633"/>
      <c r="I372" s="634"/>
      <c r="J372" s="7"/>
      <c r="K372" s="16"/>
      <c r="L372" s="5"/>
      <c r="M372" s="16"/>
      <c r="N372" s="16"/>
      <c r="O372" s="16"/>
      <c r="P372" s="16"/>
      <c r="Q372" s="31"/>
      <c r="R372" s="31"/>
      <c r="S372" s="31"/>
      <c r="T372" s="31"/>
    </row>
    <row r="373" spans="1:20" ht="15" thickBot="1" x14ac:dyDescent="0.4">
      <c r="A373" s="4">
        <v>360</v>
      </c>
      <c r="B373" s="49"/>
      <c r="C373" s="5"/>
      <c r="D373" s="16"/>
      <c r="E373" s="5"/>
      <c r="F373" s="5"/>
      <c r="G373" s="632"/>
      <c r="H373" s="633"/>
      <c r="I373" s="634"/>
      <c r="J373" s="7"/>
      <c r="K373" s="16"/>
      <c r="L373" s="5"/>
      <c r="M373" s="16"/>
      <c r="N373" s="16"/>
      <c r="O373" s="16"/>
      <c r="P373" s="16"/>
      <c r="Q373" s="31"/>
      <c r="R373" s="31"/>
      <c r="S373" s="31"/>
      <c r="T373" s="31"/>
    </row>
    <row r="374" spans="1:20" ht="15" thickBot="1" x14ac:dyDescent="0.4">
      <c r="A374" s="4">
        <v>361</v>
      </c>
      <c r="B374" s="49"/>
      <c r="C374" s="5"/>
      <c r="D374" s="16"/>
      <c r="E374" s="5"/>
      <c r="F374" s="5"/>
      <c r="G374" s="632"/>
      <c r="H374" s="633"/>
      <c r="I374" s="634"/>
      <c r="J374" s="7"/>
      <c r="K374" s="16"/>
      <c r="L374" s="5"/>
      <c r="M374" s="16"/>
      <c r="N374" s="16"/>
      <c r="O374" s="16"/>
      <c r="P374" s="16"/>
      <c r="Q374" s="31"/>
      <c r="R374" s="31"/>
      <c r="S374" s="31"/>
      <c r="T374" s="31"/>
    </row>
    <row r="375" spans="1:20" ht="15" thickBot="1" x14ac:dyDescent="0.4">
      <c r="A375" s="4">
        <v>362</v>
      </c>
      <c r="B375" s="49"/>
      <c r="C375" s="5"/>
      <c r="D375" s="16"/>
      <c r="E375" s="5"/>
      <c r="F375" s="5"/>
      <c r="G375" s="632"/>
      <c r="H375" s="633"/>
      <c r="I375" s="634"/>
      <c r="J375" s="7"/>
      <c r="K375" s="16"/>
      <c r="L375" s="5"/>
      <c r="M375" s="16"/>
      <c r="N375" s="16"/>
      <c r="O375" s="16"/>
      <c r="P375" s="16"/>
      <c r="Q375" s="31"/>
      <c r="R375" s="31"/>
      <c r="S375" s="31"/>
      <c r="T375" s="31"/>
    </row>
    <row r="376" spans="1:20" ht="15" thickBot="1" x14ac:dyDescent="0.4">
      <c r="A376" s="4">
        <v>363</v>
      </c>
      <c r="B376" s="49"/>
      <c r="C376" s="5"/>
      <c r="D376" s="16"/>
      <c r="E376" s="5"/>
      <c r="F376" s="5"/>
      <c r="G376" s="632"/>
      <c r="H376" s="633"/>
      <c r="I376" s="634"/>
      <c r="J376" s="7"/>
      <c r="K376" s="16"/>
      <c r="L376" s="5"/>
      <c r="M376" s="16"/>
      <c r="N376" s="16"/>
      <c r="O376" s="16"/>
      <c r="P376" s="16"/>
      <c r="Q376" s="31"/>
      <c r="R376" s="31"/>
      <c r="S376" s="31"/>
      <c r="T376" s="31"/>
    </row>
    <row r="377" spans="1:20" ht="15" thickBot="1" x14ac:dyDescent="0.4">
      <c r="A377" s="4">
        <v>364</v>
      </c>
      <c r="B377" s="49"/>
      <c r="C377" s="5"/>
      <c r="D377" s="16"/>
      <c r="E377" s="5"/>
      <c r="F377" s="5"/>
      <c r="G377" s="632"/>
      <c r="H377" s="633"/>
      <c r="I377" s="634"/>
      <c r="J377" s="7"/>
      <c r="K377" s="16"/>
      <c r="L377" s="5"/>
      <c r="M377" s="16"/>
      <c r="N377" s="16"/>
      <c r="O377" s="16"/>
      <c r="P377" s="16"/>
      <c r="Q377" s="31"/>
      <c r="R377" s="31"/>
      <c r="S377" s="31"/>
      <c r="T377" s="31"/>
    </row>
    <row r="378" spans="1:20" ht="15" thickBot="1" x14ac:dyDescent="0.4">
      <c r="A378" s="4">
        <v>365</v>
      </c>
      <c r="B378" s="49"/>
      <c r="C378" s="5"/>
      <c r="D378" s="16"/>
      <c r="E378" s="5"/>
      <c r="F378" s="5"/>
      <c r="G378" s="632"/>
      <c r="H378" s="633"/>
      <c r="I378" s="634"/>
      <c r="J378" s="7"/>
      <c r="K378" s="16"/>
      <c r="L378" s="5"/>
      <c r="M378" s="16"/>
      <c r="N378" s="16"/>
      <c r="O378" s="16"/>
      <c r="P378" s="16"/>
      <c r="Q378" s="31"/>
      <c r="R378" s="31"/>
      <c r="S378" s="31"/>
      <c r="T378" s="31"/>
    </row>
    <row r="379" spans="1:20" ht="15" thickBot="1" x14ac:dyDescent="0.4">
      <c r="A379" s="4">
        <v>366</v>
      </c>
      <c r="B379" s="49"/>
      <c r="C379" s="5"/>
      <c r="D379" s="16"/>
      <c r="E379" s="5"/>
      <c r="F379" s="5"/>
      <c r="G379" s="632"/>
      <c r="H379" s="633"/>
      <c r="I379" s="634"/>
      <c r="J379" s="7"/>
      <c r="K379" s="16"/>
      <c r="L379" s="5"/>
      <c r="M379" s="16"/>
      <c r="N379" s="16"/>
      <c r="O379" s="16"/>
      <c r="P379" s="16"/>
      <c r="Q379" s="31"/>
      <c r="R379" s="31"/>
      <c r="S379" s="31"/>
      <c r="T379" s="31"/>
    </row>
    <row r="380" spans="1:20" ht="15" thickBot="1" x14ac:dyDescent="0.4">
      <c r="A380" s="4">
        <v>367</v>
      </c>
      <c r="B380" s="49"/>
      <c r="C380" s="5"/>
      <c r="D380" s="16"/>
      <c r="E380" s="5"/>
      <c r="F380" s="5"/>
      <c r="G380" s="632"/>
      <c r="H380" s="633"/>
      <c r="I380" s="634"/>
      <c r="J380" s="7"/>
      <c r="K380" s="16"/>
      <c r="L380" s="5"/>
      <c r="M380" s="16"/>
      <c r="N380" s="16"/>
      <c r="O380" s="16"/>
      <c r="P380" s="16"/>
      <c r="Q380" s="31"/>
      <c r="R380" s="31"/>
      <c r="S380" s="31"/>
      <c r="T380" s="31"/>
    </row>
    <row r="381" spans="1:20" ht="15" thickBot="1" x14ac:dyDescent="0.4">
      <c r="A381" s="4">
        <v>368</v>
      </c>
      <c r="B381" s="49"/>
      <c r="C381" s="5"/>
      <c r="D381" s="16"/>
      <c r="E381" s="5"/>
      <c r="F381" s="5"/>
      <c r="G381" s="632"/>
      <c r="H381" s="633"/>
      <c r="I381" s="634"/>
      <c r="J381" s="7"/>
      <c r="K381" s="16"/>
      <c r="L381" s="5"/>
      <c r="M381" s="16"/>
      <c r="N381" s="16"/>
      <c r="O381" s="16"/>
      <c r="P381" s="16"/>
      <c r="Q381" s="31"/>
      <c r="R381" s="31"/>
      <c r="S381" s="31"/>
      <c r="T381" s="31"/>
    </row>
    <row r="382" spans="1:20" ht="15" thickBot="1" x14ac:dyDescent="0.4">
      <c r="A382" s="4">
        <v>369</v>
      </c>
      <c r="B382" s="49"/>
      <c r="C382" s="5"/>
      <c r="D382" s="16"/>
      <c r="E382" s="5"/>
      <c r="F382" s="5"/>
      <c r="G382" s="632"/>
      <c r="H382" s="633"/>
      <c r="I382" s="634"/>
      <c r="J382" s="7"/>
      <c r="K382" s="16"/>
      <c r="L382" s="5"/>
      <c r="M382" s="16"/>
      <c r="N382" s="16"/>
      <c r="O382" s="16"/>
      <c r="P382" s="16"/>
      <c r="Q382" s="31"/>
      <c r="R382" s="31"/>
      <c r="S382" s="31"/>
      <c r="T382" s="31"/>
    </row>
    <row r="383" spans="1:20" ht="15" thickBot="1" x14ac:dyDescent="0.4">
      <c r="A383" s="4">
        <v>370</v>
      </c>
      <c r="B383" s="49"/>
      <c r="C383" s="5"/>
      <c r="D383" s="16"/>
      <c r="E383" s="5"/>
      <c r="F383" s="5"/>
      <c r="G383" s="632"/>
      <c r="H383" s="633"/>
      <c r="I383" s="634"/>
      <c r="J383" s="7"/>
      <c r="K383" s="16"/>
      <c r="L383" s="5"/>
      <c r="M383" s="16"/>
      <c r="N383" s="16"/>
      <c r="O383" s="16"/>
      <c r="P383" s="16"/>
      <c r="Q383" s="31"/>
      <c r="R383" s="31"/>
      <c r="S383" s="31"/>
      <c r="T383" s="31"/>
    </row>
    <row r="384" spans="1:20" ht="15" thickBot="1" x14ac:dyDescent="0.4">
      <c r="A384" s="4">
        <v>371</v>
      </c>
      <c r="B384" s="49"/>
      <c r="C384" s="5"/>
      <c r="D384" s="16"/>
      <c r="E384" s="5"/>
      <c r="F384" s="5"/>
      <c r="G384" s="632"/>
      <c r="H384" s="633"/>
      <c r="I384" s="634"/>
      <c r="J384" s="7"/>
      <c r="K384" s="16"/>
      <c r="L384" s="5"/>
      <c r="M384" s="16"/>
      <c r="N384" s="16"/>
      <c r="O384" s="16"/>
      <c r="P384" s="16"/>
      <c r="Q384" s="31"/>
      <c r="R384" s="31"/>
      <c r="S384" s="31"/>
      <c r="T384" s="31"/>
    </row>
    <row r="385" spans="1:20" ht="15" thickBot="1" x14ac:dyDescent="0.4">
      <c r="A385" s="4">
        <v>372</v>
      </c>
      <c r="B385" s="49"/>
      <c r="C385" s="5"/>
      <c r="D385" s="16"/>
      <c r="E385" s="5"/>
      <c r="F385" s="5"/>
      <c r="G385" s="632"/>
      <c r="H385" s="633"/>
      <c r="I385" s="634"/>
      <c r="J385" s="7"/>
      <c r="K385" s="16"/>
      <c r="L385" s="5"/>
      <c r="M385" s="16"/>
      <c r="N385" s="16"/>
      <c r="O385" s="16"/>
      <c r="P385" s="16"/>
      <c r="Q385" s="31"/>
      <c r="R385" s="31"/>
      <c r="S385" s="31"/>
      <c r="T385" s="31"/>
    </row>
    <row r="386" spans="1:20" ht="15" thickBot="1" x14ac:dyDescent="0.4">
      <c r="A386" s="4">
        <v>373</v>
      </c>
      <c r="B386" s="49"/>
      <c r="C386" s="5"/>
      <c r="D386" s="16"/>
      <c r="E386" s="5"/>
      <c r="F386" s="5"/>
      <c r="G386" s="632"/>
      <c r="H386" s="633"/>
      <c r="I386" s="634"/>
      <c r="J386" s="7"/>
      <c r="K386" s="16"/>
      <c r="L386" s="5"/>
      <c r="M386" s="16"/>
      <c r="N386" s="16"/>
      <c r="O386" s="16"/>
      <c r="P386" s="16"/>
      <c r="Q386" s="31"/>
      <c r="R386" s="31"/>
      <c r="S386" s="31"/>
      <c r="T386" s="31"/>
    </row>
    <row r="387" spans="1:20" ht="15" thickBot="1" x14ac:dyDescent="0.4">
      <c r="A387" s="4">
        <v>374</v>
      </c>
      <c r="B387" s="49"/>
      <c r="C387" s="5"/>
      <c r="D387" s="16"/>
      <c r="E387" s="5"/>
      <c r="F387" s="5"/>
      <c r="G387" s="632"/>
      <c r="H387" s="633"/>
      <c r="I387" s="634"/>
      <c r="J387" s="7"/>
      <c r="K387" s="16"/>
      <c r="L387" s="5"/>
      <c r="M387" s="16"/>
      <c r="N387" s="16"/>
      <c r="O387" s="16"/>
      <c r="P387" s="16"/>
      <c r="Q387" s="31"/>
      <c r="R387" s="31"/>
      <c r="S387" s="31"/>
      <c r="T387" s="31"/>
    </row>
    <row r="388" spans="1:20" ht="15" thickBot="1" x14ac:dyDescent="0.4">
      <c r="A388" s="4">
        <v>375</v>
      </c>
      <c r="B388" s="49"/>
      <c r="C388" s="5"/>
      <c r="D388" s="16"/>
      <c r="E388" s="5"/>
      <c r="F388" s="5"/>
      <c r="G388" s="632"/>
      <c r="H388" s="633"/>
      <c r="I388" s="634"/>
      <c r="J388" s="7"/>
      <c r="K388" s="16"/>
      <c r="L388" s="5"/>
      <c r="M388" s="16"/>
      <c r="N388" s="16"/>
      <c r="O388" s="16"/>
      <c r="P388" s="16"/>
      <c r="Q388" s="31"/>
      <c r="R388" s="31"/>
      <c r="S388" s="31"/>
      <c r="T388" s="31"/>
    </row>
    <row r="389" spans="1:20" ht="15" thickBot="1" x14ac:dyDescent="0.4">
      <c r="A389" s="4">
        <v>376</v>
      </c>
      <c r="B389" s="49"/>
      <c r="C389" s="5"/>
      <c r="D389" s="16"/>
      <c r="E389" s="5"/>
      <c r="F389" s="5"/>
      <c r="G389" s="632"/>
      <c r="H389" s="633"/>
      <c r="I389" s="634"/>
      <c r="J389" s="7"/>
      <c r="K389" s="16"/>
      <c r="L389" s="5"/>
      <c r="M389" s="16"/>
      <c r="N389" s="16"/>
      <c r="O389" s="16"/>
      <c r="P389" s="16"/>
      <c r="Q389" s="31"/>
      <c r="R389" s="31"/>
      <c r="S389" s="31"/>
      <c r="T389" s="31"/>
    </row>
    <row r="390" spans="1:20" ht="15" thickBot="1" x14ac:dyDescent="0.4">
      <c r="A390" s="4">
        <v>377</v>
      </c>
      <c r="B390" s="49"/>
      <c r="C390" s="5"/>
      <c r="D390" s="16"/>
      <c r="E390" s="5"/>
      <c r="F390" s="5"/>
      <c r="G390" s="632"/>
      <c r="H390" s="633"/>
      <c r="I390" s="634"/>
      <c r="J390" s="7"/>
      <c r="K390" s="16"/>
      <c r="L390" s="5"/>
      <c r="M390" s="16"/>
      <c r="N390" s="16"/>
      <c r="O390" s="16"/>
      <c r="P390" s="16"/>
      <c r="Q390" s="31"/>
      <c r="R390" s="31"/>
      <c r="S390" s="31"/>
      <c r="T390" s="31"/>
    </row>
    <row r="391" spans="1:20" ht="15" thickBot="1" x14ac:dyDescent="0.4">
      <c r="A391" s="4">
        <v>378</v>
      </c>
      <c r="B391" s="49"/>
      <c r="C391" s="5"/>
      <c r="D391" s="16"/>
      <c r="E391" s="5"/>
      <c r="F391" s="5"/>
      <c r="G391" s="632"/>
      <c r="H391" s="633"/>
      <c r="I391" s="634"/>
      <c r="J391" s="7"/>
      <c r="K391" s="16"/>
      <c r="L391" s="5"/>
      <c r="M391" s="16"/>
      <c r="N391" s="16"/>
      <c r="O391" s="16"/>
      <c r="P391" s="16"/>
      <c r="Q391" s="31"/>
      <c r="R391" s="31"/>
      <c r="S391" s="31"/>
      <c r="T391" s="31"/>
    </row>
    <row r="392" spans="1:20" ht="15" thickBot="1" x14ac:dyDescent="0.4">
      <c r="A392" s="4">
        <v>379</v>
      </c>
      <c r="B392" s="49"/>
      <c r="C392" s="5"/>
      <c r="D392" s="16"/>
      <c r="E392" s="5"/>
      <c r="F392" s="5"/>
      <c r="G392" s="632"/>
      <c r="H392" s="633"/>
      <c r="I392" s="634"/>
      <c r="J392" s="7"/>
      <c r="K392" s="16"/>
      <c r="L392" s="5"/>
      <c r="M392" s="16"/>
      <c r="N392" s="16"/>
      <c r="O392" s="16"/>
      <c r="P392" s="16"/>
      <c r="Q392" s="31"/>
      <c r="R392" s="31"/>
      <c r="S392" s="31"/>
      <c r="T392" s="31"/>
    </row>
    <row r="393" spans="1:20" ht="15" thickBot="1" x14ac:dyDescent="0.4">
      <c r="A393" s="4">
        <v>380</v>
      </c>
      <c r="B393" s="49"/>
      <c r="C393" s="5"/>
      <c r="D393" s="16"/>
      <c r="E393" s="5"/>
      <c r="F393" s="5"/>
      <c r="G393" s="632"/>
      <c r="H393" s="633"/>
      <c r="I393" s="634"/>
      <c r="J393" s="7"/>
      <c r="K393" s="16"/>
      <c r="L393" s="5"/>
      <c r="M393" s="16"/>
      <c r="N393" s="16"/>
      <c r="O393" s="16"/>
      <c r="P393" s="16"/>
      <c r="Q393" s="31"/>
      <c r="R393" s="31"/>
      <c r="S393" s="31"/>
      <c r="T393" s="31"/>
    </row>
    <row r="394" spans="1:20" ht="15" thickBot="1" x14ac:dyDescent="0.4">
      <c r="A394" s="4">
        <v>381</v>
      </c>
      <c r="B394" s="49"/>
      <c r="C394" s="5"/>
      <c r="D394" s="16"/>
      <c r="E394" s="5"/>
      <c r="F394" s="5"/>
      <c r="G394" s="632"/>
      <c r="H394" s="633"/>
      <c r="I394" s="634"/>
      <c r="J394" s="7"/>
      <c r="K394" s="16"/>
      <c r="L394" s="5"/>
      <c r="M394" s="16"/>
      <c r="N394" s="16"/>
      <c r="O394" s="16"/>
      <c r="P394" s="16"/>
      <c r="Q394" s="31"/>
      <c r="R394" s="31"/>
      <c r="S394" s="31"/>
      <c r="T394" s="31"/>
    </row>
    <row r="395" spans="1:20" ht="15" thickBot="1" x14ac:dyDescent="0.4">
      <c r="A395" s="4">
        <v>382</v>
      </c>
      <c r="B395" s="49"/>
      <c r="C395" s="5"/>
      <c r="D395" s="16"/>
      <c r="E395" s="5"/>
      <c r="F395" s="5"/>
      <c r="G395" s="632"/>
      <c r="H395" s="633"/>
      <c r="I395" s="634"/>
      <c r="J395" s="7"/>
      <c r="K395" s="16"/>
      <c r="L395" s="5"/>
      <c r="M395" s="16"/>
      <c r="N395" s="16"/>
      <c r="O395" s="16"/>
      <c r="P395" s="16"/>
      <c r="Q395" s="31"/>
      <c r="R395" s="31"/>
      <c r="S395" s="31"/>
      <c r="T395" s="31"/>
    </row>
    <row r="396" spans="1:20" ht="15" thickBot="1" x14ac:dyDescent="0.4">
      <c r="A396" s="4">
        <v>383</v>
      </c>
      <c r="B396" s="49"/>
      <c r="C396" s="5"/>
      <c r="D396" s="16"/>
      <c r="E396" s="5"/>
      <c r="F396" s="5"/>
      <c r="G396" s="632"/>
      <c r="H396" s="633"/>
      <c r="I396" s="634"/>
      <c r="J396" s="7"/>
      <c r="K396" s="16"/>
      <c r="L396" s="5"/>
      <c r="M396" s="16"/>
      <c r="N396" s="16"/>
      <c r="O396" s="16"/>
      <c r="P396" s="16"/>
      <c r="Q396" s="31"/>
      <c r="R396" s="31"/>
      <c r="S396" s="31"/>
      <c r="T396" s="31"/>
    </row>
    <row r="397" spans="1:20" ht="15" thickBot="1" x14ac:dyDescent="0.4">
      <c r="A397" s="4">
        <v>384</v>
      </c>
      <c r="B397" s="49"/>
      <c r="C397" s="5"/>
      <c r="D397" s="16"/>
      <c r="E397" s="5"/>
      <c r="F397" s="5"/>
      <c r="G397" s="632"/>
      <c r="H397" s="633"/>
      <c r="I397" s="634"/>
      <c r="J397" s="7"/>
      <c r="K397" s="16"/>
      <c r="L397" s="5"/>
      <c r="M397" s="16"/>
      <c r="N397" s="16"/>
      <c r="O397" s="16"/>
      <c r="P397" s="16"/>
      <c r="Q397" s="31"/>
      <c r="R397" s="31"/>
      <c r="S397" s="31"/>
      <c r="T397" s="31"/>
    </row>
    <row r="398" spans="1:20" ht="15" thickBot="1" x14ac:dyDescent="0.4">
      <c r="A398" s="4">
        <v>385</v>
      </c>
      <c r="B398" s="49"/>
      <c r="C398" s="5"/>
      <c r="D398" s="16"/>
      <c r="E398" s="5"/>
      <c r="F398" s="5"/>
      <c r="G398" s="632"/>
      <c r="H398" s="633"/>
      <c r="I398" s="634"/>
      <c r="J398" s="7"/>
      <c r="K398" s="16"/>
      <c r="L398" s="5"/>
      <c r="M398" s="16"/>
      <c r="N398" s="16"/>
      <c r="O398" s="16"/>
      <c r="P398" s="16"/>
      <c r="Q398" s="31"/>
      <c r="R398" s="31"/>
      <c r="S398" s="31"/>
      <c r="T398" s="31"/>
    </row>
    <row r="399" spans="1:20" ht="15" thickBot="1" x14ac:dyDescent="0.4">
      <c r="A399" s="4">
        <v>386</v>
      </c>
      <c r="B399" s="49"/>
      <c r="C399" s="5"/>
      <c r="D399" s="16"/>
      <c r="E399" s="5"/>
      <c r="F399" s="5"/>
      <c r="G399" s="632"/>
      <c r="H399" s="633"/>
      <c r="I399" s="634"/>
      <c r="J399" s="7"/>
      <c r="K399" s="16"/>
      <c r="L399" s="5"/>
      <c r="M399" s="16"/>
      <c r="N399" s="16"/>
      <c r="O399" s="16"/>
      <c r="P399" s="16"/>
      <c r="Q399" s="31"/>
      <c r="R399" s="31"/>
      <c r="S399" s="31"/>
      <c r="T399" s="31"/>
    </row>
    <row r="400" spans="1:20" ht="15" thickBot="1" x14ac:dyDescent="0.4">
      <c r="A400" s="4">
        <v>387</v>
      </c>
      <c r="B400" s="49"/>
      <c r="C400" s="5"/>
      <c r="D400" s="16"/>
      <c r="E400" s="5"/>
      <c r="F400" s="5"/>
      <c r="G400" s="632"/>
      <c r="H400" s="633"/>
      <c r="I400" s="634"/>
      <c r="J400" s="7"/>
      <c r="K400" s="16"/>
      <c r="L400" s="5"/>
      <c r="M400" s="16"/>
      <c r="N400" s="16"/>
      <c r="O400" s="16"/>
      <c r="P400" s="16"/>
      <c r="Q400" s="31"/>
      <c r="R400" s="31"/>
      <c r="S400" s="31"/>
      <c r="T400" s="31"/>
    </row>
    <row r="401" spans="1:20" ht="15" thickBot="1" x14ac:dyDescent="0.4">
      <c r="A401" s="4">
        <v>388</v>
      </c>
      <c r="B401" s="49"/>
      <c r="C401" s="5"/>
      <c r="D401" s="16"/>
      <c r="E401" s="5"/>
      <c r="F401" s="5"/>
      <c r="G401" s="632"/>
      <c r="H401" s="633"/>
      <c r="I401" s="634"/>
      <c r="J401" s="7"/>
      <c r="K401" s="16"/>
      <c r="L401" s="5"/>
      <c r="M401" s="16"/>
      <c r="N401" s="16"/>
      <c r="O401" s="16"/>
      <c r="P401" s="16"/>
      <c r="Q401" s="31"/>
      <c r="R401" s="31"/>
      <c r="S401" s="31"/>
      <c r="T401" s="31"/>
    </row>
    <row r="402" spans="1:20" ht="15" thickBot="1" x14ac:dyDescent="0.4">
      <c r="A402" s="4">
        <v>389</v>
      </c>
      <c r="B402" s="49"/>
      <c r="C402" s="5"/>
      <c r="D402" s="16"/>
      <c r="E402" s="5"/>
      <c r="F402" s="5"/>
      <c r="G402" s="632"/>
      <c r="H402" s="633"/>
      <c r="I402" s="634"/>
      <c r="J402" s="7"/>
      <c r="K402" s="16"/>
      <c r="L402" s="5"/>
      <c r="M402" s="16"/>
      <c r="N402" s="16"/>
      <c r="O402" s="16"/>
      <c r="P402" s="16"/>
      <c r="Q402" s="31"/>
      <c r="R402" s="31"/>
      <c r="S402" s="31"/>
      <c r="T402" s="31"/>
    </row>
    <row r="403" spans="1:20" ht="15" thickBot="1" x14ac:dyDescent="0.4">
      <c r="A403" s="4">
        <v>390</v>
      </c>
      <c r="B403" s="49"/>
      <c r="C403" s="5"/>
      <c r="D403" s="16"/>
      <c r="E403" s="5"/>
      <c r="F403" s="5"/>
      <c r="G403" s="632"/>
      <c r="H403" s="633"/>
      <c r="I403" s="634"/>
      <c r="J403" s="7"/>
      <c r="K403" s="16"/>
      <c r="L403" s="5"/>
      <c r="M403" s="16"/>
      <c r="N403" s="16"/>
      <c r="O403" s="16"/>
      <c r="P403" s="16"/>
      <c r="Q403" s="31"/>
      <c r="R403" s="31"/>
      <c r="S403" s="31"/>
      <c r="T403" s="31"/>
    </row>
    <row r="404" spans="1:20" ht="15" thickBot="1" x14ac:dyDescent="0.4">
      <c r="A404" s="4">
        <v>391</v>
      </c>
      <c r="B404" s="49"/>
      <c r="C404" s="5"/>
      <c r="D404" s="16"/>
      <c r="E404" s="5"/>
      <c r="F404" s="5"/>
      <c r="G404" s="632"/>
      <c r="H404" s="633"/>
      <c r="I404" s="634"/>
      <c r="J404" s="7"/>
      <c r="K404" s="16"/>
      <c r="L404" s="5"/>
      <c r="M404" s="16"/>
      <c r="N404" s="16"/>
      <c r="O404" s="16"/>
      <c r="P404" s="16"/>
      <c r="Q404" s="31"/>
      <c r="R404" s="31"/>
      <c r="S404" s="31"/>
      <c r="T404" s="31"/>
    </row>
    <row r="405" spans="1:20" ht="15" thickBot="1" x14ac:dyDescent="0.4">
      <c r="A405" s="4">
        <v>392</v>
      </c>
      <c r="B405" s="49"/>
      <c r="C405" s="5"/>
      <c r="D405" s="16"/>
      <c r="E405" s="5"/>
      <c r="F405" s="5"/>
      <c r="G405" s="632"/>
      <c r="H405" s="633"/>
      <c r="I405" s="634"/>
      <c r="J405" s="7"/>
      <c r="K405" s="16"/>
      <c r="L405" s="5"/>
      <c r="M405" s="16"/>
      <c r="N405" s="16"/>
      <c r="O405" s="16"/>
      <c r="P405" s="16"/>
      <c r="Q405" s="31"/>
      <c r="R405" s="31"/>
      <c r="S405" s="31"/>
      <c r="T405" s="31"/>
    </row>
    <row r="406" spans="1:20" ht="15" thickBot="1" x14ac:dyDescent="0.4">
      <c r="A406" s="4">
        <v>393</v>
      </c>
      <c r="B406" s="49"/>
      <c r="C406" s="5"/>
      <c r="D406" s="16"/>
      <c r="E406" s="5"/>
      <c r="F406" s="5"/>
      <c r="G406" s="632"/>
      <c r="H406" s="633"/>
      <c r="I406" s="634"/>
      <c r="J406" s="7"/>
      <c r="K406" s="16"/>
      <c r="L406" s="5"/>
      <c r="M406" s="16"/>
      <c r="N406" s="16"/>
      <c r="O406" s="16"/>
      <c r="P406" s="16"/>
      <c r="Q406" s="31"/>
      <c r="R406" s="31"/>
      <c r="S406" s="31"/>
      <c r="T406" s="31"/>
    </row>
    <row r="407" spans="1:20" ht="15" thickBot="1" x14ac:dyDescent="0.4">
      <c r="A407" s="4">
        <v>394</v>
      </c>
      <c r="B407" s="49"/>
      <c r="C407" s="5"/>
      <c r="D407" s="16"/>
      <c r="E407" s="5"/>
      <c r="F407" s="5"/>
      <c r="G407" s="632"/>
      <c r="H407" s="633"/>
      <c r="I407" s="634"/>
      <c r="J407" s="7"/>
      <c r="K407" s="16"/>
      <c r="L407" s="5"/>
      <c r="M407" s="16"/>
      <c r="N407" s="16"/>
      <c r="O407" s="16"/>
      <c r="P407" s="16"/>
      <c r="Q407" s="31"/>
      <c r="R407" s="31"/>
      <c r="S407" s="31"/>
      <c r="T407" s="31"/>
    </row>
    <row r="408" spans="1:20" ht="15" thickBot="1" x14ac:dyDescent="0.4">
      <c r="A408" s="4">
        <v>395</v>
      </c>
      <c r="B408" s="49"/>
      <c r="C408" s="5"/>
      <c r="D408" s="16"/>
      <c r="E408" s="5"/>
      <c r="F408" s="5"/>
      <c r="G408" s="632"/>
      <c r="H408" s="633"/>
      <c r="I408" s="634"/>
      <c r="J408" s="7"/>
      <c r="K408" s="16"/>
      <c r="L408" s="5"/>
      <c r="M408" s="16"/>
      <c r="N408" s="16"/>
      <c r="O408" s="16"/>
      <c r="P408" s="16"/>
      <c r="Q408" s="31"/>
      <c r="R408" s="31"/>
      <c r="S408" s="31"/>
      <c r="T408" s="31"/>
    </row>
    <row r="409" spans="1:20" ht="15" thickBot="1" x14ac:dyDescent="0.4">
      <c r="A409" s="4">
        <v>396</v>
      </c>
      <c r="B409" s="49"/>
      <c r="C409" s="5"/>
      <c r="D409" s="16"/>
      <c r="E409" s="5"/>
      <c r="F409" s="5"/>
      <c r="G409" s="632"/>
      <c r="H409" s="633"/>
      <c r="I409" s="634"/>
      <c r="J409" s="7"/>
      <c r="K409" s="16"/>
      <c r="L409" s="5"/>
      <c r="M409" s="16"/>
      <c r="N409" s="16"/>
      <c r="O409" s="16"/>
      <c r="P409" s="16"/>
      <c r="Q409" s="31"/>
      <c r="R409" s="31"/>
      <c r="S409" s="31"/>
      <c r="T409" s="31"/>
    </row>
    <row r="410" spans="1:20" ht="15" thickBot="1" x14ac:dyDescent="0.4">
      <c r="A410" s="4">
        <v>397</v>
      </c>
      <c r="B410" s="49"/>
      <c r="C410" s="5"/>
      <c r="D410" s="16"/>
      <c r="E410" s="5"/>
      <c r="F410" s="5"/>
      <c r="G410" s="632"/>
      <c r="H410" s="633"/>
      <c r="I410" s="634"/>
      <c r="J410" s="7"/>
      <c r="K410" s="16"/>
      <c r="L410" s="5"/>
      <c r="M410" s="16"/>
      <c r="N410" s="16"/>
      <c r="O410" s="16"/>
      <c r="P410" s="16"/>
      <c r="Q410" s="31"/>
      <c r="R410" s="31"/>
      <c r="S410" s="31"/>
      <c r="T410" s="31"/>
    </row>
    <row r="411" spans="1:20" ht="15" thickBot="1" x14ac:dyDescent="0.4">
      <c r="A411" s="4">
        <v>398</v>
      </c>
      <c r="B411" s="49"/>
      <c r="C411" s="5"/>
      <c r="D411" s="16"/>
      <c r="E411" s="5"/>
      <c r="F411" s="5"/>
      <c r="G411" s="632"/>
      <c r="H411" s="633"/>
      <c r="I411" s="634"/>
      <c r="J411" s="7"/>
      <c r="K411" s="16"/>
      <c r="L411" s="5"/>
      <c r="M411" s="16"/>
      <c r="N411" s="16"/>
      <c r="O411" s="16"/>
      <c r="P411" s="16"/>
      <c r="Q411" s="31"/>
      <c r="R411" s="31"/>
      <c r="S411" s="31"/>
      <c r="T411" s="31"/>
    </row>
    <row r="412" spans="1:20" ht="15" thickBot="1" x14ac:dyDescent="0.4">
      <c r="A412" s="4">
        <v>399</v>
      </c>
      <c r="B412" s="49"/>
      <c r="C412" s="5"/>
      <c r="D412" s="16"/>
      <c r="E412" s="5"/>
      <c r="F412" s="5"/>
      <c r="G412" s="632"/>
      <c r="H412" s="633"/>
      <c r="I412" s="634"/>
      <c r="J412" s="7"/>
      <c r="K412" s="16"/>
      <c r="L412" s="5"/>
      <c r="M412" s="16"/>
      <c r="N412" s="16"/>
      <c r="O412" s="16"/>
      <c r="P412" s="16"/>
      <c r="Q412" s="31"/>
      <c r="R412" s="31"/>
      <c r="S412" s="31"/>
      <c r="T412" s="31"/>
    </row>
    <row r="413" spans="1:20" ht="15" thickBot="1" x14ac:dyDescent="0.4">
      <c r="A413" s="4">
        <v>400</v>
      </c>
      <c r="B413" s="49"/>
      <c r="C413" s="5"/>
      <c r="D413" s="16"/>
      <c r="E413" s="5"/>
      <c r="F413" s="5"/>
      <c r="G413" s="632"/>
      <c r="H413" s="633"/>
      <c r="I413" s="634"/>
      <c r="J413" s="7"/>
      <c r="K413" s="16"/>
      <c r="L413" s="5"/>
      <c r="M413" s="16"/>
      <c r="N413" s="16"/>
      <c r="O413" s="16"/>
      <c r="P413" s="16"/>
      <c r="Q413" s="31"/>
      <c r="R413" s="31"/>
      <c r="S413" s="31"/>
      <c r="T413" s="31"/>
    </row>
    <row r="414" spans="1:20" ht="15" thickBot="1" x14ac:dyDescent="0.4">
      <c r="A414" s="4">
        <v>401</v>
      </c>
      <c r="B414" s="49"/>
      <c r="C414" s="5"/>
      <c r="D414" s="16"/>
      <c r="E414" s="5"/>
      <c r="F414" s="5"/>
      <c r="G414" s="632"/>
      <c r="H414" s="633"/>
      <c r="I414" s="634"/>
      <c r="J414" s="7"/>
      <c r="K414" s="16"/>
      <c r="L414" s="5"/>
      <c r="M414" s="16"/>
      <c r="N414" s="16"/>
      <c r="O414" s="16"/>
      <c r="P414" s="16"/>
      <c r="Q414" s="31"/>
      <c r="R414" s="31"/>
      <c r="S414" s="31"/>
      <c r="T414" s="31"/>
    </row>
    <row r="415" spans="1:20" ht="15" thickBot="1" x14ac:dyDescent="0.4">
      <c r="A415" s="4">
        <v>402</v>
      </c>
      <c r="B415" s="49"/>
      <c r="C415" s="5"/>
      <c r="D415" s="16"/>
      <c r="E415" s="5"/>
      <c r="F415" s="5"/>
      <c r="G415" s="632"/>
      <c r="H415" s="633"/>
      <c r="I415" s="634"/>
      <c r="J415" s="7"/>
      <c r="K415" s="16"/>
      <c r="L415" s="5"/>
      <c r="M415" s="16"/>
      <c r="N415" s="16"/>
      <c r="O415" s="16"/>
      <c r="P415" s="16"/>
      <c r="Q415" s="31"/>
      <c r="R415" s="31"/>
      <c r="S415" s="31"/>
      <c r="T415" s="31"/>
    </row>
    <row r="416" spans="1:20" ht="15" thickBot="1" x14ac:dyDescent="0.4">
      <c r="A416" s="4">
        <v>403</v>
      </c>
      <c r="B416" s="49"/>
      <c r="C416" s="5"/>
      <c r="D416" s="16"/>
      <c r="E416" s="5"/>
      <c r="F416" s="5"/>
      <c r="G416" s="632"/>
      <c r="H416" s="633"/>
      <c r="I416" s="634"/>
      <c r="J416" s="7"/>
      <c r="K416" s="16"/>
      <c r="L416" s="5"/>
      <c r="M416" s="16"/>
      <c r="N416" s="16"/>
      <c r="O416" s="16"/>
      <c r="P416" s="16"/>
      <c r="Q416" s="31"/>
      <c r="R416" s="31"/>
      <c r="S416" s="31"/>
      <c r="T416" s="31"/>
    </row>
    <row r="417" spans="1:20" ht="15" thickBot="1" x14ac:dyDescent="0.4">
      <c r="A417" s="4">
        <v>404</v>
      </c>
      <c r="B417" s="49"/>
      <c r="C417" s="5"/>
      <c r="D417" s="16"/>
      <c r="E417" s="5"/>
      <c r="F417" s="5"/>
      <c r="G417" s="632"/>
      <c r="H417" s="633"/>
      <c r="I417" s="634"/>
      <c r="J417" s="7"/>
      <c r="K417" s="16"/>
      <c r="L417" s="5"/>
      <c r="M417" s="16"/>
      <c r="N417" s="16"/>
      <c r="O417" s="16"/>
      <c r="P417" s="16"/>
      <c r="Q417" s="31"/>
      <c r="R417" s="31"/>
      <c r="S417" s="31"/>
      <c r="T417" s="31"/>
    </row>
    <row r="418" spans="1:20" ht="15" thickBot="1" x14ac:dyDescent="0.4">
      <c r="A418" s="4">
        <v>405</v>
      </c>
      <c r="B418" s="49"/>
      <c r="C418" s="5"/>
      <c r="D418" s="16"/>
      <c r="E418" s="5"/>
      <c r="F418" s="5"/>
      <c r="G418" s="632"/>
      <c r="H418" s="633"/>
      <c r="I418" s="634"/>
      <c r="J418" s="7"/>
      <c r="K418" s="16"/>
      <c r="L418" s="5"/>
      <c r="M418" s="16"/>
      <c r="N418" s="16"/>
      <c r="O418" s="16"/>
      <c r="P418" s="16"/>
      <c r="Q418" s="31"/>
      <c r="R418" s="31"/>
      <c r="S418" s="31"/>
      <c r="T418" s="31"/>
    </row>
    <row r="419" spans="1:20" ht="15" thickBot="1" x14ac:dyDescent="0.4">
      <c r="A419" s="4">
        <v>406</v>
      </c>
      <c r="B419" s="49"/>
      <c r="C419" s="5"/>
      <c r="D419" s="16"/>
      <c r="E419" s="5"/>
      <c r="F419" s="5"/>
      <c r="G419" s="632"/>
      <c r="H419" s="633"/>
      <c r="I419" s="634"/>
      <c r="J419" s="7"/>
      <c r="K419" s="16"/>
      <c r="L419" s="5"/>
      <c r="M419" s="16"/>
      <c r="N419" s="16"/>
      <c r="O419" s="16"/>
      <c r="P419" s="16"/>
      <c r="Q419" s="31"/>
      <c r="R419" s="31"/>
      <c r="S419" s="31"/>
      <c r="T419" s="31"/>
    </row>
    <row r="420" spans="1:20" ht="15" thickBot="1" x14ac:dyDescent="0.4">
      <c r="A420" s="4">
        <v>407</v>
      </c>
      <c r="B420" s="49"/>
      <c r="C420" s="5"/>
      <c r="D420" s="16"/>
      <c r="E420" s="5"/>
      <c r="F420" s="5"/>
      <c r="G420" s="632"/>
      <c r="H420" s="633"/>
      <c r="I420" s="634"/>
      <c r="J420" s="7"/>
      <c r="K420" s="16"/>
      <c r="L420" s="5"/>
      <c r="M420" s="16"/>
      <c r="N420" s="16"/>
      <c r="O420" s="16"/>
      <c r="P420" s="16"/>
      <c r="Q420" s="31"/>
      <c r="R420" s="31"/>
      <c r="S420" s="31"/>
      <c r="T420" s="31"/>
    </row>
    <row r="421" spans="1:20" ht="15" thickBot="1" x14ac:dyDescent="0.4">
      <c r="A421" s="4">
        <v>408</v>
      </c>
      <c r="B421" s="49"/>
      <c r="C421" s="5"/>
      <c r="D421" s="16"/>
      <c r="E421" s="5"/>
      <c r="F421" s="5"/>
      <c r="G421" s="632"/>
      <c r="H421" s="633"/>
      <c r="I421" s="634"/>
      <c r="J421" s="7"/>
      <c r="K421" s="16"/>
      <c r="L421" s="5"/>
      <c r="M421" s="16"/>
      <c r="N421" s="16"/>
      <c r="O421" s="16"/>
      <c r="P421" s="16"/>
      <c r="Q421" s="31"/>
      <c r="R421" s="31"/>
      <c r="S421" s="31"/>
      <c r="T421" s="31"/>
    </row>
    <row r="422" spans="1:20" ht="15" thickBot="1" x14ac:dyDescent="0.4">
      <c r="A422" s="4">
        <v>409</v>
      </c>
      <c r="B422" s="49"/>
      <c r="C422" s="5"/>
      <c r="D422" s="16"/>
      <c r="E422" s="5"/>
      <c r="F422" s="5"/>
      <c r="G422" s="632"/>
      <c r="H422" s="633"/>
      <c r="I422" s="634"/>
      <c r="J422" s="7"/>
      <c r="K422" s="16"/>
      <c r="L422" s="5"/>
      <c r="M422" s="16"/>
      <c r="N422" s="16"/>
      <c r="O422" s="16"/>
      <c r="P422" s="16"/>
      <c r="Q422" s="31"/>
      <c r="R422" s="31"/>
      <c r="S422" s="31"/>
      <c r="T422" s="31"/>
    </row>
    <row r="423" spans="1:20" ht="15" thickBot="1" x14ac:dyDescent="0.4">
      <c r="A423" s="4">
        <v>410</v>
      </c>
      <c r="B423" s="49"/>
      <c r="C423" s="5"/>
      <c r="D423" s="16"/>
      <c r="E423" s="5"/>
      <c r="F423" s="5"/>
      <c r="G423" s="632"/>
      <c r="H423" s="633"/>
      <c r="I423" s="634"/>
      <c r="J423" s="7"/>
      <c r="K423" s="16"/>
      <c r="L423" s="5"/>
      <c r="M423" s="16"/>
      <c r="N423" s="16"/>
      <c r="O423" s="16"/>
      <c r="P423" s="16"/>
      <c r="Q423" s="31"/>
      <c r="R423" s="31"/>
      <c r="S423" s="31"/>
      <c r="T423" s="31"/>
    </row>
    <row r="424" spans="1:20" ht="15" thickBot="1" x14ac:dyDescent="0.4">
      <c r="A424" s="4">
        <v>411</v>
      </c>
      <c r="B424" s="49"/>
      <c r="C424" s="5"/>
      <c r="D424" s="16"/>
      <c r="E424" s="5"/>
      <c r="F424" s="5"/>
      <c r="G424" s="632"/>
      <c r="H424" s="633"/>
      <c r="I424" s="634"/>
      <c r="J424" s="7"/>
      <c r="K424" s="16"/>
      <c r="L424" s="5"/>
      <c r="M424" s="16"/>
      <c r="N424" s="16"/>
      <c r="O424" s="16"/>
      <c r="P424" s="16"/>
      <c r="Q424" s="31"/>
      <c r="R424" s="31"/>
      <c r="S424" s="31"/>
      <c r="T424" s="31"/>
    </row>
    <row r="425" spans="1:20" ht="15" thickBot="1" x14ac:dyDescent="0.4">
      <c r="A425" s="4">
        <v>412</v>
      </c>
      <c r="B425" s="49"/>
      <c r="C425" s="5"/>
      <c r="D425" s="16"/>
      <c r="E425" s="5"/>
      <c r="F425" s="5"/>
      <c r="G425" s="632"/>
      <c r="H425" s="633"/>
      <c r="I425" s="634"/>
      <c r="J425" s="7"/>
      <c r="K425" s="16"/>
      <c r="L425" s="5"/>
      <c r="M425" s="16"/>
      <c r="N425" s="16"/>
      <c r="O425" s="16"/>
      <c r="P425" s="16"/>
      <c r="Q425" s="31"/>
      <c r="R425" s="31"/>
      <c r="S425" s="31"/>
      <c r="T425" s="31"/>
    </row>
    <row r="426" spans="1:20" ht="15" thickBot="1" x14ac:dyDescent="0.4">
      <c r="A426" s="4">
        <v>413</v>
      </c>
      <c r="B426" s="49"/>
      <c r="C426" s="5"/>
      <c r="D426" s="16"/>
      <c r="E426" s="5"/>
      <c r="F426" s="5"/>
      <c r="G426" s="632"/>
      <c r="H426" s="633"/>
      <c r="I426" s="634"/>
      <c r="J426" s="7"/>
      <c r="K426" s="16"/>
      <c r="L426" s="5"/>
      <c r="M426" s="16"/>
      <c r="N426" s="16"/>
      <c r="O426" s="16"/>
      <c r="P426" s="16"/>
      <c r="Q426" s="31"/>
      <c r="R426" s="31"/>
      <c r="S426" s="31"/>
      <c r="T426" s="31"/>
    </row>
    <row r="427" spans="1:20" ht="15" thickBot="1" x14ac:dyDescent="0.4">
      <c r="A427" s="4">
        <v>414</v>
      </c>
      <c r="B427" s="49"/>
      <c r="C427" s="5"/>
      <c r="D427" s="16"/>
      <c r="E427" s="5"/>
      <c r="F427" s="5"/>
      <c r="G427" s="632"/>
      <c r="H427" s="633"/>
      <c r="I427" s="634"/>
      <c r="J427" s="7"/>
      <c r="K427" s="16"/>
      <c r="L427" s="5"/>
      <c r="M427" s="16"/>
      <c r="N427" s="16"/>
      <c r="O427" s="16"/>
      <c r="P427" s="16"/>
      <c r="Q427" s="31"/>
      <c r="R427" s="31"/>
      <c r="S427" s="31"/>
      <c r="T427" s="31"/>
    </row>
    <row r="428" spans="1:20" ht="15" thickBot="1" x14ac:dyDescent="0.4">
      <c r="A428" s="4">
        <v>415</v>
      </c>
      <c r="B428" s="49"/>
      <c r="C428" s="5"/>
      <c r="D428" s="16"/>
      <c r="E428" s="5"/>
      <c r="F428" s="5"/>
      <c r="G428" s="632"/>
      <c r="H428" s="633"/>
      <c r="I428" s="634"/>
      <c r="J428" s="7"/>
      <c r="K428" s="16"/>
      <c r="L428" s="5"/>
      <c r="M428" s="16"/>
      <c r="N428" s="16"/>
      <c r="O428" s="16"/>
      <c r="P428" s="16"/>
      <c r="Q428" s="31"/>
      <c r="R428" s="31"/>
      <c r="S428" s="31"/>
      <c r="T428" s="31"/>
    </row>
    <row r="429" spans="1:20" ht="15" thickBot="1" x14ac:dyDescent="0.4">
      <c r="A429" s="4">
        <v>416</v>
      </c>
      <c r="B429" s="49"/>
      <c r="C429" s="5"/>
      <c r="D429" s="16"/>
      <c r="E429" s="5"/>
      <c r="F429" s="5"/>
      <c r="G429" s="632"/>
      <c r="H429" s="633"/>
      <c r="I429" s="634"/>
      <c r="J429" s="7"/>
      <c r="K429" s="16"/>
      <c r="L429" s="5"/>
      <c r="M429" s="16"/>
      <c r="N429" s="16"/>
      <c r="O429" s="16"/>
      <c r="P429" s="16"/>
      <c r="Q429" s="31"/>
      <c r="R429" s="31"/>
      <c r="S429" s="31"/>
      <c r="T429" s="31"/>
    </row>
    <row r="430" spans="1:20" ht="15" thickBot="1" x14ac:dyDescent="0.4">
      <c r="A430" s="4">
        <v>417</v>
      </c>
      <c r="B430" s="49"/>
      <c r="C430" s="5"/>
      <c r="D430" s="16"/>
      <c r="E430" s="5"/>
      <c r="F430" s="5"/>
      <c r="G430" s="632"/>
      <c r="H430" s="633"/>
      <c r="I430" s="634"/>
      <c r="J430" s="7"/>
      <c r="K430" s="16"/>
      <c r="L430" s="5"/>
      <c r="M430" s="16"/>
      <c r="N430" s="16"/>
      <c r="O430" s="16"/>
      <c r="P430" s="16"/>
      <c r="Q430" s="31"/>
      <c r="R430" s="31"/>
      <c r="S430" s="31"/>
      <c r="T430" s="31"/>
    </row>
    <row r="431" spans="1:20" ht="15" thickBot="1" x14ac:dyDescent="0.4">
      <c r="A431" s="4">
        <v>418</v>
      </c>
      <c r="B431" s="49"/>
      <c r="C431" s="5"/>
      <c r="D431" s="16"/>
      <c r="E431" s="5"/>
      <c r="F431" s="5"/>
      <c r="G431" s="632"/>
      <c r="H431" s="633"/>
      <c r="I431" s="634"/>
      <c r="J431" s="7"/>
      <c r="K431" s="16"/>
      <c r="L431" s="5"/>
      <c r="M431" s="16"/>
      <c r="N431" s="16"/>
      <c r="O431" s="16"/>
      <c r="P431" s="16"/>
      <c r="Q431" s="31"/>
      <c r="R431" s="31"/>
      <c r="S431" s="31"/>
      <c r="T431" s="31"/>
    </row>
    <row r="432" spans="1:20" ht="15" thickBot="1" x14ac:dyDescent="0.4">
      <c r="A432" s="4">
        <v>419</v>
      </c>
      <c r="B432" s="49"/>
      <c r="C432" s="5"/>
      <c r="D432" s="16"/>
      <c r="E432" s="5"/>
      <c r="F432" s="5"/>
      <c r="G432" s="632"/>
      <c r="H432" s="633"/>
      <c r="I432" s="634"/>
      <c r="J432" s="7"/>
      <c r="K432" s="16"/>
      <c r="L432" s="5"/>
      <c r="M432" s="16"/>
      <c r="N432" s="16"/>
      <c r="O432" s="16"/>
      <c r="P432" s="16"/>
      <c r="Q432" s="31"/>
      <c r="R432" s="31"/>
      <c r="S432" s="31"/>
      <c r="T432" s="31"/>
    </row>
    <row r="433" spans="1:20" ht="15" thickBot="1" x14ac:dyDescent="0.4">
      <c r="A433" s="4">
        <v>420</v>
      </c>
      <c r="B433" s="49"/>
      <c r="C433" s="5"/>
      <c r="D433" s="16"/>
      <c r="E433" s="5"/>
      <c r="F433" s="5"/>
      <c r="G433" s="632"/>
      <c r="H433" s="633"/>
      <c r="I433" s="634"/>
      <c r="J433" s="7"/>
      <c r="K433" s="16"/>
      <c r="L433" s="5"/>
      <c r="M433" s="16"/>
      <c r="N433" s="16"/>
      <c r="O433" s="16"/>
      <c r="P433" s="16"/>
      <c r="Q433" s="31"/>
      <c r="R433" s="31"/>
      <c r="S433" s="31"/>
      <c r="T433" s="31"/>
    </row>
    <row r="434" spans="1:20" ht="15" thickBot="1" x14ac:dyDescent="0.4">
      <c r="A434" s="4">
        <v>421</v>
      </c>
      <c r="B434" s="49"/>
      <c r="C434" s="5"/>
      <c r="D434" s="16"/>
      <c r="E434" s="5"/>
      <c r="F434" s="5"/>
      <c r="G434" s="632"/>
      <c r="H434" s="633"/>
      <c r="I434" s="634"/>
      <c r="J434" s="7"/>
      <c r="K434" s="16"/>
      <c r="L434" s="5"/>
      <c r="M434" s="16"/>
      <c r="N434" s="16"/>
      <c r="O434" s="16"/>
      <c r="P434" s="16"/>
      <c r="Q434" s="31"/>
      <c r="R434" s="31"/>
      <c r="S434" s="31"/>
      <c r="T434" s="31"/>
    </row>
    <row r="435" spans="1:20" ht="15" thickBot="1" x14ac:dyDescent="0.4">
      <c r="A435" s="4">
        <v>422</v>
      </c>
      <c r="B435" s="49"/>
      <c r="C435" s="5"/>
      <c r="D435" s="16"/>
      <c r="E435" s="5"/>
      <c r="F435" s="5"/>
      <c r="G435" s="632"/>
      <c r="H435" s="633"/>
      <c r="I435" s="634"/>
      <c r="J435" s="7"/>
      <c r="K435" s="16"/>
      <c r="L435" s="5"/>
      <c r="M435" s="16"/>
      <c r="N435" s="16"/>
      <c r="O435" s="16"/>
      <c r="P435" s="16"/>
      <c r="Q435" s="31"/>
      <c r="R435" s="31"/>
      <c r="S435" s="31"/>
      <c r="T435" s="31"/>
    </row>
    <row r="436" spans="1:20" ht="15" thickBot="1" x14ac:dyDescent="0.4">
      <c r="A436" s="4">
        <v>423</v>
      </c>
      <c r="B436" s="49"/>
      <c r="C436" s="5"/>
      <c r="D436" s="16"/>
      <c r="E436" s="5"/>
      <c r="F436" s="5"/>
      <c r="G436" s="632"/>
      <c r="H436" s="633"/>
      <c r="I436" s="634"/>
      <c r="J436" s="7"/>
      <c r="K436" s="16"/>
      <c r="L436" s="5"/>
      <c r="M436" s="16"/>
      <c r="N436" s="16"/>
      <c r="O436" s="16"/>
      <c r="P436" s="16"/>
      <c r="Q436" s="31"/>
      <c r="R436" s="31"/>
      <c r="S436" s="31"/>
      <c r="T436" s="31"/>
    </row>
    <row r="437" spans="1:20" ht="15" thickBot="1" x14ac:dyDescent="0.4">
      <c r="A437" s="4">
        <v>424</v>
      </c>
      <c r="B437" s="49"/>
      <c r="C437" s="5"/>
      <c r="D437" s="16"/>
      <c r="E437" s="5"/>
      <c r="F437" s="5"/>
      <c r="G437" s="632"/>
      <c r="H437" s="633"/>
      <c r="I437" s="634"/>
      <c r="J437" s="7"/>
      <c r="K437" s="16"/>
      <c r="L437" s="5"/>
      <c r="M437" s="16"/>
      <c r="N437" s="16"/>
      <c r="O437" s="16"/>
      <c r="P437" s="16"/>
      <c r="Q437" s="31"/>
      <c r="R437" s="31"/>
      <c r="S437" s="31"/>
      <c r="T437" s="31"/>
    </row>
    <row r="438" spans="1:20" ht="15" thickBot="1" x14ac:dyDescent="0.4">
      <c r="A438" s="4">
        <v>425</v>
      </c>
      <c r="B438" s="49"/>
      <c r="C438" s="5"/>
      <c r="D438" s="16"/>
      <c r="E438" s="5"/>
      <c r="F438" s="5"/>
      <c r="G438" s="632"/>
      <c r="H438" s="633"/>
      <c r="I438" s="634"/>
      <c r="J438" s="7"/>
      <c r="K438" s="16"/>
      <c r="L438" s="5"/>
      <c r="M438" s="16"/>
      <c r="N438" s="16"/>
      <c r="O438" s="16"/>
      <c r="P438" s="16"/>
      <c r="Q438" s="31"/>
      <c r="R438" s="31"/>
      <c r="S438" s="31"/>
      <c r="T438" s="31"/>
    </row>
    <row r="439" spans="1:20" ht="15" thickBot="1" x14ac:dyDescent="0.4">
      <c r="A439" s="4">
        <v>426</v>
      </c>
      <c r="B439" s="49"/>
      <c r="C439" s="5"/>
      <c r="D439" s="16"/>
      <c r="E439" s="5"/>
      <c r="F439" s="5"/>
      <c r="G439" s="632"/>
      <c r="H439" s="633"/>
      <c r="I439" s="634"/>
      <c r="J439" s="7"/>
      <c r="K439" s="16"/>
      <c r="L439" s="5"/>
      <c r="M439" s="16"/>
      <c r="N439" s="16"/>
      <c r="O439" s="16"/>
      <c r="P439" s="16"/>
      <c r="Q439" s="31"/>
      <c r="R439" s="31"/>
      <c r="S439" s="31"/>
      <c r="T439" s="31"/>
    </row>
    <row r="440" spans="1:20" ht="15" thickBot="1" x14ac:dyDescent="0.4">
      <c r="A440" s="4">
        <v>427</v>
      </c>
      <c r="B440" s="49"/>
      <c r="C440" s="5"/>
      <c r="D440" s="16"/>
      <c r="E440" s="5"/>
      <c r="F440" s="5"/>
      <c r="G440" s="632"/>
      <c r="H440" s="633"/>
      <c r="I440" s="634"/>
      <c r="J440" s="7"/>
      <c r="K440" s="16"/>
      <c r="L440" s="5"/>
      <c r="M440" s="16"/>
      <c r="N440" s="16"/>
      <c r="O440" s="16"/>
      <c r="P440" s="16"/>
      <c r="Q440" s="31"/>
      <c r="R440" s="31"/>
      <c r="S440" s="31"/>
      <c r="T440" s="31"/>
    </row>
    <row r="441" spans="1:20" ht="15" thickBot="1" x14ac:dyDescent="0.4">
      <c r="A441" s="4">
        <v>428</v>
      </c>
      <c r="B441" s="49"/>
      <c r="C441" s="5"/>
      <c r="D441" s="16"/>
      <c r="E441" s="5"/>
      <c r="F441" s="5"/>
      <c r="G441" s="632"/>
      <c r="H441" s="633"/>
      <c r="I441" s="634"/>
      <c r="J441" s="7"/>
      <c r="K441" s="16"/>
      <c r="L441" s="5"/>
      <c r="M441" s="16"/>
      <c r="N441" s="16"/>
      <c r="O441" s="16"/>
      <c r="P441" s="16"/>
      <c r="Q441" s="31"/>
      <c r="R441" s="31"/>
      <c r="S441" s="31"/>
      <c r="T441" s="31"/>
    </row>
    <row r="442" spans="1:20" ht="15" thickBot="1" x14ac:dyDescent="0.4">
      <c r="A442" s="4">
        <v>429</v>
      </c>
      <c r="B442" s="49"/>
      <c r="C442" s="5"/>
      <c r="D442" s="16"/>
      <c r="E442" s="5"/>
      <c r="F442" s="5"/>
      <c r="G442" s="632"/>
      <c r="H442" s="633"/>
      <c r="I442" s="634"/>
      <c r="J442" s="7"/>
      <c r="K442" s="16"/>
      <c r="L442" s="5"/>
      <c r="M442" s="16"/>
      <c r="N442" s="16"/>
      <c r="O442" s="16"/>
      <c r="P442" s="16"/>
      <c r="Q442" s="31"/>
      <c r="R442" s="31"/>
      <c r="S442" s="31"/>
      <c r="T442" s="31"/>
    </row>
    <row r="443" spans="1:20" ht="15" thickBot="1" x14ac:dyDescent="0.4">
      <c r="A443" s="4">
        <v>430</v>
      </c>
      <c r="B443" s="49"/>
      <c r="C443" s="5"/>
      <c r="D443" s="16"/>
      <c r="E443" s="5"/>
      <c r="F443" s="5"/>
      <c r="G443" s="632"/>
      <c r="H443" s="633"/>
      <c r="I443" s="634"/>
      <c r="J443" s="7"/>
      <c r="K443" s="16"/>
      <c r="L443" s="5"/>
      <c r="M443" s="16"/>
      <c r="N443" s="16"/>
      <c r="O443" s="16"/>
      <c r="P443" s="16"/>
      <c r="Q443" s="31"/>
      <c r="R443" s="31"/>
      <c r="S443" s="31"/>
      <c r="T443" s="31"/>
    </row>
    <row r="444" spans="1:20" ht="15" thickBot="1" x14ac:dyDescent="0.4">
      <c r="A444" s="4">
        <v>431</v>
      </c>
      <c r="B444" s="49"/>
      <c r="C444" s="5"/>
      <c r="D444" s="16"/>
      <c r="E444" s="5"/>
      <c r="F444" s="5"/>
      <c r="G444" s="632"/>
      <c r="H444" s="633"/>
      <c r="I444" s="634"/>
      <c r="J444" s="7"/>
      <c r="K444" s="16"/>
      <c r="L444" s="5"/>
      <c r="M444" s="16"/>
      <c r="N444" s="16"/>
      <c r="O444" s="16"/>
      <c r="P444" s="16"/>
      <c r="Q444" s="31"/>
      <c r="R444" s="31"/>
      <c r="S444" s="31"/>
      <c r="T444" s="31"/>
    </row>
    <row r="445" spans="1:20" ht="15" thickBot="1" x14ac:dyDescent="0.4">
      <c r="A445" s="4">
        <v>432</v>
      </c>
      <c r="B445" s="49"/>
      <c r="C445" s="5"/>
      <c r="D445" s="16"/>
      <c r="E445" s="5"/>
      <c r="F445" s="5"/>
      <c r="G445" s="632"/>
      <c r="H445" s="633"/>
      <c r="I445" s="634"/>
      <c r="J445" s="7"/>
      <c r="K445" s="16"/>
      <c r="L445" s="5"/>
      <c r="M445" s="16"/>
      <c r="N445" s="16"/>
      <c r="O445" s="16"/>
      <c r="P445" s="16"/>
      <c r="Q445" s="31"/>
      <c r="R445" s="31"/>
      <c r="S445" s="31"/>
      <c r="T445" s="31"/>
    </row>
    <row r="446" spans="1:20" ht="15" thickBot="1" x14ac:dyDescent="0.4">
      <c r="A446" s="4">
        <v>433</v>
      </c>
      <c r="B446" s="49"/>
      <c r="C446" s="5"/>
      <c r="D446" s="16"/>
      <c r="E446" s="5"/>
      <c r="F446" s="5"/>
      <c r="G446" s="632"/>
      <c r="H446" s="633"/>
      <c r="I446" s="634"/>
      <c r="J446" s="7"/>
      <c r="K446" s="16"/>
      <c r="L446" s="5"/>
      <c r="M446" s="16"/>
      <c r="N446" s="16"/>
      <c r="O446" s="16"/>
      <c r="P446" s="16"/>
      <c r="Q446" s="31"/>
      <c r="R446" s="31"/>
      <c r="S446" s="31"/>
      <c r="T446" s="31"/>
    </row>
    <row r="447" spans="1:20" ht="15" thickBot="1" x14ac:dyDescent="0.4">
      <c r="A447" s="4">
        <v>434</v>
      </c>
      <c r="B447" s="49"/>
      <c r="C447" s="5"/>
      <c r="D447" s="16"/>
      <c r="E447" s="5"/>
      <c r="F447" s="5"/>
      <c r="G447" s="632"/>
      <c r="H447" s="633"/>
      <c r="I447" s="634"/>
      <c r="J447" s="7"/>
      <c r="K447" s="16"/>
      <c r="L447" s="5"/>
      <c r="M447" s="16"/>
      <c r="N447" s="16"/>
      <c r="O447" s="16"/>
      <c r="P447" s="16"/>
      <c r="Q447" s="31"/>
      <c r="R447" s="31"/>
      <c r="S447" s="31"/>
      <c r="T447" s="31"/>
    </row>
    <row r="448" spans="1:20" ht="15" thickBot="1" x14ac:dyDescent="0.4">
      <c r="A448" s="4">
        <v>435</v>
      </c>
      <c r="B448" s="49"/>
      <c r="C448" s="5"/>
      <c r="D448" s="16"/>
      <c r="E448" s="5"/>
      <c r="F448" s="5"/>
      <c r="G448" s="632"/>
      <c r="H448" s="633"/>
      <c r="I448" s="634"/>
      <c r="J448" s="7"/>
      <c r="K448" s="16"/>
      <c r="L448" s="5"/>
      <c r="M448" s="16"/>
      <c r="N448" s="16"/>
      <c r="O448" s="16"/>
      <c r="P448" s="16"/>
      <c r="Q448" s="31"/>
      <c r="R448" s="31"/>
      <c r="S448" s="31"/>
      <c r="T448" s="31"/>
    </row>
    <row r="449" spans="1:20" ht="15" thickBot="1" x14ac:dyDescent="0.4">
      <c r="A449" s="4">
        <v>436</v>
      </c>
      <c r="B449" s="49"/>
      <c r="C449" s="5"/>
      <c r="D449" s="16"/>
      <c r="E449" s="5"/>
      <c r="F449" s="5"/>
      <c r="G449" s="632"/>
      <c r="H449" s="633"/>
      <c r="I449" s="634"/>
      <c r="J449" s="7"/>
      <c r="K449" s="16"/>
      <c r="L449" s="5"/>
      <c r="M449" s="16"/>
      <c r="N449" s="16"/>
      <c r="O449" s="16"/>
      <c r="P449" s="16"/>
      <c r="Q449" s="31"/>
      <c r="R449" s="31"/>
      <c r="S449" s="31"/>
      <c r="T449" s="31"/>
    </row>
    <row r="450" spans="1:20" ht="15" thickBot="1" x14ac:dyDescent="0.4">
      <c r="A450" s="4">
        <v>437</v>
      </c>
      <c r="B450" s="49"/>
      <c r="C450" s="5"/>
      <c r="D450" s="16"/>
      <c r="E450" s="5"/>
      <c r="F450" s="5"/>
      <c r="G450" s="632"/>
      <c r="H450" s="633"/>
      <c r="I450" s="634"/>
      <c r="J450" s="7"/>
      <c r="K450" s="16"/>
      <c r="L450" s="5"/>
      <c r="M450" s="16"/>
      <c r="N450" s="16"/>
      <c r="O450" s="16"/>
      <c r="P450" s="16"/>
      <c r="Q450" s="31"/>
      <c r="R450" s="31"/>
      <c r="S450" s="31"/>
      <c r="T450" s="31"/>
    </row>
    <row r="451" spans="1:20" ht="15" thickBot="1" x14ac:dyDescent="0.4">
      <c r="A451" s="4">
        <v>438</v>
      </c>
      <c r="B451" s="49"/>
      <c r="C451" s="5"/>
      <c r="D451" s="16"/>
      <c r="E451" s="5"/>
      <c r="F451" s="5"/>
      <c r="G451" s="632"/>
      <c r="H451" s="633"/>
      <c r="I451" s="634"/>
      <c r="J451" s="7"/>
      <c r="K451" s="16"/>
      <c r="L451" s="5"/>
      <c r="M451" s="16"/>
      <c r="N451" s="16"/>
      <c r="O451" s="16"/>
      <c r="P451" s="16"/>
      <c r="Q451" s="31"/>
      <c r="R451" s="31"/>
      <c r="S451" s="31"/>
      <c r="T451" s="31"/>
    </row>
    <row r="452" spans="1:20" ht="15" thickBot="1" x14ac:dyDescent="0.4">
      <c r="A452" s="4">
        <v>439</v>
      </c>
      <c r="B452" s="49"/>
      <c r="C452" s="5"/>
      <c r="D452" s="16"/>
      <c r="E452" s="5"/>
      <c r="F452" s="5"/>
      <c r="G452" s="632"/>
      <c r="H452" s="633"/>
      <c r="I452" s="634"/>
      <c r="J452" s="7"/>
      <c r="K452" s="16"/>
      <c r="L452" s="5"/>
      <c r="M452" s="16"/>
      <c r="N452" s="16"/>
      <c r="O452" s="16"/>
      <c r="P452" s="16"/>
      <c r="Q452" s="31"/>
      <c r="R452" s="31"/>
      <c r="S452" s="31"/>
      <c r="T452" s="31"/>
    </row>
    <row r="453" spans="1:20" ht="15" thickBot="1" x14ac:dyDescent="0.4">
      <c r="A453" s="4">
        <v>440</v>
      </c>
      <c r="B453" s="49"/>
      <c r="C453" s="5"/>
      <c r="D453" s="16"/>
      <c r="E453" s="5"/>
      <c r="F453" s="5"/>
      <c r="G453" s="632"/>
      <c r="H453" s="633"/>
      <c r="I453" s="634"/>
      <c r="J453" s="7"/>
      <c r="K453" s="16"/>
      <c r="L453" s="5"/>
      <c r="M453" s="16"/>
      <c r="N453" s="16"/>
      <c r="O453" s="16"/>
      <c r="P453" s="16"/>
      <c r="Q453" s="31"/>
      <c r="R453" s="31"/>
      <c r="S453" s="31"/>
      <c r="T453" s="31"/>
    </row>
    <row r="454" spans="1:20" ht="15" thickBot="1" x14ac:dyDescent="0.4">
      <c r="A454" s="4">
        <v>441</v>
      </c>
      <c r="B454" s="49"/>
      <c r="C454" s="5"/>
      <c r="D454" s="16"/>
      <c r="E454" s="5"/>
      <c r="F454" s="5"/>
      <c r="G454" s="632"/>
      <c r="H454" s="633"/>
      <c r="I454" s="634"/>
      <c r="J454" s="7"/>
      <c r="K454" s="16"/>
      <c r="L454" s="5"/>
      <c r="M454" s="16"/>
      <c r="N454" s="16"/>
      <c r="O454" s="16"/>
      <c r="P454" s="16"/>
      <c r="Q454" s="31"/>
      <c r="R454" s="31"/>
      <c r="S454" s="31"/>
      <c r="T454" s="31"/>
    </row>
    <row r="455" spans="1:20" ht="15" thickBot="1" x14ac:dyDescent="0.4">
      <c r="A455" s="4">
        <v>442</v>
      </c>
      <c r="B455" s="49"/>
      <c r="C455" s="5"/>
      <c r="D455" s="16"/>
      <c r="E455" s="5"/>
      <c r="F455" s="5"/>
      <c r="G455" s="632"/>
      <c r="H455" s="633"/>
      <c r="I455" s="634"/>
      <c r="J455" s="7"/>
      <c r="K455" s="16"/>
      <c r="L455" s="5"/>
      <c r="M455" s="16"/>
      <c r="N455" s="16"/>
      <c r="O455" s="16"/>
      <c r="P455" s="16"/>
      <c r="Q455" s="31"/>
      <c r="R455" s="31"/>
      <c r="S455" s="31"/>
      <c r="T455" s="31"/>
    </row>
    <row r="456" spans="1:20" ht="15" thickBot="1" x14ac:dyDescent="0.4">
      <c r="A456" s="4">
        <v>443</v>
      </c>
      <c r="B456" s="49"/>
      <c r="C456" s="5"/>
      <c r="D456" s="16"/>
      <c r="E456" s="5"/>
      <c r="F456" s="5"/>
      <c r="G456" s="632"/>
      <c r="H456" s="633"/>
      <c r="I456" s="634"/>
      <c r="J456" s="7"/>
      <c r="K456" s="16"/>
      <c r="L456" s="5"/>
      <c r="M456" s="16"/>
      <c r="N456" s="16"/>
      <c r="O456" s="16"/>
      <c r="P456" s="16"/>
      <c r="Q456" s="31"/>
      <c r="R456" s="31"/>
      <c r="S456" s="31"/>
      <c r="T456" s="31"/>
    </row>
    <row r="457" spans="1:20" ht="15" thickBot="1" x14ac:dyDescent="0.4">
      <c r="A457" s="4">
        <v>444</v>
      </c>
      <c r="B457" s="49"/>
      <c r="C457" s="5"/>
      <c r="D457" s="16"/>
      <c r="E457" s="5"/>
      <c r="F457" s="5"/>
      <c r="G457" s="632"/>
      <c r="H457" s="633"/>
      <c r="I457" s="634"/>
      <c r="J457" s="7"/>
      <c r="K457" s="16"/>
      <c r="L457" s="5"/>
      <c r="M457" s="16"/>
      <c r="N457" s="16"/>
      <c r="O457" s="16"/>
      <c r="P457" s="16"/>
      <c r="Q457" s="31"/>
      <c r="R457" s="31"/>
      <c r="S457" s="31"/>
      <c r="T457" s="31"/>
    </row>
    <row r="458" spans="1:20" ht="15" thickBot="1" x14ac:dyDescent="0.4">
      <c r="A458" s="4">
        <v>445</v>
      </c>
      <c r="B458" s="49"/>
      <c r="C458" s="5"/>
      <c r="D458" s="16"/>
      <c r="E458" s="5"/>
      <c r="F458" s="5"/>
      <c r="G458" s="632"/>
      <c r="H458" s="633"/>
      <c r="I458" s="634"/>
      <c r="J458" s="7"/>
      <c r="K458" s="16"/>
      <c r="L458" s="5"/>
      <c r="M458" s="16"/>
      <c r="N458" s="16"/>
      <c r="O458" s="16"/>
      <c r="P458" s="16"/>
      <c r="Q458" s="31"/>
      <c r="R458" s="31"/>
      <c r="S458" s="31"/>
      <c r="T458" s="31"/>
    </row>
    <row r="459" spans="1:20" ht="15" thickBot="1" x14ac:dyDescent="0.4">
      <c r="A459" s="4">
        <v>446</v>
      </c>
      <c r="B459" s="49"/>
      <c r="C459" s="5"/>
      <c r="D459" s="16"/>
      <c r="E459" s="5"/>
      <c r="F459" s="5"/>
      <c r="G459" s="632"/>
      <c r="H459" s="633"/>
      <c r="I459" s="634"/>
      <c r="J459" s="7"/>
      <c r="K459" s="16"/>
      <c r="L459" s="5"/>
      <c r="M459" s="16"/>
      <c r="N459" s="16"/>
      <c r="O459" s="16"/>
      <c r="P459" s="16"/>
      <c r="Q459" s="31"/>
      <c r="R459" s="31"/>
      <c r="S459" s="31"/>
      <c r="T459" s="31"/>
    </row>
    <row r="460" spans="1:20" ht="15" thickBot="1" x14ac:dyDescent="0.4">
      <c r="A460" s="4">
        <v>447</v>
      </c>
      <c r="B460" s="49"/>
      <c r="C460" s="5"/>
      <c r="D460" s="16"/>
      <c r="E460" s="5"/>
      <c r="F460" s="5"/>
      <c r="G460" s="632"/>
      <c r="H460" s="633"/>
      <c r="I460" s="634"/>
      <c r="J460" s="7"/>
      <c r="K460" s="16"/>
      <c r="L460" s="5"/>
      <c r="M460" s="16"/>
      <c r="N460" s="16"/>
      <c r="O460" s="16"/>
      <c r="P460" s="16"/>
      <c r="Q460" s="31"/>
      <c r="R460" s="31"/>
      <c r="S460" s="31"/>
      <c r="T460" s="31"/>
    </row>
    <row r="461" spans="1:20" ht="15" thickBot="1" x14ac:dyDescent="0.4">
      <c r="A461" s="4">
        <v>448</v>
      </c>
      <c r="B461" s="49"/>
      <c r="C461" s="5"/>
      <c r="D461" s="16"/>
      <c r="E461" s="5"/>
      <c r="F461" s="5"/>
      <c r="G461" s="632"/>
      <c r="H461" s="633"/>
      <c r="I461" s="634"/>
      <c r="J461" s="7"/>
      <c r="K461" s="16"/>
      <c r="L461" s="5"/>
      <c r="M461" s="16"/>
      <c r="N461" s="16"/>
      <c r="O461" s="16"/>
      <c r="P461" s="16"/>
      <c r="Q461" s="31"/>
      <c r="R461" s="31"/>
      <c r="S461" s="31"/>
      <c r="T461" s="31"/>
    </row>
    <row r="462" spans="1:20" ht="15" thickBot="1" x14ac:dyDescent="0.4">
      <c r="A462" s="4">
        <v>449</v>
      </c>
      <c r="B462" s="49"/>
      <c r="C462" s="5"/>
      <c r="D462" s="16"/>
      <c r="E462" s="5"/>
      <c r="F462" s="5"/>
      <c r="G462" s="632"/>
      <c r="H462" s="633"/>
      <c r="I462" s="634"/>
      <c r="J462" s="7"/>
      <c r="K462" s="16"/>
      <c r="L462" s="5"/>
      <c r="M462" s="16"/>
      <c r="N462" s="16"/>
      <c r="O462" s="16"/>
      <c r="P462" s="16"/>
      <c r="Q462" s="31"/>
      <c r="R462" s="31"/>
      <c r="S462" s="31"/>
      <c r="T462" s="31"/>
    </row>
    <row r="463" spans="1:20" ht="15" thickBot="1" x14ac:dyDescent="0.4">
      <c r="A463" s="4">
        <v>450</v>
      </c>
      <c r="B463" s="49"/>
      <c r="C463" s="5"/>
      <c r="D463" s="16"/>
      <c r="E463" s="5"/>
      <c r="F463" s="5"/>
      <c r="G463" s="632"/>
      <c r="H463" s="633"/>
      <c r="I463" s="634"/>
      <c r="J463" s="7"/>
      <c r="K463" s="16"/>
      <c r="L463" s="5"/>
      <c r="M463" s="16"/>
      <c r="N463" s="16"/>
      <c r="O463" s="16"/>
      <c r="P463" s="16"/>
      <c r="Q463" s="31"/>
      <c r="R463" s="31"/>
      <c r="S463" s="31"/>
      <c r="T463" s="31"/>
    </row>
    <row r="464" spans="1:20" ht="15" thickBot="1" x14ac:dyDescent="0.4">
      <c r="A464" s="4">
        <v>451</v>
      </c>
      <c r="B464" s="49"/>
      <c r="C464" s="5"/>
      <c r="D464" s="16"/>
      <c r="E464" s="5"/>
      <c r="F464" s="5"/>
      <c r="G464" s="632"/>
      <c r="H464" s="633"/>
      <c r="I464" s="634"/>
      <c r="J464" s="7"/>
      <c r="K464" s="16"/>
      <c r="L464" s="5"/>
      <c r="M464" s="16"/>
      <c r="N464" s="16"/>
      <c r="O464" s="16"/>
      <c r="P464" s="16"/>
      <c r="Q464" s="31"/>
      <c r="R464" s="31"/>
      <c r="S464" s="31"/>
      <c r="T464" s="31"/>
    </row>
    <row r="465" spans="1:20" ht="15" thickBot="1" x14ac:dyDescent="0.4">
      <c r="A465" s="4">
        <v>452</v>
      </c>
      <c r="B465" s="49"/>
      <c r="C465" s="5"/>
      <c r="D465" s="16"/>
      <c r="E465" s="5"/>
      <c r="F465" s="5"/>
      <c r="G465" s="632"/>
      <c r="H465" s="633"/>
      <c r="I465" s="634"/>
      <c r="J465" s="7"/>
      <c r="K465" s="16"/>
      <c r="L465" s="5"/>
      <c r="M465" s="16"/>
      <c r="N465" s="16"/>
      <c r="O465" s="16"/>
      <c r="P465" s="16"/>
      <c r="Q465" s="31"/>
      <c r="R465" s="31"/>
      <c r="S465" s="31"/>
      <c r="T465" s="31"/>
    </row>
    <row r="466" spans="1:20" ht="15" thickBot="1" x14ac:dyDescent="0.4">
      <c r="A466" s="4">
        <v>453</v>
      </c>
      <c r="B466" s="49"/>
      <c r="C466" s="5"/>
      <c r="D466" s="16"/>
      <c r="E466" s="5"/>
      <c r="F466" s="5"/>
      <c r="G466" s="632"/>
      <c r="H466" s="633"/>
      <c r="I466" s="634"/>
      <c r="J466" s="7"/>
      <c r="K466" s="16"/>
      <c r="L466" s="5"/>
      <c r="M466" s="16"/>
      <c r="N466" s="16"/>
      <c r="O466" s="16"/>
      <c r="P466" s="16"/>
      <c r="Q466" s="31"/>
      <c r="R466" s="31"/>
      <c r="S466" s="31"/>
      <c r="T466" s="31"/>
    </row>
    <row r="467" spans="1:20" ht="15" thickBot="1" x14ac:dyDescent="0.4">
      <c r="A467" s="4">
        <v>454</v>
      </c>
      <c r="B467" s="49"/>
      <c r="C467" s="5"/>
      <c r="D467" s="16"/>
      <c r="E467" s="5"/>
      <c r="F467" s="5"/>
      <c r="G467" s="632"/>
      <c r="H467" s="633"/>
      <c r="I467" s="634"/>
      <c r="J467" s="7"/>
      <c r="K467" s="16"/>
      <c r="L467" s="5"/>
      <c r="M467" s="16"/>
      <c r="N467" s="16"/>
      <c r="O467" s="16"/>
      <c r="P467" s="16"/>
      <c r="Q467" s="31"/>
      <c r="R467" s="31"/>
      <c r="S467" s="31"/>
      <c r="T467" s="31"/>
    </row>
    <row r="468" spans="1:20" ht="15" thickBot="1" x14ac:dyDescent="0.4">
      <c r="A468" s="4">
        <v>455</v>
      </c>
      <c r="B468" s="49"/>
      <c r="C468" s="5"/>
      <c r="D468" s="16"/>
      <c r="E468" s="5"/>
      <c r="F468" s="5"/>
      <c r="G468" s="632"/>
      <c r="H468" s="633"/>
      <c r="I468" s="634"/>
      <c r="J468" s="7"/>
      <c r="K468" s="16"/>
      <c r="L468" s="5"/>
      <c r="M468" s="16"/>
      <c r="N468" s="16"/>
      <c r="O468" s="16"/>
      <c r="P468" s="16"/>
      <c r="Q468" s="31"/>
      <c r="R468" s="31"/>
      <c r="S468" s="31"/>
      <c r="T468" s="31"/>
    </row>
    <row r="469" spans="1:20" ht="15" thickBot="1" x14ac:dyDescent="0.4">
      <c r="A469" s="4">
        <v>456</v>
      </c>
      <c r="B469" s="49"/>
      <c r="C469" s="5"/>
      <c r="D469" s="16"/>
      <c r="E469" s="5"/>
      <c r="F469" s="5"/>
      <c r="G469" s="632"/>
      <c r="H469" s="633"/>
      <c r="I469" s="634"/>
      <c r="J469" s="7"/>
      <c r="K469" s="16"/>
      <c r="L469" s="5"/>
      <c r="M469" s="16"/>
      <c r="N469" s="16"/>
      <c r="O469" s="16"/>
      <c r="P469" s="16"/>
      <c r="Q469" s="31"/>
      <c r="R469" s="31"/>
      <c r="S469" s="31"/>
      <c r="T469" s="31"/>
    </row>
    <row r="470" spans="1:20" ht="15" thickBot="1" x14ac:dyDescent="0.4">
      <c r="A470" s="4">
        <v>457</v>
      </c>
      <c r="B470" s="49"/>
      <c r="C470" s="5"/>
      <c r="D470" s="16"/>
      <c r="E470" s="5"/>
      <c r="F470" s="5"/>
      <c r="G470" s="632"/>
      <c r="H470" s="633"/>
      <c r="I470" s="634"/>
      <c r="J470" s="7"/>
      <c r="K470" s="16"/>
      <c r="L470" s="5"/>
      <c r="M470" s="16"/>
      <c r="N470" s="16"/>
      <c r="O470" s="16"/>
      <c r="P470" s="16"/>
      <c r="Q470" s="31"/>
      <c r="R470" s="31"/>
      <c r="S470" s="31"/>
      <c r="T470" s="31"/>
    </row>
    <row r="471" spans="1:20" ht="15" thickBot="1" x14ac:dyDescent="0.4">
      <c r="A471" s="4">
        <v>458</v>
      </c>
      <c r="B471" s="49"/>
      <c r="C471" s="5"/>
      <c r="D471" s="16"/>
      <c r="E471" s="5"/>
      <c r="F471" s="5"/>
      <c r="G471" s="632"/>
      <c r="H471" s="633"/>
      <c r="I471" s="634"/>
      <c r="J471" s="7"/>
      <c r="K471" s="16"/>
      <c r="L471" s="5"/>
      <c r="M471" s="16"/>
      <c r="N471" s="16"/>
      <c r="O471" s="16"/>
      <c r="P471" s="16"/>
      <c r="Q471" s="31"/>
      <c r="R471" s="31"/>
      <c r="S471" s="31"/>
      <c r="T471" s="31"/>
    </row>
    <row r="472" spans="1:20" ht="15" thickBot="1" x14ac:dyDescent="0.4">
      <c r="A472" s="4">
        <v>459</v>
      </c>
      <c r="B472" s="49"/>
      <c r="C472" s="5"/>
      <c r="D472" s="16"/>
      <c r="E472" s="5"/>
      <c r="F472" s="5"/>
      <c r="G472" s="632"/>
      <c r="H472" s="633"/>
      <c r="I472" s="634"/>
      <c r="J472" s="7"/>
      <c r="K472" s="16"/>
      <c r="L472" s="5"/>
      <c r="M472" s="16"/>
      <c r="N472" s="16"/>
      <c r="O472" s="16"/>
      <c r="P472" s="16"/>
      <c r="Q472" s="31"/>
      <c r="R472" s="31"/>
      <c r="S472" s="31"/>
      <c r="T472" s="31"/>
    </row>
    <row r="473" spans="1:20" ht="15" thickBot="1" x14ac:dyDescent="0.4">
      <c r="A473" s="4">
        <v>460</v>
      </c>
      <c r="B473" s="49"/>
      <c r="C473" s="5"/>
      <c r="D473" s="16"/>
      <c r="E473" s="5"/>
      <c r="F473" s="5"/>
      <c r="G473" s="632"/>
      <c r="H473" s="633"/>
      <c r="I473" s="634"/>
      <c r="J473" s="7"/>
      <c r="K473" s="16"/>
      <c r="L473" s="5"/>
      <c r="M473" s="16"/>
      <c r="N473" s="16"/>
      <c r="O473" s="16"/>
      <c r="P473" s="16"/>
      <c r="Q473" s="31"/>
      <c r="R473" s="31"/>
      <c r="S473" s="31"/>
      <c r="T473" s="31"/>
    </row>
    <row r="474" spans="1:20" ht="15" thickBot="1" x14ac:dyDescent="0.4">
      <c r="A474" s="4">
        <v>461</v>
      </c>
      <c r="B474" s="49"/>
      <c r="C474" s="5"/>
      <c r="D474" s="16"/>
      <c r="E474" s="5"/>
      <c r="F474" s="5"/>
      <c r="G474" s="632"/>
      <c r="H474" s="633"/>
      <c r="I474" s="634"/>
      <c r="J474" s="7"/>
      <c r="K474" s="16"/>
      <c r="L474" s="5"/>
      <c r="M474" s="16"/>
      <c r="N474" s="16"/>
      <c r="O474" s="16"/>
      <c r="P474" s="16"/>
      <c r="Q474" s="31"/>
      <c r="R474" s="31"/>
      <c r="S474" s="31"/>
      <c r="T474" s="31"/>
    </row>
    <row r="475" spans="1:20" ht="15" thickBot="1" x14ac:dyDescent="0.4">
      <c r="A475" s="4">
        <v>462</v>
      </c>
      <c r="B475" s="49"/>
      <c r="C475" s="5"/>
      <c r="D475" s="16"/>
      <c r="E475" s="5"/>
      <c r="F475" s="5"/>
      <c r="G475" s="632"/>
      <c r="H475" s="633"/>
      <c r="I475" s="634"/>
      <c r="J475" s="7"/>
      <c r="K475" s="16"/>
      <c r="L475" s="5"/>
      <c r="M475" s="16"/>
      <c r="N475" s="16"/>
      <c r="O475" s="16"/>
      <c r="P475" s="16"/>
      <c r="Q475" s="31"/>
      <c r="R475" s="31"/>
      <c r="S475" s="31"/>
      <c r="T475" s="31"/>
    </row>
    <row r="476" spans="1:20" ht="15" thickBot="1" x14ac:dyDescent="0.4">
      <c r="A476" s="4">
        <v>463</v>
      </c>
      <c r="B476" s="49"/>
      <c r="C476" s="5"/>
      <c r="D476" s="16"/>
      <c r="E476" s="5"/>
      <c r="F476" s="5"/>
      <c r="G476" s="632"/>
      <c r="H476" s="633"/>
      <c r="I476" s="634"/>
      <c r="J476" s="7"/>
      <c r="K476" s="16"/>
      <c r="L476" s="5"/>
      <c r="M476" s="16"/>
      <c r="N476" s="16"/>
      <c r="O476" s="16"/>
      <c r="P476" s="16"/>
      <c r="Q476" s="31"/>
      <c r="R476" s="31"/>
      <c r="S476" s="31"/>
      <c r="T476" s="31"/>
    </row>
    <row r="477" spans="1:20" ht="15" thickBot="1" x14ac:dyDescent="0.4">
      <c r="A477" s="4">
        <v>464</v>
      </c>
      <c r="B477" s="49"/>
      <c r="C477" s="5"/>
      <c r="D477" s="16"/>
      <c r="E477" s="5"/>
      <c r="F477" s="5"/>
      <c r="G477" s="632"/>
      <c r="H477" s="633"/>
      <c r="I477" s="634"/>
      <c r="J477" s="7"/>
      <c r="K477" s="16"/>
      <c r="L477" s="5"/>
      <c r="M477" s="16"/>
      <c r="N477" s="16"/>
      <c r="O477" s="16"/>
      <c r="P477" s="16"/>
      <c r="Q477" s="31"/>
      <c r="R477" s="31"/>
      <c r="S477" s="31"/>
      <c r="T477" s="31"/>
    </row>
    <row r="478" spans="1:20" ht="15" thickBot="1" x14ac:dyDescent="0.4">
      <c r="A478" s="4">
        <v>465</v>
      </c>
      <c r="B478" s="49"/>
      <c r="C478" s="5"/>
      <c r="D478" s="16"/>
      <c r="E478" s="5"/>
      <c r="F478" s="5"/>
      <c r="G478" s="632"/>
      <c r="H478" s="633"/>
      <c r="I478" s="634"/>
      <c r="J478" s="7"/>
      <c r="K478" s="16"/>
      <c r="L478" s="5"/>
      <c r="M478" s="16"/>
      <c r="N478" s="16"/>
      <c r="O478" s="16"/>
      <c r="P478" s="16"/>
      <c r="Q478" s="31"/>
      <c r="R478" s="31"/>
      <c r="S478" s="31"/>
      <c r="T478" s="31"/>
    </row>
    <row r="479" spans="1:20" ht="15" thickBot="1" x14ac:dyDescent="0.4">
      <c r="A479" s="4">
        <v>466</v>
      </c>
      <c r="B479" s="49"/>
      <c r="C479" s="5"/>
      <c r="D479" s="16"/>
      <c r="E479" s="5"/>
      <c r="F479" s="5"/>
      <c r="G479" s="632"/>
      <c r="H479" s="633"/>
      <c r="I479" s="634"/>
      <c r="J479" s="7"/>
      <c r="K479" s="16"/>
      <c r="L479" s="5"/>
      <c r="M479" s="16"/>
      <c r="N479" s="16"/>
      <c r="O479" s="16"/>
      <c r="P479" s="16"/>
      <c r="Q479" s="31"/>
      <c r="R479" s="31"/>
      <c r="S479" s="31"/>
      <c r="T479" s="31"/>
    </row>
    <row r="480" spans="1:20" ht="15" thickBot="1" x14ac:dyDescent="0.4">
      <c r="A480" s="4">
        <v>467</v>
      </c>
      <c r="B480" s="49"/>
      <c r="C480" s="5"/>
      <c r="D480" s="16"/>
      <c r="E480" s="5"/>
      <c r="F480" s="5"/>
      <c r="G480" s="632"/>
      <c r="H480" s="633"/>
      <c r="I480" s="634"/>
      <c r="J480" s="7"/>
      <c r="K480" s="16"/>
      <c r="L480" s="5"/>
      <c r="M480" s="16"/>
      <c r="N480" s="16"/>
      <c r="O480" s="16"/>
      <c r="P480" s="16"/>
      <c r="Q480" s="31"/>
      <c r="R480" s="31"/>
      <c r="S480" s="31"/>
      <c r="T480" s="31"/>
    </row>
    <row r="481" spans="1:20" ht="15" thickBot="1" x14ac:dyDescent="0.4">
      <c r="A481" s="4">
        <v>468</v>
      </c>
      <c r="B481" s="49"/>
      <c r="C481" s="5"/>
      <c r="D481" s="16"/>
      <c r="E481" s="5"/>
      <c r="F481" s="5"/>
      <c r="G481" s="632"/>
      <c r="H481" s="633"/>
      <c r="I481" s="634"/>
      <c r="J481" s="7"/>
      <c r="K481" s="16"/>
      <c r="L481" s="5"/>
      <c r="M481" s="16"/>
      <c r="N481" s="16"/>
      <c r="O481" s="16"/>
      <c r="P481" s="16"/>
      <c r="Q481" s="31"/>
      <c r="R481" s="31"/>
      <c r="S481" s="31"/>
      <c r="T481" s="31"/>
    </row>
    <row r="482" spans="1:20" ht="15" thickBot="1" x14ac:dyDescent="0.4">
      <c r="A482" s="4">
        <v>469</v>
      </c>
      <c r="B482" s="49"/>
      <c r="C482" s="5"/>
      <c r="D482" s="16"/>
      <c r="E482" s="5"/>
      <c r="F482" s="5"/>
      <c r="G482" s="632"/>
      <c r="H482" s="633"/>
      <c r="I482" s="634"/>
      <c r="J482" s="7"/>
      <c r="K482" s="16"/>
      <c r="L482" s="5"/>
      <c r="M482" s="16"/>
      <c r="N482" s="16"/>
      <c r="O482" s="16"/>
      <c r="P482" s="16"/>
      <c r="Q482" s="31"/>
      <c r="R482" s="31"/>
      <c r="S482" s="31"/>
      <c r="T482" s="31"/>
    </row>
    <row r="483" spans="1:20" ht="15" thickBot="1" x14ac:dyDescent="0.4">
      <c r="A483" s="4">
        <v>470</v>
      </c>
      <c r="B483" s="49"/>
      <c r="C483" s="5"/>
      <c r="D483" s="16"/>
      <c r="E483" s="5"/>
      <c r="F483" s="5"/>
      <c r="G483" s="632"/>
      <c r="H483" s="633"/>
      <c r="I483" s="634"/>
      <c r="J483" s="7"/>
      <c r="K483" s="16"/>
      <c r="L483" s="5"/>
      <c r="M483" s="16"/>
      <c r="N483" s="16"/>
      <c r="O483" s="16"/>
      <c r="P483" s="16"/>
      <c r="Q483" s="31"/>
      <c r="R483" s="31"/>
      <c r="S483" s="31"/>
      <c r="T483" s="31"/>
    </row>
    <row r="484" spans="1:20" ht="15" thickBot="1" x14ac:dyDescent="0.4">
      <c r="A484" s="4">
        <v>471</v>
      </c>
      <c r="B484" s="49"/>
      <c r="C484" s="5"/>
      <c r="D484" s="16"/>
      <c r="E484" s="5"/>
      <c r="F484" s="5"/>
      <c r="G484" s="632"/>
      <c r="H484" s="633"/>
      <c r="I484" s="634"/>
      <c r="J484" s="7"/>
      <c r="K484" s="16"/>
      <c r="L484" s="5"/>
      <c r="M484" s="16"/>
      <c r="N484" s="16"/>
      <c r="O484" s="16"/>
      <c r="P484" s="16"/>
      <c r="Q484" s="31"/>
      <c r="R484" s="31"/>
      <c r="S484" s="31"/>
      <c r="T484" s="31"/>
    </row>
    <row r="485" spans="1:20" ht="15" thickBot="1" x14ac:dyDescent="0.4">
      <c r="A485" s="4">
        <v>472</v>
      </c>
      <c r="B485" s="49"/>
      <c r="C485" s="5"/>
      <c r="D485" s="16"/>
      <c r="E485" s="5"/>
      <c r="F485" s="5"/>
      <c r="G485" s="632"/>
      <c r="H485" s="633"/>
      <c r="I485" s="634"/>
      <c r="J485" s="7"/>
      <c r="K485" s="16"/>
      <c r="L485" s="5"/>
      <c r="M485" s="16"/>
      <c r="N485" s="16"/>
      <c r="O485" s="16"/>
      <c r="P485" s="16"/>
      <c r="Q485" s="31"/>
      <c r="R485" s="31"/>
      <c r="S485" s="31"/>
      <c r="T485" s="31"/>
    </row>
    <row r="486" spans="1:20" ht="15" thickBot="1" x14ac:dyDescent="0.4">
      <c r="A486" s="4">
        <v>473</v>
      </c>
      <c r="B486" s="49"/>
      <c r="C486" s="5"/>
      <c r="D486" s="16"/>
      <c r="E486" s="5"/>
      <c r="F486" s="5"/>
      <c r="G486" s="632"/>
      <c r="H486" s="633"/>
      <c r="I486" s="634"/>
      <c r="J486" s="7"/>
      <c r="K486" s="16"/>
      <c r="L486" s="5"/>
      <c r="M486" s="16"/>
      <c r="N486" s="16"/>
      <c r="O486" s="16"/>
      <c r="P486" s="16"/>
      <c r="Q486" s="31"/>
      <c r="R486" s="31"/>
      <c r="S486" s="31"/>
      <c r="T486" s="31"/>
    </row>
    <row r="487" spans="1:20" ht="15" thickBot="1" x14ac:dyDescent="0.4">
      <c r="A487" s="4">
        <v>474</v>
      </c>
      <c r="B487" s="49"/>
      <c r="C487" s="5"/>
      <c r="D487" s="16"/>
      <c r="E487" s="5"/>
      <c r="F487" s="5"/>
      <c r="G487" s="632"/>
      <c r="H487" s="633"/>
      <c r="I487" s="634"/>
      <c r="J487" s="7"/>
      <c r="K487" s="16"/>
      <c r="L487" s="5"/>
      <c r="M487" s="16"/>
      <c r="N487" s="16"/>
      <c r="O487" s="16"/>
      <c r="P487" s="16"/>
      <c r="Q487" s="31"/>
      <c r="R487" s="31"/>
      <c r="S487" s="31"/>
      <c r="T487" s="31"/>
    </row>
    <row r="488" spans="1:20" ht="15" thickBot="1" x14ac:dyDescent="0.4">
      <c r="A488" s="4">
        <v>475</v>
      </c>
      <c r="B488" s="49"/>
      <c r="C488" s="5"/>
      <c r="D488" s="16"/>
      <c r="E488" s="5"/>
      <c r="F488" s="5"/>
      <c r="G488" s="632"/>
      <c r="H488" s="633"/>
      <c r="I488" s="634"/>
      <c r="J488" s="7"/>
      <c r="K488" s="16"/>
      <c r="L488" s="5"/>
      <c r="M488" s="16"/>
      <c r="N488" s="16"/>
      <c r="O488" s="16"/>
      <c r="P488" s="16"/>
      <c r="Q488" s="31"/>
      <c r="R488" s="31"/>
      <c r="S488" s="31"/>
      <c r="T488" s="31"/>
    </row>
    <row r="489" spans="1:20" ht="15" thickBot="1" x14ac:dyDescent="0.4">
      <c r="A489" s="4">
        <v>476</v>
      </c>
      <c r="B489" s="49"/>
      <c r="C489" s="5"/>
      <c r="D489" s="16"/>
      <c r="E489" s="5"/>
      <c r="F489" s="5"/>
      <c r="G489" s="632"/>
      <c r="H489" s="633"/>
      <c r="I489" s="634"/>
      <c r="J489" s="7"/>
      <c r="K489" s="16"/>
      <c r="L489" s="5"/>
      <c r="M489" s="16"/>
      <c r="N489" s="16"/>
      <c r="O489" s="16"/>
      <c r="P489" s="16"/>
      <c r="Q489" s="31"/>
      <c r="R489" s="31"/>
      <c r="S489" s="31"/>
      <c r="T489" s="31"/>
    </row>
    <row r="490" spans="1:20" ht="15" thickBot="1" x14ac:dyDescent="0.4">
      <c r="A490" s="4">
        <v>477</v>
      </c>
      <c r="B490" s="49"/>
      <c r="C490" s="5"/>
      <c r="D490" s="16"/>
      <c r="E490" s="5"/>
      <c r="F490" s="5"/>
      <c r="G490" s="632"/>
      <c r="H490" s="633"/>
      <c r="I490" s="634"/>
      <c r="J490" s="7"/>
      <c r="K490" s="16"/>
      <c r="L490" s="5"/>
      <c r="M490" s="16"/>
      <c r="N490" s="16"/>
      <c r="O490" s="16"/>
      <c r="P490" s="16"/>
      <c r="Q490" s="31"/>
      <c r="R490" s="31"/>
      <c r="S490" s="31"/>
      <c r="T490" s="31"/>
    </row>
    <row r="491" spans="1:20" ht="15" thickBot="1" x14ac:dyDescent="0.4">
      <c r="A491" s="4">
        <v>478</v>
      </c>
      <c r="B491" s="49"/>
      <c r="C491" s="5"/>
      <c r="D491" s="16"/>
      <c r="E491" s="5"/>
      <c r="F491" s="5"/>
      <c r="G491" s="632"/>
      <c r="H491" s="633"/>
      <c r="I491" s="634"/>
      <c r="J491" s="7"/>
      <c r="K491" s="16"/>
      <c r="L491" s="5"/>
      <c r="M491" s="16"/>
      <c r="N491" s="16"/>
      <c r="O491" s="16"/>
      <c r="P491" s="16"/>
      <c r="Q491" s="31"/>
      <c r="R491" s="31"/>
      <c r="S491" s="31"/>
      <c r="T491" s="31"/>
    </row>
    <row r="492" spans="1:20" ht="15" thickBot="1" x14ac:dyDescent="0.4">
      <c r="A492" s="4">
        <v>479</v>
      </c>
      <c r="B492" s="49"/>
      <c r="C492" s="5"/>
      <c r="D492" s="16"/>
      <c r="E492" s="5"/>
      <c r="F492" s="5"/>
      <c r="G492" s="632"/>
      <c r="H492" s="633"/>
      <c r="I492" s="634"/>
      <c r="J492" s="7"/>
      <c r="K492" s="16"/>
      <c r="L492" s="5"/>
      <c r="M492" s="16"/>
      <c r="N492" s="16"/>
      <c r="O492" s="16"/>
      <c r="P492" s="16"/>
      <c r="Q492" s="31"/>
      <c r="R492" s="31"/>
      <c r="S492" s="31"/>
      <c r="T492" s="31"/>
    </row>
    <row r="493" spans="1:20" ht="15" thickBot="1" x14ac:dyDescent="0.4">
      <c r="A493" s="4">
        <v>480</v>
      </c>
      <c r="B493" s="49"/>
      <c r="C493" s="5"/>
      <c r="D493" s="16"/>
      <c r="E493" s="5"/>
      <c r="F493" s="5"/>
      <c r="G493" s="632"/>
      <c r="H493" s="633"/>
      <c r="I493" s="634"/>
      <c r="J493" s="7"/>
      <c r="K493" s="16"/>
      <c r="L493" s="5"/>
      <c r="M493" s="16"/>
      <c r="N493" s="16"/>
      <c r="O493" s="16"/>
      <c r="P493" s="16"/>
      <c r="Q493" s="31"/>
      <c r="R493" s="31"/>
      <c r="S493" s="31"/>
      <c r="T493" s="31"/>
    </row>
    <row r="494" spans="1:20" ht="15" thickBot="1" x14ac:dyDescent="0.4">
      <c r="A494" s="4">
        <v>481</v>
      </c>
      <c r="B494" s="49"/>
      <c r="C494" s="5"/>
      <c r="D494" s="16"/>
      <c r="E494" s="5"/>
      <c r="F494" s="5"/>
      <c r="G494" s="632"/>
      <c r="H494" s="633"/>
      <c r="I494" s="634"/>
      <c r="J494" s="7"/>
      <c r="K494" s="16"/>
      <c r="L494" s="5"/>
      <c r="M494" s="16"/>
      <c r="N494" s="16"/>
      <c r="O494" s="16"/>
      <c r="P494" s="16"/>
      <c r="Q494" s="31"/>
      <c r="R494" s="31"/>
      <c r="S494" s="31"/>
      <c r="T494" s="31"/>
    </row>
    <row r="495" spans="1:20" ht="15" thickBot="1" x14ac:dyDescent="0.4">
      <c r="A495" s="4">
        <v>482</v>
      </c>
      <c r="B495" s="49"/>
      <c r="C495" s="5"/>
      <c r="D495" s="16"/>
      <c r="E495" s="5"/>
      <c r="F495" s="5"/>
      <c r="G495" s="632"/>
      <c r="H495" s="633"/>
      <c r="I495" s="634"/>
      <c r="J495" s="7"/>
      <c r="K495" s="16"/>
      <c r="L495" s="5"/>
      <c r="M495" s="16"/>
      <c r="N495" s="16"/>
      <c r="O495" s="16"/>
      <c r="P495" s="16"/>
      <c r="Q495" s="31"/>
      <c r="R495" s="31"/>
      <c r="S495" s="31"/>
      <c r="T495" s="31"/>
    </row>
    <row r="496" spans="1:20" ht="15" thickBot="1" x14ac:dyDescent="0.4">
      <c r="A496" s="4">
        <v>483</v>
      </c>
      <c r="B496" s="49"/>
      <c r="C496" s="5"/>
      <c r="D496" s="16"/>
      <c r="E496" s="5"/>
      <c r="F496" s="5"/>
      <c r="G496" s="632"/>
      <c r="H496" s="633"/>
      <c r="I496" s="634"/>
      <c r="J496" s="7"/>
      <c r="K496" s="16"/>
      <c r="L496" s="5"/>
      <c r="M496" s="16"/>
      <c r="N496" s="16"/>
      <c r="O496" s="16"/>
      <c r="P496" s="16"/>
      <c r="Q496" s="31"/>
      <c r="R496" s="31"/>
      <c r="S496" s="31"/>
      <c r="T496" s="31"/>
    </row>
    <row r="497" spans="1:20" ht="15" thickBot="1" x14ac:dyDescent="0.4">
      <c r="A497" s="4">
        <v>484</v>
      </c>
      <c r="B497" s="49"/>
      <c r="C497" s="5"/>
      <c r="D497" s="16"/>
      <c r="E497" s="5"/>
      <c r="F497" s="5"/>
      <c r="G497" s="632"/>
      <c r="H497" s="633"/>
      <c r="I497" s="634"/>
      <c r="J497" s="7"/>
      <c r="K497" s="16"/>
      <c r="L497" s="5"/>
      <c r="M497" s="16"/>
      <c r="N497" s="16"/>
      <c r="O497" s="16"/>
      <c r="P497" s="16"/>
      <c r="Q497" s="31"/>
      <c r="R497" s="31"/>
      <c r="S497" s="31"/>
      <c r="T497" s="31"/>
    </row>
    <row r="498" spans="1:20" ht="15" thickBot="1" x14ac:dyDescent="0.4">
      <c r="A498" s="4">
        <v>485</v>
      </c>
      <c r="B498" s="49"/>
      <c r="C498" s="5"/>
      <c r="D498" s="16"/>
      <c r="E498" s="5"/>
      <c r="F498" s="5"/>
      <c r="G498" s="632"/>
      <c r="H498" s="633"/>
      <c r="I498" s="634"/>
      <c r="J498" s="7"/>
      <c r="K498" s="16"/>
      <c r="L498" s="5"/>
      <c r="M498" s="16"/>
      <c r="N498" s="16"/>
      <c r="O498" s="16"/>
      <c r="P498" s="16"/>
      <c r="Q498" s="31"/>
      <c r="R498" s="31"/>
      <c r="S498" s="31"/>
      <c r="T498" s="31"/>
    </row>
    <row r="499" spans="1:20" ht="15" thickBot="1" x14ac:dyDescent="0.4">
      <c r="A499" s="4">
        <v>486</v>
      </c>
      <c r="B499" s="49"/>
      <c r="C499" s="5"/>
      <c r="D499" s="16"/>
      <c r="E499" s="5"/>
      <c r="F499" s="5"/>
      <c r="G499" s="632"/>
      <c r="H499" s="633"/>
      <c r="I499" s="634"/>
      <c r="J499" s="7"/>
      <c r="K499" s="16"/>
      <c r="L499" s="5"/>
      <c r="M499" s="16"/>
      <c r="N499" s="16"/>
      <c r="O499" s="16"/>
      <c r="P499" s="16"/>
      <c r="Q499" s="31"/>
      <c r="R499" s="31"/>
      <c r="S499" s="31"/>
      <c r="T499" s="31"/>
    </row>
    <row r="500" spans="1:20" ht="15" thickBot="1" x14ac:dyDescent="0.4">
      <c r="A500" s="4">
        <v>487</v>
      </c>
      <c r="B500" s="49"/>
      <c r="C500" s="5"/>
      <c r="D500" s="16"/>
      <c r="E500" s="5"/>
      <c r="F500" s="5"/>
      <c r="G500" s="632"/>
      <c r="H500" s="633"/>
      <c r="I500" s="634"/>
      <c r="J500" s="7"/>
      <c r="K500" s="16"/>
      <c r="L500" s="5"/>
      <c r="M500" s="16"/>
      <c r="N500" s="16"/>
      <c r="O500" s="16"/>
      <c r="P500" s="16"/>
      <c r="Q500" s="31"/>
      <c r="R500" s="31"/>
      <c r="S500" s="31"/>
      <c r="T500" s="31"/>
    </row>
    <row r="501" spans="1:20" ht="15" thickBot="1" x14ac:dyDescent="0.4">
      <c r="A501" s="4">
        <v>488</v>
      </c>
      <c r="B501" s="49"/>
      <c r="C501" s="5"/>
      <c r="D501" s="16"/>
      <c r="E501" s="5"/>
      <c r="F501" s="5"/>
      <c r="G501" s="632"/>
      <c r="H501" s="633"/>
      <c r="I501" s="634"/>
      <c r="J501" s="7"/>
      <c r="K501" s="16"/>
      <c r="L501" s="5"/>
      <c r="M501" s="16"/>
      <c r="N501" s="16"/>
      <c r="O501" s="16"/>
      <c r="P501" s="16"/>
      <c r="Q501" s="31"/>
      <c r="R501" s="31"/>
      <c r="S501" s="31"/>
      <c r="T501" s="31"/>
    </row>
    <row r="502" spans="1:20" ht="15" thickBot="1" x14ac:dyDescent="0.4">
      <c r="A502" s="4">
        <v>489</v>
      </c>
      <c r="B502" s="49"/>
      <c r="C502" s="5"/>
      <c r="D502" s="16"/>
      <c r="E502" s="5"/>
      <c r="F502" s="5"/>
      <c r="G502" s="632"/>
      <c r="H502" s="633"/>
      <c r="I502" s="634"/>
      <c r="J502" s="7"/>
      <c r="K502" s="16"/>
      <c r="L502" s="5"/>
      <c r="M502" s="16"/>
      <c r="N502" s="16"/>
      <c r="O502" s="16"/>
      <c r="P502" s="16"/>
      <c r="Q502" s="31"/>
      <c r="R502" s="31"/>
      <c r="S502" s="31"/>
      <c r="T502" s="31"/>
    </row>
    <row r="503" spans="1:20" ht="15" thickBot="1" x14ac:dyDescent="0.4">
      <c r="A503" s="4">
        <v>490</v>
      </c>
      <c r="B503" s="49"/>
      <c r="C503" s="5"/>
      <c r="D503" s="16"/>
      <c r="E503" s="5"/>
      <c r="F503" s="5"/>
      <c r="G503" s="632"/>
      <c r="H503" s="633"/>
      <c r="I503" s="634"/>
      <c r="J503" s="7"/>
      <c r="K503" s="16"/>
      <c r="L503" s="5"/>
      <c r="M503" s="16"/>
      <c r="N503" s="16"/>
      <c r="O503" s="16"/>
      <c r="P503" s="16"/>
      <c r="Q503" s="31"/>
      <c r="R503" s="31"/>
      <c r="S503" s="31"/>
      <c r="T503" s="31"/>
    </row>
    <row r="504" spans="1:20" ht="15" thickBot="1" x14ac:dyDescent="0.4">
      <c r="A504" s="4">
        <v>491</v>
      </c>
      <c r="B504" s="49"/>
      <c r="C504" s="5"/>
      <c r="D504" s="16"/>
      <c r="E504" s="5"/>
      <c r="F504" s="5"/>
      <c r="G504" s="632"/>
      <c r="H504" s="633"/>
      <c r="I504" s="634"/>
      <c r="J504" s="7"/>
      <c r="K504" s="16"/>
      <c r="L504" s="5"/>
      <c r="M504" s="16"/>
      <c r="N504" s="16"/>
      <c r="O504" s="16"/>
      <c r="P504" s="16"/>
      <c r="Q504" s="31"/>
      <c r="R504" s="31"/>
      <c r="S504" s="31"/>
      <c r="T504" s="31"/>
    </row>
    <row r="505" spans="1:20" ht="15" thickBot="1" x14ac:dyDescent="0.4">
      <c r="A505" s="4">
        <v>492</v>
      </c>
      <c r="B505" s="49"/>
      <c r="C505" s="5"/>
      <c r="D505" s="16"/>
      <c r="E505" s="5"/>
      <c r="F505" s="5"/>
      <c r="G505" s="648"/>
      <c r="H505" s="649"/>
      <c r="I505" s="650"/>
      <c r="J505" s="6"/>
      <c r="K505" s="16"/>
      <c r="L505" s="5"/>
      <c r="M505" s="16"/>
      <c r="N505" s="16"/>
      <c r="O505" s="16"/>
      <c r="P505" s="16"/>
      <c r="Q505" s="31"/>
      <c r="R505" s="31"/>
      <c r="S505" s="31"/>
      <c r="T505" s="31"/>
    </row>
    <row r="506" spans="1:20" ht="15" thickBot="1" x14ac:dyDescent="0.4">
      <c r="A506" s="4">
        <v>493</v>
      </c>
      <c r="B506" s="49"/>
      <c r="C506" s="5"/>
      <c r="D506" s="16"/>
      <c r="E506" s="5"/>
      <c r="F506" s="5"/>
      <c r="G506" s="648"/>
      <c r="H506" s="649"/>
      <c r="I506" s="650"/>
      <c r="J506" s="6"/>
      <c r="K506" s="16"/>
      <c r="L506" s="5"/>
      <c r="M506" s="16"/>
      <c r="N506" s="16"/>
      <c r="O506" s="16"/>
      <c r="P506" s="16"/>
      <c r="Q506" s="31"/>
      <c r="R506" s="31"/>
      <c r="S506" s="31"/>
      <c r="T506" s="31"/>
    </row>
    <row r="507" spans="1:20" ht="15" thickBot="1" x14ac:dyDescent="0.4">
      <c r="A507" s="4">
        <v>494</v>
      </c>
      <c r="B507" s="49"/>
      <c r="C507" s="5"/>
      <c r="D507" s="16"/>
      <c r="E507" s="5"/>
      <c r="F507" s="5"/>
      <c r="G507" s="648"/>
      <c r="H507" s="649"/>
      <c r="I507" s="650"/>
      <c r="J507" s="6"/>
      <c r="K507" s="16"/>
      <c r="L507" s="5"/>
      <c r="M507" s="16"/>
      <c r="N507" s="16"/>
      <c r="O507" s="16"/>
      <c r="P507" s="16"/>
      <c r="Q507" s="31"/>
      <c r="R507" s="31"/>
      <c r="S507" s="31"/>
      <c r="T507" s="31"/>
    </row>
    <row r="508" spans="1:20" ht="15" thickBot="1" x14ac:dyDescent="0.4">
      <c r="A508" s="4">
        <v>495</v>
      </c>
      <c r="B508" s="49"/>
      <c r="C508" s="5"/>
      <c r="D508" s="16"/>
      <c r="E508" s="5"/>
      <c r="F508" s="5"/>
      <c r="G508" s="648"/>
      <c r="H508" s="649"/>
      <c r="I508" s="650"/>
      <c r="J508" s="6"/>
      <c r="K508" s="16"/>
      <c r="L508" s="5"/>
      <c r="M508" s="16"/>
      <c r="N508" s="16"/>
      <c r="O508" s="16"/>
      <c r="P508" s="16"/>
      <c r="Q508" s="31"/>
      <c r="R508" s="31"/>
      <c r="S508" s="31"/>
      <c r="T508" s="31"/>
    </row>
    <row r="509" spans="1:20" ht="15" thickBot="1" x14ac:dyDescent="0.4">
      <c r="A509" s="4">
        <v>496</v>
      </c>
      <c r="B509" s="49"/>
      <c r="C509" s="5"/>
      <c r="D509" s="16"/>
      <c r="E509" s="5"/>
      <c r="F509" s="5"/>
      <c r="G509" s="648"/>
      <c r="H509" s="649"/>
      <c r="I509" s="650"/>
      <c r="J509" s="6"/>
      <c r="K509" s="16"/>
      <c r="L509" s="5"/>
      <c r="M509" s="16"/>
      <c r="N509" s="16"/>
      <c r="O509" s="16"/>
      <c r="P509" s="16"/>
      <c r="Q509" s="31"/>
      <c r="R509" s="31"/>
      <c r="S509" s="31"/>
      <c r="T509" s="31"/>
    </row>
    <row r="510" spans="1:20" ht="15" thickBot="1" x14ac:dyDescent="0.4">
      <c r="A510" s="4">
        <v>497</v>
      </c>
      <c r="B510" s="49"/>
      <c r="C510" s="5"/>
      <c r="D510" s="16"/>
      <c r="E510" s="5"/>
      <c r="F510" s="5"/>
      <c r="G510" s="648"/>
      <c r="H510" s="649"/>
      <c r="I510" s="650"/>
      <c r="J510" s="6"/>
      <c r="K510" s="16"/>
      <c r="L510" s="5"/>
      <c r="M510" s="16"/>
      <c r="N510" s="16"/>
      <c r="O510" s="16"/>
      <c r="P510" s="16"/>
      <c r="Q510" s="31"/>
      <c r="R510" s="31"/>
      <c r="S510" s="31"/>
      <c r="T510" s="31"/>
    </row>
    <row r="511" spans="1:20" ht="15" thickBot="1" x14ac:dyDescent="0.4">
      <c r="A511" s="4">
        <v>498</v>
      </c>
      <c r="B511" s="49"/>
      <c r="C511" s="5"/>
      <c r="D511" s="16"/>
      <c r="E511" s="5"/>
      <c r="F511" s="5"/>
      <c r="G511" s="648"/>
      <c r="H511" s="649"/>
      <c r="I511" s="650"/>
      <c r="J511" s="6"/>
      <c r="K511" s="16"/>
      <c r="L511" s="5"/>
      <c r="M511" s="16"/>
      <c r="N511" s="16"/>
      <c r="O511" s="16"/>
      <c r="P511" s="16"/>
      <c r="Q511" s="31"/>
      <c r="R511" s="31"/>
      <c r="S511" s="31"/>
      <c r="T511" s="31"/>
    </row>
    <row r="512" spans="1:20" ht="15" thickBot="1" x14ac:dyDescent="0.4">
      <c r="A512" s="4">
        <v>499</v>
      </c>
      <c r="B512" s="49"/>
      <c r="C512" s="5"/>
      <c r="D512" s="16"/>
      <c r="E512" s="5"/>
      <c r="F512" s="5"/>
      <c r="G512" s="648"/>
      <c r="H512" s="649"/>
      <c r="I512" s="650"/>
      <c r="J512" s="6"/>
      <c r="K512" s="16"/>
      <c r="L512" s="5"/>
      <c r="M512" s="16"/>
      <c r="N512" s="16"/>
      <c r="O512" s="16"/>
      <c r="P512" s="16"/>
      <c r="Q512" s="31"/>
      <c r="R512" s="31"/>
      <c r="S512" s="31"/>
      <c r="T512" s="31"/>
    </row>
    <row r="513" spans="1:20" ht="15" thickBot="1" x14ac:dyDescent="0.4">
      <c r="A513" s="4">
        <v>500</v>
      </c>
      <c r="B513" s="49"/>
      <c r="C513" s="5"/>
      <c r="D513" s="16"/>
      <c r="E513" s="5"/>
      <c r="F513" s="5"/>
      <c r="G513" s="648"/>
      <c r="H513" s="649"/>
      <c r="I513" s="650"/>
      <c r="J513" s="6"/>
      <c r="K513" s="16"/>
      <c r="L513" s="5"/>
      <c r="M513" s="16"/>
      <c r="N513" s="16"/>
      <c r="O513" s="16"/>
      <c r="P513" s="16"/>
      <c r="Q513" s="31"/>
      <c r="R513" s="31"/>
      <c r="S513" s="31"/>
      <c r="T513" s="31"/>
    </row>
    <row r="514" spans="1:20" x14ac:dyDescent="0.35">
      <c r="A514" s="12"/>
    </row>
  </sheetData>
  <mergeCells count="505">
    <mergeCell ref="G501:I501"/>
    <mergeCell ref="G502:I502"/>
    <mergeCell ref="G503:I503"/>
    <mergeCell ref="G504:I504"/>
    <mergeCell ref="G496:I496"/>
    <mergeCell ref="G497:I497"/>
    <mergeCell ref="G498:I498"/>
    <mergeCell ref="G499:I499"/>
    <mergeCell ref="G500:I500"/>
    <mergeCell ref="G513:I513"/>
    <mergeCell ref="G508:I508"/>
    <mergeCell ref="G509:I509"/>
    <mergeCell ref="G510:I510"/>
    <mergeCell ref="G511:I511"/>
    <mergeCell ref="G512:I512"/>
    <mergeCell ref="G505:I505"/>
    <mergeCell ref="G506:I506"/>
    <mergeCell ref="G507:I507"/>
    <mergeCell ref="G495:I495"/>
    <mergeCell ref="G486:I486"/>
    <mergeCell ref="G487:I487"/>
    <mergeCell ref="G488:I488"/>
    <mergeCell ref="G489:I489"/>
    <mergeCell ref="G490:I490"/>
    <mergeCell ref="G481:I481"/>
    <mergeCell ref="G482:I482"/>
    <mergeCell ref="G483:I483"/>
    <mergeCell ref="G484:I484"/>
    <mergeCell ref="G485:I485"/>
    <mergeCell ref="G491:I491"/>
    <mergeCell ref="G492:I492"/>
    <mergeCell ref="G493:I493"/>
    <mergeCell ref="G494:I494"/>
    <mergeCell ref="G476:I476"/>
    <mergeCell ref="G477:I477"/>
    <mergeCell ref="G478:I478"/>
    <mergeCell ref="G479:I479"/>
    <mergeCell ref="G480:I480"/>
    <mergeCell ref="G471:I471"/>
    <mergeCell ref="G472:I472"/>
    <mergeCell ref="G473:I473"/>
    <mergeCell ref="G474:I474"/>
    <mergeCell ref="G475:I475"/>
    <mergeCell ref="G466:I466"/>
    <mergeCell ref="G467:I467"/>
    <mergeCell ref="G468:I468"/>
    <mergeCell ref="G469:I469"/>
    <mergeCell ref="G470:I470"/>
    <mergeCell ref="G461:I461"/>
    <mergeCell ref="G462:I462"/>
    <mergeCell ref="G463:I463"/>
    <mergeCell ref="G464:I464"/>
    <mergeCell ref="G465:I465"/>
    <mergeCell ref="G456:I456"/>
    <mergeCell ref="G457:I457"/>
    <mergeCell ref="G458:I458"/>
    <mergeCell ref="G459:I459"/>
    <mergeCell ref="G460:I460"/>
    <mergeCell ref="G451:I451"/>
    <mergeCell ref="G452:I452"/>
    <mergeCell ref="G453:I453"/>
    <mergeCell ref="G454:I454"/>
    <mergeCell ref="G455:I455"/>
    <mergeCell ref="G446:I446"/>
    <mergeCell ref="G447:I447"/>
    <mergeCell ref="G448:I448"/>
    <mergeCell ref="G449:I449"/>
    <mergeCell ref="G450:I450"/>
    <mergeCell ref="G441:I441"/>
    <mergeCell ref="G442:I442"/>
    <mergeCell ref="G443:I443"/>
    <mergeCell ref="G444:I444"/>
    <mergeCell ref="G445:I445"/>
    <mergeCell ref="G436:I436"/>
    <mergeCell ref="G437:I437"/>
    <mergeCell ref="G438:I438"/>
    <mergeCell ref="G439:I439"/>
    <mergeCell ref="G440:I440"/>
    <mergeCell ref="G431:I431"/>
    <mergeCell ref="G432:I432"/>
    <mergeCell ref="G433:I433"/>
    <mergeCell ref="G434:I434"/>
    <mergeCell ref="G435:I435"/>
    <mergeCell ref="G426:I426"/>
    <mergeCell ref="G427:I427"/>
    <mergeCell ref="G428:I428"/>
    <mergeCell ref="G429:I429"/>
    <mergeCell ref="G430:I430"/>
    <mergeCell ref="G421:I421"/>
    <mergeCell ref="G422:I422"/>
    <mergeCell ref="G423:I423"/>
    <mergeCell ref="G424:I424"/>
    <mergeCell ref="G425:I425"/>
    <mergeCell ref="G416:I416"/>
    <mergeCell ref="G417:I417"/>
    <mergeCell ref="G418:I418"/>
    <mergeCell ref="G419:I419"/>
    <mergeCell ref="G420:I420"/>
    <mergeCell ref="G411:I411"/>
    <mergeCell ref="G412:I412"/>
    <mergeCell ref="G413:I413"/>
    <mergeCell ref="G414:I414"/>
    <mergeCell ref="G415:I415"/>
    <mergeCell ref="G406:I406"/>
    <mergeCell ref="G407:I407"/>
    <mergeCell ref="G408:I408"/>
    <mergeCell ref="G409:I409"/>
    <mergeCell ref="G410:I410"/>
    <mergeCell ref="G401:I401"/>
    <mergeCell ref="G402:I402"/>
    <mergeCell ref="G403:I403"/>
    <mergeCell ref="G404:I404"/>
    <mergeCell ref="G405:I405"/>
    <mergeCell ref="G396:I396"/>
    <mergeCell ref="G397:I397"/>
    <mergeCell ref="G398:I398"/>
    <mergeCell ref="G399:I399"/>
    <mergeCell ref="G400:I400"/>
    <mergeCell ref="G391:I391"/>
    <mergeCell ref="G392:I392"/>
    <mergeCell ref="G393:I393"/>
    <mergeCell ref="G394:I394"/>
    <mergeCell ref="G395:I395"/>
    <mergeCell ref="G386:I386"/>
    <mergeCell ref="G387:I387"/>
    <mergeCell ref="G388:I388"/>
    <mergeCell ref="G389:I389"/>
    <mergeCell ref="G390:I390"/>
    <mergeCell ref="G381:I381"/>
    <mergeCell ref="G382:I382"/>
    <mergeCell ref="G383:I383"/>
    <mergeCell ref="G384:I384"/>
    <mergeCell ref="G385:I385"/>
    <mergeCell ref="G376:I376"/>
    <mergeCell ref="G377:I377"/>
    <mergeCell ref="G378:I378"/>
    <mergeCell ref="G379:I379"/>
    <mergeCell ref="G380:I380"/>
    <mergeCell ref="G371:I371"/>
    <mergeCell ref="G372:I372"/>
    <mergeCell ref="G373:I373"/>
    <mergeCell ref="G374:I374"/>
    <mergeCell ref="G375:I375"/>
    <mergeCell ref="G366:I366"/>
    <mergeCell ref="G367:I367"/>
    <mergeCell ref="G368:I368"/>
    <mergeCell ref="G369:I369"/>
    <mergeCell ref="G370:I370"/>
    <mergeCell ref="G361:I361"/>
    <mergeCell ref="G362:I362"/>
    <mergeCell ref="G363:I363"/>
    <mergeCell ref="G364:I364"/>
    <mergeCell ref="G365:I365"/>
    <mergeCell ref="G356:I356"/>
    <mergeCell ref="G357:I357"/>
    <mergeCell ref="G358:I358"/>
    <mergeCell ref="G359:I359"/>
    <mergeCell ref="G360:I360"/>
    <mergeCell ref="G351:I351"/>
    <mergeCell ref="G352:I352"/>
    <mergeCell ref="G353:I353"/>
    <mergeCell ref="G354:I354"/>
    <mergeCell ref="G355:I355"/>
    <mergeCell ref="G346:I346"/>
    <mergeCell ref="G347:I347"/>
    <mergeCell ref="G348:I348"/>
    <mergeCell ref="G349:I349"/>
    <mergeCell ref="G350:I350"/>
    <mergeCell ref="G341:I341"/>
    <mergeCell ref="G342:I342"/>
    <mergeCell ref="G343:I343"/>
    <mergeCell ref="G344:I344"/>
    <mergeCell ref="G345:I345"/>
    <mergeCell ref="G336:I336"/>
    <mergeCell ref="G337:I337"/>
    <mergeCell ref="G338:I338"/>
    <mergeCell ref="G339:I339"/>
    <mergeCell ref="G340:I340"/>
    <mergeCell ref="G331:I331"/>
    <mergeCell ref="G332:I332"/>
    <mergeCell ref="G333:I333"/>
    <mergeCell ref="G334:I334"/>
    <mergeCell ref="G335:I335"/>
    <mergeCell ref="G326:I326"/>
    <mergeCell ref="G327:I327"/>
    <mergeCell ref="G328:I328"/>
    <mergeCell ref="G329:I329"/>
    <mergeCell ref="G330:I330"/>
    <mergeCell ref="G321:I321"/>
    <mergeCell ref="G322:I322"/>
    <mergeCell ref="G323:I323"/>
    <mergeCell ref="G324:I324"/>
    <mergeCell ref="G325:I325"/>
    <mergeCell ref="G316:I316"/>
    <mergeCell ref="G317:I317"/>
    <mergeCell ref="G318:I318"/>
    <mergeCell ref="G319:I319"/>
    <mergeCell ref="G320:I320"/>
    <mergeCell ref="G311:I311"/>
    <mergeCell ref="G312:I312"/>
    <mergeCell ref="G313:I313"/>
    <mergeCell ref="G314:I314"/>
    <mergeCell ref="G315:I315"/>
    <mergeCell ref="G307:I307"/>
    <mergeCell ref="G308:I308"/>
    <mergeCell ref="G309:I309"/>
    <mergeCell ref="G310:I310"/>
    <mergeCell ref="G301:I301"/>
    <mergeCell ref="G302:I302"/>
    <mergeCell ref="G303:I303"/>
    <mergeCell ref="G304:I304"/>
    <mergeCell ref="G305:I305"/>
    <mergeCell ref="G298:I298"/>
    <mergeCell ref="G299:I299"/>
    <mergeCell ref="G300:I300"/>
    <mergeCell ref="G291:I291"/>
    <mergeCell ref="G292:I292"/>
    <mergeCell ref="G293:I293"/>
    <mergeCell ref="G294:I294"/>
    <mergeCell ref="G295:I295"/>
    <mergeCell ref="G306:I306"/>
    <mergeCell ref="G289:I289"/>
    <mergeCell ref="G290:I290"/>
    <mergeCell ref="G281:I281"/>
    <mergeCell ref="G282:I282"/>
    <mergeCell ref="G283:I283"/>
    <mergeCell ref="G284:I284"/>
    <mergeCell ref="G285:I285"/>
    <mergeCell ref="G296:I296"/>
    <mergeCell ref="G297:I297"/>
    <mergeCell ref="G286:I286"/>
    <mergeCell ref="G287:I287"/>
    <mergeCell ref="G288:I288"/>
    <mergeCell ref="G241:I241"/>
    <mergeCell ref="G242:I242"/>
    <mergeCell ref="G277:I277"/>
    <mergeCell ref="G278:I278"/>
    <mergeCell ref="G279:I279"/>
    <mergeCell ref="G280:I280"/>
    <mergeCell ref="G266:I266"/>
    <mergeCell ref="G267:I267"/>
    <mergeCell ref="G268:I268"/>
    <mergeCell ref="G243:I243"/>
    <mergeCell ref="G244:I244"/>
    <mergeCell ref="G245:I245"/>
    <mergeCell ref="G251:I251"/>
    <mergeCell ref="G252:I252"/>
    <mergeCell ref="G253:I253"/>
    <mergeCell ref="G263:I263"/>
    <mergeCell ref="G264:I264"/>
    <mergeCell ref="G265:I265"/>
    <mergeCell ref="G256:I256"/>
    <mergeCell ref="G257:I257"/>
    <mergeCell ref="G258:I258"/>
    <mergeCell ref="G259:I259"/>
    <mergeCell ref="G260:I260"/>
    <mergeCell ref="G261:I261"/>
    <mergeCell ref="G262:I262"/>
    <mergeCell ref="G236:I236"/>
    <mergeCell ref="G237:I237"/>
    <mergeCell ref="G238:I238"/>
    <mergeCell ref="G239:I239"/>
    <mergeCell ref="G240:I240"/>
    <mergeCell ref="G232:I232"/>
    <mergeCell ref="G233:I233"/>
    <mergeCell ref="G216:I216"/>
    <mergeCell ref="G217:I217"/>
    <mergeCell ref="G218:I218"/>
    <mergeCell ref="G219:I219"/>
    <mergeCell ref="G220:I220"/>
    <mergeCell ref="G230:I230"/>
    <mergeCell ref="G231:I231"/>
    <mergeCell ref="G234:I234"/>
    <mergeCell ref="G235:I235"/>
    <mergeCell ref="G254:I254"/>
    <mergeCell ref="G255:I255"/>
    <mergeCell ref="G246:I246"/>
    <mergeCell ref="G247:I247"/>
    <mergeCell ref="G248:I248"/>
    <mergeCell ref="G249:I249"/>
    <mergeCell ref="G250:I250"/>
    <mergeCell ref="G211:I211"/>
    <mergeCell ref="G212:I212"/>
    <mergeCell ref="G213:I213"/>
    <mergeCell ref="G214:I214"/>
    <mergeCell ref="G215:I215"/>
    <mergeCell ref="G226:I226"/>
    <mergeCell ref="G227:I227"/>
    <mergeCell ref="G228:I228"/>
    <mergeCell ref="G229:I229"/>
    <mergeCell ref="G221:I221"/>
    <mergeCell ref="G222:I222"/>
    <mergeCell ref="G223:I223"/>
    <mergeCell ref="G224:I224"/>
    <mergeCell ref="G225:I225"/>
    <mergeCell ref="G206:I206"/>
    <mergeCell ref="G207:I207"/>
    <mergeCell ref="G208:I208"/>
    <mergeCell ref="G209:I209"/>
    <mergeCell ref="G210:I210"/>
    <mergeCell ref="G201:I201"/>
    <mergeCell ref="G202:I202"/>
    <mergeCell ref="G203:I203"/>
    <mergeCell ref="G204:I204"/>
    <mergeCell ref="G205:I205"/>
    <mergeCell ref="G196:I196"/>
    <mergeCell ref="G197:I197"/>
    <mergeCell ref="G198:I198"/>
    <mergeCell ref="G199:I199"/>
    <mergeCell ref="G200:I200"/>
    <mergeCell ref="G191:I191"/>
    <mergeCell ref="G192:I192"/>
    <mergeCell ref="G193:I193"/>
    <mergeCell ref="G194:I194"/>
    <mergeCell ref="G195:I195"/>
    <mergeCell ref="G186:I186"/>
    <mergeCell ref="G187:I187"/>
    <mergeCell ref="G188:I188"/>
    <mergeCell ref="G189:I189"/>
    <mergeCell ref="G190:I190"/>
    <mergeCell ref="G181:I181"/>
    <mergeCell ref="G182:I182"/>
    <mergeCell ref="G183:I183"/>
    <mergeCell ref="G184:I184"/>
    <mergeCell ref="G185:I185"/>
    <mergeCell ref="G176:I176"/>
    <mergeCell ref="G177:I177"/>
    <mergeCell ref="G178:I178"/>
    <mergeCell ref="G179:I179"/>
    <mergeCell ref="G180:I180"/>
    <mergeCell ref="G171:I171"/>
    <mergeCell ref="G172:I172"/>
    <mergeCell ref="G173:I173"/>
    <mergeCell ref="G174:I174"/>
    <mergeCell ref="G175:I175"/>
    <mergeCell ref="G166:I166"/>
    <mergeCell ref="G167:I167"/>
    <mergeCell ref="G168:I168"/>
    <mergeCell ref="G169:I169"/>
    <mergeCell ref="G170:I170"/>
    <mergeCell ref="G161:I161"/>
    <mergeCell ref="G162:I162"/>
    <mergeCell ref="G163:I163"/>
    <mergeCell ref="G164:I164"/>
    <mergeCell ref="G165:I165"/>
    <mergeCell ref="G156:I156"/>
    <mergeCell ref="G157:I157"/>
    <mergeCell ref="G158:I158"/>
    <mergeCell ref="G159:I159"/>
    <mergeCell ref="G160:I160"/>
    <mergeCell ref="G151:I151"/>
    <mergeCell ref="G152:I152"/>
    <mergeCell ref="G153:I153"/>
    <mergeCell ref="G154:I154"/>
    <mergeCell ref="G155:I155"/>
    <mergeCell ref="G146:I146"/>
    <mergeCell ref="G147:I147"/>
    <mergeCell ref="G148:I148"/>
    <mergeCell ref="G149:I149"/>
    <mergeCell ref="G150:I150"/>
    <mergeCell ref="G141:I141"/>
    <mergeCell ref="G142:I142"/>
    <mergeCell ref="G143:I143"/>
    <mergeCell ref="G144:I144"/>
    <mergeCell ref="G145:I145"/>
    <mergeCell ref="G136:I136"/>
    <mergeCell ref="G137:I137"/>
    <mergeCell ref="G138:I138"/>
    <mergeCell ref="G139:I139"/>
    <mergeCell ref="G140:I140"/>
    <mergeCell ref="G131:I131"/>
    <mergeCell ref="G132:I132"/>
    <mergeCell ref="G133:I133"/>
    <mergeCell ref="G134:I134"/>
    <mergeCell ref="G135:I135"/>
    <mergeCell ref="G126:I126"/>
    <mergeCell ref="G127:I127"/>
    <mergeCell ref="G128:I128"/>
    <mergeCell ref="G129:I129"/>
    <mergeCell ref="G130:I130"/>
    <mergeCell ref="G121:I121"/>
    <mergeCell ref="G122:I122"/>
    <mergeCell ref="G123:I123"/>
    <mergeCell ref="G124:I124"/>
    <mergeCell ref="G125:I125"/>
    <mergeCell ref="G116:I116"/>
    <mergeCell ref="G117:I117"/>
    <mergeCell ref="G118:I118"/>
    <mergeCell ref="G119:I119"/>
    <mergeCell ref="G120:I120"/>
    <mergeCell ref="G111:I111"/>
    <mergeCell ref="G112:I112"/>
    <mergeCell ref="G113:I113"/>
    <mergeCell ref="G114:I114"/>
    <mergeCell ref="G115:I115"/>
    <mergeCell ref="G106:I106"/>
    <mergeCell ref="G107:I107"/>
    <mergeCell ref="G108:I108"/>
    <mergeCell ref="G109:I109"/>
    <mergeCell ref="G110:I110"/>
    <mergeCell ref="G101:I101"/>
    <mergeCell ref="G102:I102"/>
    <mergeCell ref="G103:I103"/>
    <mergeCell ref="G104:I104"/>
    <mergeCell ref="G105:I105"/>
    <mergeCell ref="G96:I96"/>
    <mergeCell ref="G97:I97"/>
    <mergeCell ref="G98:I98"/>
    <mergeCell ref="G99:I99"/>
    <mergeCell ref="G100:I100"/>
    <mergeCell ref="G91:I91"/>
    <mergeCell ref="G92:I92"/>
    <mergeCell ref="G93:I93"/>
    <mergeCell ref="G94:I94"/>
    <mergeCell ref="G95:I95"/>
    <mergeCell ref="G50:I50"/>
    <mergeCell ref="G45:I45"/>
    <mergeCell ref="G87:I87"/>
    <mergeCell ref="G88:I88"/>
    <mergeCell ref="G89:I89"/>
    <mergeCell ref="G90:I90"/>
    <mergeCell ref="G81:I81"/>
    <mergeCell ref="G82:I82"/>
    <mergeCell ref="G83:I83"/>
    <mergeCell ref="G84:I84"/>
    <mergeCell ref="G85:I85"/>
    <mergeCell ref="G78:I78"/>
    <mergeCell ref="G79:I79"/>
    <mergeCell ref="G80:I80"/>
    <mergeCell ref="G86:I86"/>
    <mergeCell ref="G59:I59"/>
    <mergeCell ref="G51:I51"/>
    <mergeCell ref="G52:I52"/>
    <mergeCell ref="G53:I53"/>
    <mergeCell ref="G54:I54"/>
    <mergeCell ref="G55:I55"/>
    <mergeCell ref="G56:I56"/>
    <mergeCell ref="G57:I57"/>
    <mergeCell ref="G58:I58"/>
    <mergeCell ref="O3:P3"/>
    <mergeCell ref="A12:P12"/>
    <mergeCell ref="M3:N3"/>
    <mergeCell ref="A1:P1"/>
    <mergeCell ref="G13:I13"/>
    <mergeCell ref="G46:I46"/>
    <mergeCell ref="G47:I47"/>
    <mergeCell ref="G48:I48"/>
    <mergeCell ref="G49:I49"/>
    <mergeCell ref="G14:I14"/>
    <mergeCell ref="G15:I15"/>
    <mergeCell ref="G16:I16"/>
    <mergeCell ref="G17:I17"/>
    <mergeCell ref="G18:I18"/>
    <mergeCell ref="G19:I19"/>
    <mergeCell ref="G20:I20"/>
    <mergeCell ref="G21:I21"/>
    <mergeCell ref="G22:I22"/>
    <mergeCell ref="G23:I23"/>
    <mergeCell ref="G24:I24"/>
    <mergeCell ref="G25:I25"/>
    <mergeCell ref="G26:I26"/>
    <mergeCell ref="G27:I27"/>
    <mergeCell ref="G28:I28"/>
    <mergeCell ref="G60:I60"/>
    <mergeCell ref="G61:I61"/>
    <mergeCell ref="G62:I62"/>
    <mergeCell ref="G63:I63"/>
    <mergeCell ref="G64:I64"/>
    <mergeCell ref="G65:I65"/>
    <mergeCell ref="G66:I66"/>
    <mergeCell ref="G67:I67"/>
    <mergeCell ref="G68:I68"/>
    <mergeCell ref="G29:I29"/>
    <mergeCell ref="G30:I30"/>
    <mergeCell ref="G31:I31"/>
    <mergeCell ref="G32:I32"/>
    <mergeCell ref="G33:I33"/>
    <mergeCell ref="G34:I34"/>
    <mergeCell ref="G35:I35"/>
    <mergeCell ref="G36:I36"/>
    <mergeCell ref="G37:I37"/>
    <mergeCell ref="G269:I269"/>
    <mergeCell ref="G270:I270"/>
    <mergeCell ref="G271:I271"/>
    <mergeCell ref="G272:I272"/>
    <mergeCell ref="G273:I273"/>
    <mergeCell ref="G274:I274"/>
    <mergeCell ref="G275:I275"/>
    <mergeCell ref="G276:I276"/>
    <mergeCell ref="G38:I38"/>
    <mergeCell ref="G39:I39"/>
    <mergeCell ref="G40:I40"/>
    <mergeCell ref="G41:I41"/>
    <mergeCell ref="G42:I42"/>
    <mergeCell ref="G43:I43"/>
    <mergeCell ref="G44:I44"/>
    <mergeCell ref="G69:I69"/>
    <mergeCell ref="G70:I70"/>
    <mergeCell ref="G71:I71"/>
    <mergeCell ref="G72:I72"/>
    <mergeCell ref="G73:I73"/>
    <mergeCell ref="G74:I74"/>
    <mergeCell ref="G75:I75"/>
    <mergeCell ref="G76:I76"/>
    <mergeCell ref="G77:I77"/>
  </mergeCells>
  <dataValidations count="10">
    <dataValidation type="decimal" allowBlank="1" showInputMessage="1" showErrorMessage="1" sqref="K14:K513 M14:P513">
      <formula1>0</formula1>
      <formula2>9999999999</formula2>
    </dataValidation>
    <dataValidation type="list" allowBlank="1" showInputMessage="1" showErrorMessage="1" sqref="M5 O5 L14:L513">
      <formula1>$XEY$1:$XEY$5</formula1>
    </dataValidation>
    <dataValidation type="list" showInputMessage="1" showErrorMessage="1" sqref="B4">
      <formula1>$XER$1:$XER$2</formula1>
    </dataValidation>
    <dataValidation type="list" allowBlank="1" showInputMessage="1" showErrorMessage="1" sqref="C14:C513">
      <formula1>$XET$1:$XET$3</formula1>
    </dataValidation>
    <dataValidation type="list" allowBlank="1" showInputMessage="1" showErrorMessage="1" sqref="D14:D513">
      <formula1>$XEV$1:$XEV$8</formula1>
    </dataValidation>
    <dataValidation type="list" allowBlank="1" showInputMessage="1" showErrorMessage="1" sqref="E14:E513">
      <formula1>$XEW$1:$XEW$3</formula1>
    </dataValidation>
    <dataValidation type="list" allowBlank="1" showInputMessage="1" showErrorMessage="1" sqref="F14:F513">
      <formula1>$XEX$1:$XEX$3</formula1>
    </dataValidation>
    <dataValidation type="list" allowBlank="1" showInputMessage="1" showErrorMessage="1" sqref="B14:B513">
      <formula1>$E$3:$E$5</formula1>
    </dataValidation>
    <dataValidation type="list" allowBlank="1" showInputMessage="1" showErrorMessage="1" sqref="D6:D10 B5">
      <formula1>$XER$1:$XER$2</formula1>
    </dataValidation>
    <dataValidation type="list" allowBlank="1" showInputMessage="1" showErrorMessage="1" sqref="Q6:Q7">
      <formula1>$D$3:$D$5</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EZ514"/>
  <sheetViews>
    <sheetView workbookViewId="0">
      <pane ySplit="13" topLeftCell="A14" activePane="bottomLeft" state="frozen"/>
      <selection pane="bottomLeft" activeCell="H3" sqref="H3"/>
    </sheetView>
  </sheetViews>
  <sheetFormatPr defaultRowHeight="14.5" x14ac:dyDescent="0.35"/>
  <cols>
    <col min="1" max="1" width="17.453125" customWidth="1"/>
    <col min="2" max="2" width="12" style="50" customWidth="1"/>
    <col min="3" max="3" width="9.7265625" customWidth="1"/>
    <col min="4" max="4" width="13" customWidth="1"/>
    <col min="5" max="5" width="11.81640625" customWidth="1"/>
    <col min="6" max="6" width="9.81640625" customWidth="1"/>
    <col min="7" max="7" width="14.1796875" customWidth="1"/>
    <col min="8" max="8" width="11.54296875" customWidth="1"/>
    <col min="9" max="9" width="5.81640625" customWidth="1"/>
    <col min="10" max="10" width="17.1796875" customWidth="1"/>
    <col min="11" max="11" width="17.1796875" bestFit="1" customWidth="1"/>
    <col min="12" max="12" width="8.7265625" customWidth="1"/>
    <col min="13" max="13" width="10.54296875" customWidth="1"/>
    <col min="14" max="14" width="9.81640625" customWidth="1"/>
    <col min="15" max="15" width="10.26953125" customWidth="1"/>
    <col min="16" max="16" width="13.1796875" customWidth="1"/>
    <col min="17" max="17" width="12.453125" customWidth="1"/>
    <col min="18" max="18" width="12" customWidth="1"/>
    <col min="19" max="19" width="18" customWidth="1"/>
    <col min="20" max="20" width="15" customWidth="1"/>
    <col min="16370" max="16370" width="8.7265625" customWidth="1"/>
    <col min="16371" max="16371" width="22.7265625" customWidth="1"/>
    <col min="16372" max="16372" width="0" hidden="1" customWidth="1"/>
    <col min="16373" max="16373" width="11.1796875" customWidth="1"/>
    <col min="16374" max="16374" width="1.81640625" hidden="1" customWidth="1"/>
    <col min="16375" max="16375" width="16.81640625" hidden="1" customWidth="1"/>
    <col min="16376" max="16376" width="31.7265625" customWidth="1"/>
    <col min="16377" max="16377" width="7.7265625" customWidth="1"/>
    <col min="16378" max="16378" width="5.81640625" customWidth="1"/>
    <col min="16379" max="16379" width="10.81640625" customWidth="1"/>
    <col min="16380" max="16380" width="12.54296875" customWidth="1"/>
  </cols>
  <sheetData>
    <row r="1" spans="1:21 16372:16380" s="39" customFormat="1" ht="34.5" customHeight="1" thickBot="1" x14ac:dyDescent="0.4">
      <c r="A1" s="642" t="s">
        <v>10</v>
      </c>
      <c r="B1" s="643"/>
      <c r="C1" s="643"/>
      <c r="D1" s="643"/>
      <c r="E1" s="643"/>
      <c r="F1" s="643"/>
      <c r="G1" s="643"/>
      <c r="H1" s="643"/>
      <c r="I1" s="643"/>
      <c r="J1" s="643"/>
      <c r="K1" s="643"/>
      <c r="L1" s="643"/>
      <c r="M1" s="643"/>
      <c r="N1" s="643"/>
      <c r="O1" s="643"/>
      <c r="P1" s="644"/>
      <c r="Q1" s="38"/>
      <c r="R1" s="38"/>
      <c r="S1" s="38"/>
      <c r="T1" s="38"/>
      <c r="XER1" s="39" t="s">
        <v>1</v>
      </c>
      <c r="XET1" s="39" t="s">
        <v>48</v>
      </c>
      <c r="XEV1" s="39" t="s">
        <v>17</v>
      </c>
      <c r="XEW1" s="39" t="s">
        <v>25</v>
      </c>
      <c r="XEX1" s="39" t="s">
        <v>28</v>
      </c>
      <c r="XEY1" s="39">
        <v>0</v>
      </c>
      <c r="XEZ1" s="39" t="s">
        <v>31</v>
      </c>
    </row>
    <row r="2" spans="1:21 16372:16380" ht="15" thickBot="1" x14ac:dyDescent="0.4">
      <c r="B2"/>
      <c r="C2" s="2"/>
      <c r="D2" s="2"/>
      <c r="E2" s="2"/>
      <c r="F2" s="2"/>
      <c r="G2" s="2"/>
      <c r="H2" s="2"/>
      <c r="I2" s="2"/>
      <c r="J2" s="2"/>
      <c r="K2" s="2"/>
      <c r="XER2" t="s">
        <v>2</v>
      </c>
      <c r="XET2" t="s">
        <v>12</v>
      </c>
      <c r="XEV2" t="s">
        <v>15</v>
      </c>
      <c r="XEW2" t="s">
        <v>26</v>
      </c>
      <c r="XEX2" t="s">
        <v>29</v>
      </c>
      <c r="XEY2">
        <v>5</v>
      </c>
      <c r="XEZ2" t="s">
        <v>32</v>
      </c>
    </row>
    <row r="3" spans="1:21 16372:16380" ht="34.5" customHeight="1" thickBot="1" x14ac:dyDescent="0.4">
      <c r="A3" s="13" t="s">
        <v>34</v>
      </c>
      <c r="B3" s="45">
        <f>'Repair Assessment Sheet'!E26</f>
        <v>0</v>
      </c>
      <c r="D3" s="15" t="s">
        <v>3</v>
      </c>
      <c r="E3" s="46">
        <v>87498574</v>
      </c>
      <c r="G3" s="15" t="s">
        <v>6</v>
      </c>
      <c r="H3" s="47"/>
      <c r="J3" s="15" t="s">
        <v>49</v>
      </c>
      <c r="K3" s="48"/>
      <c r="M3" s="640" t="s">
        <v>36</v>
      </c>
      <c r="N3" s="641"/>
      <c r="O3" s="635" t="s">
        <v>37</v>
      </c>
      <c r="P3" s="636"/>
      <c r="T3" t="s">
        <v>256</v>
      </c>
      <c r="U3">
        <f>COUNTIF(D14:D73,"Metal")</f>
        <v>0</v>
      </c>
      <c r="XET3" t="s">
        <v>13</v>
      </c>
      <c r="XEV3" t="s">
        <v>16</v>
      </c>
      <c r="XEW3" t="s">
        <v>27</v>
      </c>
      <c r="XEX3" t="s">
        <v>30</v>
      </c>
      <c r="XEY3">
        <v>12</v>
      </c>
      <c r="XEZ3" t="s">
        <v>33</v>
      </c>
    </row>
    <row r="4" spans="1:21 16372:16380" ht="35.25" customHeight="1" thickBot="1" x14ac:dyDescent="0.4">
      <c r="A4" s="14" t="s">
        <v>0</v>
      </c>
      <c r="B4" s="10" t="s">
        <v>2</v>
      </c>
      <c r="D4" s="8" t="s">
        <v>4</v>
      </c>
      <c r="E4" s="46"/>
      <c r="G4" s="8" t="s">
        <v>7</v>
      </c>
      <c r="H4" s="47"/>
      <c r="J4" s="15" t="s">
        <v>50</v>
      </c>
      <c r="K4" s="40"/>
      <c r="M4" s="27" t="s">
        <v>53</v>
      </c>
      <c r="N4" s="28" t="s">
        <v>52</v>
      </c>
      <c r="O4" s="26" t="s">
        <v>54</v>
      </c>
      <c r="P4" s="29" t="s">
        <v>55</v>
      </c>
      <c r="T4" t="s">
        <v>257</v>
      </c>
      <c r="U4">
        <f>COUNTIF(D14:D73,"Plastic/Rubber")</f>
        <v>0</v>
      </c>
      <c r="XEV4" t="s">
        <v>22</v>
      </c>
      <c r="XEY4">
        <v>18</v>
      </c>
    </row>
    <row r="5" spans="1:21 16372:16380" ht="39" customHeight="1" thickBot="1" x14ac:dyDescent="0.4">
      <c r="A5" s="13" t="s">
        <v>9</v>
      </c>
      <c r="B5" s="11" t="s">
        <v>1</v>
      </c>
      <c r="D5" s="8" t="s">
        <v>5</v>
      </c>
      <c r="E5" s="1"/>
      <c r="G5" s="8" t="s">
        <v>8</v>
      </c>
      <c r="H5" s="9"/>
      <c r="J5" s="15" t="s">
        <v>51</v>
      </c>
      <c r="K5" s="40"/>
      <c r="M5" s="41">
        <v>18</v>
      </c>
      <c r="N5" s="44">
        <v>998729</v>
      </c>
      <c r="O5" s="42">
        <v>18</v>
      </c>
      <c r="P5" s="43">
        <v>998729</v>
      </c>
      <c r="T5" t="s">
        <v>258</v>
      </c>
      <c r="U5">
        <f>COUNTIF(D14:D73,"Consumables")</f>
        <v>0</v>
      </c>
      <c r="XEV5" t="s">
        <v>18</v>
      </c>
      <c r="XEY5">
        <v>28</v>
      </c>
    </row>
    <row r="6" spans="1:21 16372:16380" ht="13.5" customHeight="1" x14ac:dyDescent="0.35">
      <c r="B6"/>
      <c r="L6" s="20"/>
      <c r="M6" s="25"/>
      <c r="N6" s="20"/>
      <c r="O6" s="25"/>
      <c r="P6" s="21"/>
      <c r="Q6" s="22"/>
      <c r="R6" s="22"/>
      <c r="T6" t="s">
        <v>16</v>
      </c>
      <c r="U6">
        <f>COUNTIF(D14:D73,"Glass")</f>
        <v>0</v>
      </c>
      <c r="XEV6" t="s">
        <v>19</v>
      </c>
    </row>
    <row r="7" spans="1:21 16372:16380" ht="4.5" hidden="1" customHeight="1" x14ac:dyDescent="0.35">
      <c r="B7"/>
      <c r="L7" s="20"/>
      <c r="M7" s="25"/>
      <c r="N7" s="20"/>
      <c r="O7" s="25"/>
      <c r="P7" s="21"/>
      <c r="Q7" s="22"/>
      <c r="R7" s="22"/>
      <c r="XEV7" t="s">
        <v>20</v>
      </c>
    </row>
    <row r="8" spans="1:21 16372:16380" hidden="1" x14ac:dyDescent="0.35">
      <c r="B8"/>
      <c r="I8" s="34"/>
      <c r="L8" s="23"/>
      <c r="M8" s="23"/>
      <c r="N8" s="23"/>
      <c r="O8" s="23"/>
      <c r="P8" s="23"/>
      <c r="Q8" s="24"/>
      <c r="R8" s="24"/>
      <c r="XEV8" t="s">
        <v>21</v>
      </c>
    </row>
    <row r="9" spans="1:21 16372:16380" ht="1.5" hidden="1" customHeight="1" x14ac:dyDescent="0.35">
      <c r="B9"/>
    </row>
    <row r="10" spans="1:21 16372:16380" hidden="1" x14ac:dyDescent="0.35">
      <c r="B10"/>
    </row>
    <row r="11" spans="1:21 16372:16380" ht="0.75" customHeight="1" thickBot="1" x14ac:dyDescent="0.4">
      <c r="A11" s="35"/>
      <c r="B11" s="36"/>
      <c r="C11" s="36"/>
      <c r="D11" s="36"/>
      <c r="E11" s="36"/>
      <c r="F11" s="36"/>
      <c r="G11" s="36"/>
      <c r="H11" s="36"/>
      <c r="I11" s="36"/>
      <c r="J11" s="36"/>
      <c r="K11" s="36"/>
      <c r="L11" s="36"/>
      <c r="M11" s="36"/>
      <c r="N11" s="36"/>
      <c r="O11" s="36"/>
      <c r="P11" s="36"/>
    </row>
    <row r="12" spans="1:21 16372:16380" s="37" customFormat="1" ht="27.75" customHeight="1" thickBot="1" x14ac:dyDescent="0.65">
      <c r="A12" s="637" t="s">
        <v>11</v>
      </c>
      <c r="B12" s="638"/>
      <c r="C12" s="638"/>
      <c r="D12" s="638"/>
      <c r="E12" s="638"/>
      <c r="F12" s="638"/>
      <c r="G12" s="638"/>
      <c r="H12" s="638"/>
      <c r="I12" s="638"/>
      <c r="J12" s="638"/>
      <c r="K12" s="638"/>
      <c r="L12" s="638"/>
      <c r="M12" s="638"/>
      <c r="N12" s="638"/>
      <c r="O12" s="638"/>
      <c r="P12" s="639"/>
      <c r="T12" s="37" t="s">
        <v>255</v>
      </c>
      <c r="U12" s="37" t="e">
        <f>SUM(L14:L73)</f>
        <v>#REF!</v>
      </c>
    </row>
    <row r="13" spans="1:21 16372:16380" ht="31.5" customHeight="1" thickBot="1" x14ac:dyDescent="0.4">
      <c r="A13" s="17" t="s">
        <v>38</v>
      </c>
      <c r="B13" s="17" t="s">
        <v>39</v>
      </c>
      <c r="C13" s="19" t="s">
        <v>40</v>
      </c>
      <c r="D13" s="17" t="s">
        <v>14</v>
      </c>
      <c r="E13" s="17" t="s">
        <v>23</v>
      </c>
      <c r="F13" s="17" t="s">
        <v>24</v>
      </c>
      <c r="G13" s="645" t="s">
        <v>35</v>
      </c>
      <c r="H13" s="646"/>
      <c r="I13" s="647"/>
      <c r="J13" s="18" t="s">
        <v>41</v>
      </c>
      <c r="K13" s="17" t="s">
        <v>42</v>
      </c>
      <c r="L13" s="17" t="s">
        <v>43</v>
      </c>
      <c r="M13" s="19" t="s">
        <v>44</v>
      </c>
      <c r="N13" s="19" t="s">
        <v>45</v>
      </c>
      <c r="O13" s="30" t="s">
        <v>46</v>
      </c>
      <c r="P13" s="33" t="s">
        <v>47</v>
      </c>
      <c r="Q13" s="32"/>
      <c r="R13" s="32"/>
      <c r="S13" s="32"/>
      <c r="T13" s="32"/>
    </row>
    <row r="14" spans="1:21 16372:16380" ht="15" thickBot="1" x14ac:dyDescent="0.4">
      <c r="A14" s="16">
        <v>1</v>
      </c>
      <c r="B14" s="16">
        <f>$E$3</f>
        <v>87498574</v>
      </c>
      <c r="C14" s="16">
        <f>'Repair Assessment Sheet'!D44</f>
        <v>0</v>
      </c>
      <c r="D14" s="16">
        <f>'Repair Assessment Sheet'!E44</f>
        <v>0</v>
      </c>
      <c r="E14" s="16">
        <f>'Repair Assessment Sheet'!F44</f>
        <v>0</v>
      </c>
      <c r="F14" s="16">
        <f>'Repair Assessment Sheet'!G44</f>
        <v>0</v>
      </c>
      <c r="G14" s="632">
        <f>'Repair Assessment Sheet'!H44</f>
        <v>0</v>
      </c>
      <c r="H14" s="633"/>
      <c r="I14" s="634"/>
      <c r="J14" s="16">
        <f>'Repair Assessment Sheet'!T44</f>
        <v>85072000</v>
      </c>
      <c r="K14" s="16">
        <f>'Repair Assessment Sheet'!J44</f>
        <v>0</v>
      </c>
      <c r="L14" s="16">
        <f>'Repair Assessment Sheet'!K44*200</f>
        <v>0</v>
      </c>
      <c r="M14" s="16">
        <f>'Repair Assessment Sheet'!Q44</f>
        <v>0</v>
      </c>
      <c r="N14" s="16">
        <f>'Repair Assessment Sheet'!R44</f>
        <v>0</v>
      </c>
      <c r="O14" s="51">
        <f>'Repair Assessment Sheet'!S44</f>
        <v>0</v>
      </c>
      <c r="P14" s="51"/>
      <c r="Q14" s="31"/>
      <c r="R14" s="31"/>
      <c r="S14" s="31"/>
      <c r="T14" s="31"/>
      <c r="U14" s="3"/>
    </row>
    <row r="15" spans="1:21 16372:16380" ht="15" thickBot="1" x14ac:dyDescent="0.4">
      <c r="A15" s="16">
        <v>2</v>
      </c>
      <c r="B15" s="16">
        <f t="shared" ref="B15:B78" si="0">$E$3</f>
        <v>87498574</v>
      </c>
      <c r="C15" s="16">
        <f>'Repair Assessment Sheet'!D45</f>
        <v>0</v>
      </c>
      <c r="D15" s="16">
        <f>'Repair Assessment Sheet'!E45</f>
        <v>0</v>
      </c>
      <c r="E15" s="16">
        <f>'Repair Assessment Sheet'!F45</f>
        <v>0</v>
      </c>
      <c r="F15" s="16">
        <f>'Repair Assessment Sheet'!G45</f>
        <v>0</v>
      </c>
      <c r="G15" s="632">
        <f>'Repair Assessment Sheet'!H45</f>
        <v>0</v>
      </c>
      <c r="H15" s="633"/>
      <c r="I15" s="634"/>
      <c r="J15" s="16">
        <f>'Repair Assessment Sheet'!T45</f>
        <v>85443000</v>
      </c>
      <c r="K15" s="16">
        <f>'Repair Assessment Sheet'!J45</f>
        <v>0</v>
      </c>
      <c r="L15" s="16">
        <f>'Repair Assessment Sheet'!K45*200</f>
        <v>0</v>
      </c>
      <c r="M15" s="16">
        <f>'Repair Assessment Sheet'!Q45</f>
        <v>0</v>
      </c>
      <c r="N15" s="16">
        <f>'Repair Assessment Sheet'!R45</f>
        <v>0</v>
      </c>
      <c r="O15" s="51">
        <f>'Repair Assessment Sheet'!S45</f>
        <v>0</v>
      </c>
      <c r="P15" s="51"/>
      <c r="Q15" s="31"/>
      <c r="R15" s="31"/>
      <c r="S15" s="31"/>
      <c r="T15" s="31"/>
    </row>
    <row r="16" spans="1:21 16372:16380" ht="15" thickBot="1" x14ac:dyDescent="0.4">
      <c r="A16" s="16">
        <v>3</v>
      </c>
      <c r="B16" s="16">
        <f t="shared" si="0"/>
        <v>87498574</v>
      </c>
      <c r="C16" s="16">
        <f>'Repair Assessment Sheet'!D46</f>
        <v>0</v>
      </c>
      <c r="D16" s="16">
        <f>'Repair Assessment Sheet'!E46</f>
        <v>0</v>
      </c>
      <c r="E16" s="16">
        <f>'Repair Assessment Sheet'!F46</f>
        <v>0</v>
      </c>
      <c r="F16" s="16">
        <f>'Repair Assessment Sheet'!G46</f>
        <v>0</v>
      </c>
      <c r="G16" s="632">
        <f>'Repair Assessment Sheet'!H46</f>
        <v>0</v>
      </c>
      <c r="H16" s="633"/>
      <c r="I16" s="634"/>
      <c r="J16" s="16">
        <f>'Repair Assessment Sheet'!T46</f>
        <v>87089900</v>
      </c>
      <c r="K16" s="16">
        <f>'Repair Assessment Sheet'!J46</f>
        <v>0</v>
      </c>
      <c r="L16" s="16">
        <f>'Repair Assessment Sheet'!K46*200</f>
        <v>0</v>
      </c>
      <c r="M16" s="16">
        <f>'Repair Assessment Sheet'!Q46</f>
        <v>0</v>
      </c>
      <c r="N16" s="16">
        <f>'Repair Assessment Sheet'!R46</f>
        <v>0</v>
      </c>
      <c r="O16" s="51">
        <f>'Repair Assessment Sheet'!S46</f>
        <v>0</v>
      </c>
      <c r="P16" s="51"/>
      <c r="Q16" s="31"/>
      <c r="R16" s="31"/>
      <c r="S16" s="31"/>
      <c r="T16" s="31"/>
    </row>
    <row r="17" spans="1:20" ht="15" thickBot="1" x14ac:dyDescent="0.4">
      <c r="A17" s="16">
        <v>4</v>
      </c>
      <c r="B17" s="16">
        <f t="shared" si="0"/>
        <v>87498574</v>
      </c>
      <c r="C17" s="16">
        <f>'Repair Assessment Sheet'!D47</f>
        <v>0</v>
      </c>
      <c r="D17" s="16">
        <f>'Repair Assessment Sheet'!E47</f>
        <v>0</v>
      </c>
      <c r="E17" s="16">
        <f>'Repair Assessment Sheet'!F47</f>
        <v>0</v>
      </c>
      <c r="F17" s="16">
        <f>'Repair Assessment Sheet'!G47</f>
        <v>0</v>
      </c>
      <c r="G17" s="632">
        <f>'Repair Assessment Sheet'!H47</f>
        <v>0</v>
      </c>
      <c r="H17" s="633"/>
      <c r="I17" s="634"/>
      <c r="J17" s="16">
        <f>'Repair Assessment Sheet'!T47</f>
        <v>40169340</v>
      </c>
      <c r="K17" s="16">
        <f>'Repair Assessment Sheet'!J47</f>
        <v>0</v>
      </c>
      <c r="L17" s="16">
        <f>'Repair Assessment Sheet'!K47*200</f>
        <v>0</v>
      </c>
      <c r="M17" s="16">
        <f>'Repair Assessment Sheet'!Q47</f>
        <v>0</v>
      </c>
      <c r="N17" s="16">
        <f>'Repair Assessment Sheet'!R47</f>
        <v>0</v>
      </c>
      <c r="O17" s="51">
        <f>'Repair Assessment Sheet'!S47</f>
        <v>0</v>
      </c>
      <c r="P17" s="51"/>
      <c r="Q17" s="31"/>
      <c r="R17" s="31"/>
      <c r="S17" s="31"/>
      <c r="T17" s="31"/>
    </row>
    <row r="18" spans="1:20" ht="15" thickBot="1" x14ac:dyDescent="0.4">
      <c r="A18" s="16">
        <v>5</v>
      </c>
      <c r="B18" s="16">
        <f t="shared" si="0"/>
        <v>87498574</v>
      </c>
      <c r="C18" s="16">
        <f>'Repair Assessment Sheet'!D48</f>
        <v>0</v>
      </c>
      <c r="D18" s="16">
        <f>'Repair Assessment Sheet'!E48</f>
        <v>0</v>
      </c>
      <c r="E18" s="16">
        <f>'Repair Assessment Sheet'!F48</f>
        <v>0</v>
      </c>
      <c r="F18" s="16">
        <f>'Repair Assessment Sheet'!G48</f>
        <v>0</v>
      </c>
      <c r="G18" s="632">
        <f>'Repair Assessment Sheet'!H48</f>
        <v>0</v>
      </c>
      <c r="H18" s="633"/>
      <c r="I18" s="634"/>
      <c r="J18" s="16">
        <f>'Repair Assessment Sheet'!T48</f>
        <v>40169340</v>
      </c>
      <c r="K18" s="16">
        <f>'Repair Assessment Sheet'!J48</f>
        <v>0</v>
      </c>
      <c r="L18" s="16">
        <f>'Repair Assessment Sheet'!K48*200</f>
        <v>0</v>
      </c>
      <c r="M18" s="16">
        <f>'Repair Assessment Sheet'!Q48</f>
        <v>0</v>
      </c>
      <c r="N18" s="16">
        <f>'Repair Assessment Sheet'!R48</f>
        <v>0</v>
      </c>
      <c r="O18" s="51">
        <f>'Repair Assessment Sheet'!S48</f>
        <v>0</v>
      </c>
      <c r="P18" s="51"/>
      <c r="Q18" s="31"/>
      <c r="R18" s="31"/>
      <c r="S18" s="31"/>
      <c r="T18" s="31"/>
    </row>
    <row r="19" spans="1:20" ht="15" thickBot="1" x14ac:dyDescent="0.4">
      <c r="A19" s="16">
        <v>6</v>
      </c>
      <c r="B19" s="16">
        <f t="shared" si="0"/>
        <v>87498574</v>
      </c>
      <c r="C19" s="16">
        <f>'Repair Assessment Sheet'!D49</f>
        <v>0</v>
      </c>
      <c r="D19" s="16">
        <f>'Repair Assessment Sheet'!E49</f>
        <v>0</v>
      </c>
      <c r="E19" s="16">
        <f>'Repair Assessment Sheet'!F49</f>
        <v>0</v>
      </c>
      <c r="F19" s="16">
        <f>'Repair Assessment Sheet'!G49</f>
        <v>0</v>
      </c>
      <c r="G19" s="632">
        <f>'Repair Assessment Sheet'!H49</f>
        <v>0</v>
      </c>
      <c r="H19" s="633"/>
      <c r="I19" s="634"/>
      <c r="J19" s="16">
        <f>'Repair Assessment Sheet'!T49</f>
        <v>40094200</v>
      </c>
      <c r="K19" s="16">
        <f>'Repair Assessment Sheet'!J49</f>
        <v>0</v>
      </c>
      <c r="L19" s="16">
        <f>'Repair Assessment Sheet'!K49*200</f>
        <v>0</v>
      </c>
      <c r="M19" s="16">
        <f>'Repair Assessment Sheet'!Q49</f>
        <v>0</v>
      </c>
      <c r="N19" s="16">
        <f>'Repair Assessment Sheet'!R49</f>
        <v>0</v>
      </c>
      <c r="O19" s="51">
        <f>'Repair Assessment Sheet'!S49</f>
        <v>0</v>
      </c>
      <c r="P19" s="51"/>
      <c r="Q19" s="31"/>
      <c r="R19" s="31"/>
      <c r="S19" s="31"/>
      <c r="T19" s="31"/>
    </row>
    <row r="20" spans="1:20" ht="15" thickBot="1" x14ac:dyDescent="0.4">
      <c r="A20" s="16">
        <v>7</v>
      </c>
      <c r="B20" s="16">
        <f t="shared" si="0"/>
        <v>87498574</v>
      </c>
      <c r="C20" s="16">
        <f>'Repair Assessment Sheet'!D50</f>
        <v>0</v>
      </c>
      <c r="D20" s="16">
        <f>'Repair Assessment Sheet'!E50</f>
        <v>0</v>
      </c>
      <c r="E20" s="16">
        <f>'Repair Assessment Sheet'!F50</f>
        <v>0</v>
      </c>
      <c r="F20" s="16">
        <f>'Repair Assessment Sheet'!G50</f>
        <v>0</v>
      </c>
      <c r="G20" s="632">
        <f>'Repair Assessment Sheet'!H50</f>
        <v>0</v>
      </c>
      <c r="H20" s="633"/>
      <c r="I20" s="634"/>
      <c r="J20" s="16">
        <f>'Repair Assessment Sheet'!T50</f>
        <v>40094200</v>
      </c>
      <c r="K20" s="16">
        <f>'Repair Assessment Sheet'!J50</f>
        <v>0</v>
      </c>
      <c r="L20" s="16">
        <f>'Repair Assessment Sheet'!K50*200</f>
        <v>0</v>
      </c>
      <c r="M20" s="16">
        <f>'Repair Assessment Sheet'!Q50</f>
        <v>0</v>
      </c>
      <c r="N20" s="16">
        <f>'Repair Assessment Sheet'!R50</f>
        <v>0</v>
      </c>
      <c r="O20" s="51">
        <f>'Repair Assessment Sheet'!S50</f>
        <v>0</v>
      </c>
      <c r="P20" s="51"/>
      <c r="Q20" s="31"/>
      <c r="R20" s="31"/>
      <c r="S20" s="31"/>
      <c r="T20" s="31"/>
    </row>
    <row r="21" spans="1:20" ht="15" thickBot="1" x14ac:dyDescent="0.4">
      <c r="A21" s="16">
        <v>8</v>
      </c>
      <c r="B21" s="16">
        <f t="shared" si="0"/>
        <v>87498574</v>
      </c>
      <c r="C21" s="16">
        <f>'Repair Assessment Sheet'!D51</f>
        <v>0</v>
      </c>
      <c r="D21" s="16">
        <f>'Repair Assessment Sheet'!E51</f>
        <v>0</v>
      </c>
      <c r="E21" s="16">
        <f>'Repair Assessment Sheet'!F51</f>
        <v>0</v>
      </c>
      <c r="F21" s="16">
        <f>'Repair Assessment Sheet'!G51</f>
        <v>0</v>
      </c>
      <c r="G21" s="632">
        <f>'Repair Assessment Sheet'!H51</f>
        <v>0</v>
      </c>
      <c r="H21" s="633"/>
      <c r="I21" s="634"/>
      <c r="J21" s="16">
        <f>'Repair Assessment Sheet'!T51</f>
        <v>84213100</v>
      </c>
      <c r="K21" s="16">
        <f>'Repair Assessment Sheet'!J51</f>
        <v>0</v>
      </c>
      <c r="L21" s="16">
        <f>'Repair Assessment Sheet'!K51*200</f>
        <v>0</v>
      </c>
      <c r="M21" s="16">
        <f>'Repair Assessment Sheet'!Q51</f>
        <v>0</v>
      </c>
      <c r="N21" s="16">
        <f>'Repair Assessment Sheet'!R51</f>
        <v>0</v>
      </c>
      <c r="O21" s="51">
        <f>'Repair Assessment Sheet'!S51</f>
        <v>0</v>
      </c>
      <c r="P21" s="51"/>
      <c r="Q21" s="31"/>
      <c r="R21" s="31"/>
      <c r="S21" s="31"/>
      <c r="T21" s="31"/>
    </row>
    <row r="22" spans="1:20" ht="15" thickBot="1" x14ac:dyDescent="0.4">
      <c r="A22" s="16">
        <v>9</v>
      </c>
      <c r="B22" s="16">
        <f t="shared" si="0"/>
        <v>87498574</v>
      </c>
      <c r="C22" s="16">
        <f>'Repair Assessment Sheet'!D52</f>
        <v>0</v>
      </c>
      <c r="D22" s="16">
        <f>'Repair Assessment Sheet'!E52</f>
        <v>0</v>
      </c>
      <c r="E22" s="16">
        <f>'Repair Assessment Sheet'!F52</f>
        <v>0</v>
      </c>
      <c r="F22" s="16">
        <f>'Repair Assessment Sheet'!G52</f>
        <v>0</v>
      </c>
      <c r="G22" s="632">
        <f>'Repair Assessment Sheet'!H52</f>
        <v>0</v>
      </c>
      <c r="H22" s="633"/>
      <c r="I22" s="634"/>
      <c r="J22" s="16">
        <f>'Repair Assessment Sheet'!T52</f>
        <v>40094200</v>
      </c>
      <c r="K22" s="16">
        <f>'Repair Assessment Sheet'!J52</f>
        <v>0</v>
      </c>
      <c r="L22" s="16">
        <f>'Repair Assessment Sheet'!K52*200</f>
        <v>0</v>
      </c>
      <c r="M22" s="16">
        <f>'Repair Assessment Sheet'!Q52</f>
        <v>0</v>
      </c>
      <c r="N22" s="16">
        <f>'Repair Assessment Sheet'!R52</f>
        <v>0</v>
      </c>
      <c r="O22" s="51">
        <f>'Repair Assessment Sheet'!S52</f>
        <v>0</v>
      </c>
      <c r="P22" s="51"/>
      <c r="Q22" s="31"/>
      <c r="R22" s="31"/>
      <c r="S22" s="31"/>
      <c r="T22" s="31"/>
    </row>
    <row r="23" spans="1:20" ht="15" thickBot="1" x14ac:dyDescent="0.4">
      <c r="A23" s="16">
        <v>10</v>
      </c>
      <c r="B23" s="16">
        <f t="shared" si="0"/>
        <v>87498574</v>
      </c>
      <c r="C23" s="16">
        <f>'Repair Assessment Sheet'!D53</f>
        <v>0</v>
      </c>
      <c r="D23" s="16">
        <f>'Repair Assessment Sheet'!E53</f>
        <v>0</v>
      </c>
      <c r="E23" s="16">
        <f>'Repair Assessment Sheet'!F53</f>
        <v>0</v>
      </c>
      <c r="F23" s="16">
        <f>'Repair Assessment Sheet'!G53</f>
        <v>0</v>
      </c>
      <c r="G23" s="632">
        <f>'Repair Assessment Sheet'!H53</f>
        <v>0</v>
      </c>
      <c r="H23" s="633"/>
      <c r="I23" s="634"/>
      <c r="J23" s="16">
        <f>'Repair Assessment Sheet'!T53</f>
        <v>84099990</v>
      </c>
      <c r="K23" s="16">
        <f>'Repair Assessment Sheet'!J53</f>
        <v>0</v>
      </c>
      <c r="L23" s="16">
        <f>'Repair Assessment Sheet'!K53*200</f>
        <v>0</v>
      </c>
      <c r="M23" s="16">
        <f>'Repair Assessment Sheet'!Q53</f>
        <v>0</v>
      </c>
      <c r="N23" s="16">
        <f>'Repair Assessment Sheet'!R53</f>
        <v>0</v>
      </c>
      <c r="O23" s="51">
        <f>'Repair Assessment Sheet'!S53</f>
        <v>0</v>
      </c>
      <c r="P23" s="51"/>
      <c r="Q23" s="31"/>
      <c r="R23" s="31"/>
      <c r="S23" s="31"/>
      <c r="T23" s="31"/>
    </row>
    <row r="24" spans="1:20" ht="15" thickBot="1" x14ac:dyDescent="0.4">
      <c r="A24" s="16">
        <v>11</v>
      </c>
      <c r="B24" s="16">
        <f t="shared" si="0"/>
        <v>87498574</v>
      </c>
      <c r="C24" s="16">
        <f>'Repair Assessment Sheet'!D54</f>
        <v>0</v>
      </c>
      <c r="D24" s="16">
        <f>'Repair Assessment Sheet'!E54</f>
        <v>0</v>
      </c>
      <c r="E24" s="16">
        <f>'Repair Assessment Sheet'!F54</f>
        <v>0</v>
      </c>
      <c r="F24" s="16">
        <f>'Repair Assessment Sheet'!G54</f>
        <v>0</v>
      </c>
      <c r="G24" s="632">
        <f>'Repair Assessment Sheet'!H54</f>
        <v>0</v>
      </c>
      <c r="H24" s="633"/>
      <c r="I24" s="634"/>
      <c r="J24" s="16">
        <f>'Repair Assessment Sheet'!T54</f>
        <v>40094200</v>
      </c>
      <c r="K24" s="16">
        <f>'Repair Assessment Sheet'!J54</f>
        <v>0</v>
      </c>
      <c r="L24" s="16">
        <f>'Repair Assessment Sheet'!K54*200</f>
        <v>0</v>
      </c>
      <c r="M24" s="16">
        <f>'Repair Assessment Sheet'!Q54</f>
        <v>0</v>
      </c>
      <c r="N24" s="16">
        <f>'Repair Assessment Sheet'!R54</f>
        <v>0</v>
      </c>
      <c r="O24" s="51">
        <f>'Repair Assessment Sheet'!S54</f>
        <v>0</v>
      </c>
      <c r="P24" s="51"/>
      <c r="Q24" s="31"/>
      <c r="R24" s="31"/>
      <c r="S24" s="31"/>
      <c r="T24" s="31"/>
    </row>
    <row r="25" spans="1:20" ht="15" thickBot="1" x14ac:dyDescent="0.4">
      <c r="A25" s="16">
        <v>12</v>
      </c>
      <c r="B25" s="16">
        <f t="shared" si="0"/>
        <v>87498574</v>
      </c>
      <c r="C25" s="16">
        <f>'Repair Assessment Sheet'!D55</f>
        <v>0</v>
      </c>
      <c r="D25" s="16">
        <f>'Repair Assessment Sheet'!E55</f>
        <v>0</v>
      </c>
      <c r="E25" s="16">
        <f>'Repair Assessment Sheet'!F55</f>
        <v>0</v>
      </c>
      <c r="F25" s="16">
        <f>'Repair Assessment Sheet'!G55</f>
        <v>0</v>
      </c>
      <c r="G25" s="632">
        <f>'Repair Assessment Sheet'!H55</f>
        <v>0</v>
      </c>
      <c r="H25" s="633"/>
      <c r="I25" s="634"/>
      <c r="J25" s="16">
        <f>'Repair Assessment Sheet'!T55</f>
        <v>87089900</v>
      </c>
      <c r="K25" s="16">
        <f>'Repair Assessment Sheet'!J55</f>
        <v>0</v>
      </c>
      <c r="L25" s="16">
        <f>'Repair Assessment Sheet'!K55*200</f>
        <v>0</v>
      </c>
      <c r="M25" s="16">
        <f>'Repair Assessment Sheet'!Q55</f>
        <v>0</v>
      </c>
      <c r="N25" s="16">
        <f>'Repair Assessment Sheet'!R55</f>
        <v>0</v>
      </c>
      <c r="O25" s="51">
        <f>'Repair Assessment Sheet'!S55</f>
        <v>0</v>
      </c>
      <c r="P25" s="51"/>
      <c r="Q25" s="31"/>
      <c r="R25" s="31"/>
      <c r="S25" s="31"/>
      <c r="T25" s="31"/>
    </row>
    <row r="26" spans="1:20" ht="15" thickBot="1" x14ac:dyDescent="0.4">
      <c r="A26" s="16">
        <v>13</v>
      </c>
      <c r="B26" s="16">
        <f t="shared" si="0"/>
        <v>87498574</v>
      </c>
      <c r="C26" s="16" t="e">
        <f>'Repair Assessment Sheet'!#REF!</f>
        <v>#REF!</v>
      </c>
      <c r="D26" s="16" t="e">
        <f>'Repair Assessment Sheet'!#REF!</f>
        <v>#REF!</v>
      </c>
      <c r="E26" s="16" t="e">
        <f>'Repair Assessment Sheet'!#REF!</f>
        <v>#REF!</v>
      </c>
      <c r="F26" s="16" t="e">
        <f>'Repair Assessment Sheet'!#REF!</f>
        <v>#REF!</v>
      </c>
      <c r="G26" s="632" t="e">
        <f>'Repair Assessment Sheet'!#REF!</f>
        <v>#REF!</v>
      </c>
      <c r="H26" s="633"/>
      <c r="I26" s="634"/>
      <c r="J26" s="16" t="e">
        <f>'Repair Assessment Sheet'!#REF!</f>
        <v>#REF!</v>
      </c>
      <c r="K26" s="16" t="e">
        <f>'Repair Assessment Sheet'!#REF!</f>
        <v>#REF!</v>
      </c>
      <c r="L26" s="16" t="e">
        <f>'Repair Assessment Sheet'!#REF!*200</f>
        <v>#REF!</v>
      </c>
      <c r="M26" s="16" t="e">
        <f>'Repair Assessment Sheet'!#REF!</f>
        <v>#REF!</v>
      </c>
      <c r="N26" s="16" t="e">
        <f>'Repair Assessment Sheet'!#REF!</f>
        <v>#REF!</v>
      </c>
      <c r="O26" s="51" t="e">
        <f>'Repair Assessment Sheet'!#REF!</f>
        <v>#REF!</v>
      </c>
      <c r="P26" s="51"/>
      <c r="Q26" s="31"/>
      <c r="R26" s="31"/>
      <c r="S26" s="31"/>
      <c r="T26" s="31"/>
    </row>
    <row r="27" spans="1:20" ht="15" thickBot="1" x14ac:dyDescent="0.4">
      <c r="A27" s="16">
        <v>14</v>
      </c>
      <c r="B27" s="16">
        <f t="shared" si="0"/>
        <v>87498574</v>
      </c>
      <c r="C27" s="16">
        <f>'Repair Assessment Sheet'!D56</f>
        <v>0</v>
      </c>
      <c r="D27" s="16">
        <f>'Repair Assessment Sheet'!E56</f>
        <v>0</v>
      </c>
      <c r="E27" s="16">
        <f>'Repair Assessment Sheet'!F56</f>
        <v>0</v>
      </c>
      <c r="F27" s="16">
        <f>'Repair Assessment Sheet'!G56</f>
        <v>0</v>
      </c>
      <c r="G27" s="632">
        <f>'Repair Assessment Sheet'!H56</f>
        <v>0</v>
      </c>
      <c r="H27" s="633"/>
      <c r="I27" s="634"/>
      <c r="J27" s="16">
        <f>'Repair Assessment Sheet'!T56</f>
        <v>85115000</v>
      </c>
      <c r="K27" s="16">
        <f>'Repair Assessment Sheet'!J56</f>
        <v>0</v>
      </c>
      <c r="L27" s="16">
        <f>'Repair Assessment Sheet'!K56*200</f>
        <v>0</v>
      </c>
      <c r="M27" s="16">
        <f>'Repair Assessment Sheet'!Q56</f>
        <v>0</v>
      </c>
      <c r="N27" s="16">
        <f>'Repair Assessment Sheet'!R56</f>
        <v>0</v>
      </c>
      <c r="O27" s="51">
        <f>'Repair Assessment Sheet'!S56</f>
        <v>0</v>
      </c>
      <c r="P27" s="51"/>
      <c r="Q27" s="31"/>
      <c r="R27" s="31"/>
      <c r="S27" s="31"/>
      <c r="T27" s="31"/>
    </row>
    <row r="28" spans="1:20" ht="15" thickBot="1" x14ac:dyDescent="0.4">
      <c r="A28" s="16">
        <v>15</v>
      </c>
      <c r="B28" s="16">
        <f t="shared" si="0"/>
        <v>87498574</v>
      </c>
      <c r="C28" s="16">
        <f>'Repair Assessment Sheet'!D57</f>
        <v>0</v>
      </c>
      <c r="D28" s="16">
        <f>'Repair Assessment Sheet'!E57</f>
        <v>0</v>
      </c>
      <c r="E28" s="16">
        <f>'Repair Assessment Sheet'!F57</f>
        <v>0</v>
      </c>
      <c r="F28" s="16">
        <f>'Repair Assessment Sheet'!G57</f>
        <v>0</v>
      </c>
      <c r="G28" s="632">
        <f>'Repair Assessment Sheet'!H57</f>
        <v>0</v>
      </c>
      <c r="H28" s="633"/>
      <c r="I28" s="634"/>
      <c r="J28" s="16">
        <f>'Repair Assessment Sheet'!T57</f>
        <v>84818090</v>
      </c>
      <c r="K28" s="16">
        <f>'Repair Assessment Sheet'!J57</f>
        <v>0</v>
      </c>
      <c r="L28" s="16">
        <f>'Repair Assessment Sheet'!K57*200</f>
        <v>0</v>
      </c>
      <c r="M28" s="16">
        <f>'Repair Assessment Sheet'!Q57</f>
        <v>0</v>
      </c>
      <c r="N28" s="16">
        <f>'Repair Assessment Sheet'!R57</f>
        <v>0</v>
      </c>
      <c r="O28" s="51">
        <f>'Repair Assessment Sheet'!S57</f>
        <v>0</v>
      </c>
      <c r="P28" s="51"/>
      <c r="Q28" s="31"/>
      <c r="R28" s="31"/>
      <c r="S28" s="31"/>
      <c r="T28" s="31"/>
    </row>
    <row r="29" spans="1:20" ht="15" thickBot="1" x14ac:dyDescent="0.4">
      <c r="A29" s="16">
        <v>16</v>
      </c>
      <c r="B29" s="16">
        <f t="shared" si="0"/>
        <v>87498574</v>
      </c>
      <c r="C29" s="16">
        <f>'Repair Assessment Sheet'!D58</f>
        <v>0</v>
      </c>
      <c r="D29" s="16">
        <f>'Repair Assessment Sheet'!E58</f>
        <v>0</v>
      </c>
      <c r="E29" s="16">
        <f>'Repair Assessment Sheet'!F58</f>
        <v>0</v>
      </c>
      <c r="F29" s="16">
        <f>'Repair Assessment Sheet'!G58</f>
        <v>0</v>
      </c>
      <c r="G29" s="632">
        <f>'Repair Assessment Sheet'!H58</f>
        <v>0</v>
      </c>
      <c r="H29" s="633"/>
      <c r="I29" s="634"/>
      <c r="J29" s="16">
        <f>'Repair Assessment Sheet'!T58</f>
        <v>87089900</v>
      </c>
      <c r="K29" s="16">
        <f>'Repair Assessment Sheet'!J58</f>
        <v>0</v>
      </c>
      <c r="L29" s="16">
        <f>'Repair Assessment Sheet'!K58*200</f>
        <v>0</v>
      </c>
      <c r="M29" s="16">
        <f>'Repair Assessment Sheet'!Q58</f>
        <v>0</v>
      </c>
      <c r="N29" s="16">
        <f>'Repair Assessment Sheet'!R58</f>
        <v>0</v>
      </c>
      <c r="O29" s="51">
        <f>'Repair Assessment Sheet'!S58</f>
        <v>0</v>
      </c>
      <c r="P29" s="51"/>
      <c r="Q29" s="31"/>
      <c r="R29" s="31"/>
      <c r="S29" s="31"/>
      <c r="T29" s="31"/>
    </row>
    <row r="30" spans="1:20" ht="15" thickBot="1" x14ac:dyDescent="0.4">
      <c r="A30" s="16">
        <v>17</v>
      </c>
      <c r="B30" s="16">
        <f t="shared" si="0"/>
        <v>87498574</v>
      </c>
      <c r="C30" s="16">
        <f>'Repair Assessment Sheet'!D59</f>
        <v>0</v>
      </c>
      <c r="D30" s="16">
        <f>'Repair Assessment Sheet'!E59</f>
        <v>0</v>
      </c>
      <c r="E30" s="16">
        <f>'Repair Assessment Sheet'!F59</f>
        <v>0</v>
      </c>
      <c r="F30" s="16">
        <f>'Repair Assessment Sheet'!G59</f>
        <v>0</v>
      </c>
      <c r="G30" s="632">
        <f>'Repair Assessment Sheet'!H59</f>
        <v>0</v>
      </c>
      <c r="H30" s="633"/>
      <c r="I30" s="634"/>
      <c r="J30" s="16">
        <f>'Repair Assessment Sheet'!T59</f>
        <v>84099990</v>
      </c>
      <c r="K30" s="16">
        <f>'Repair Assessment Sheet'!J59</f>
        <v>0</v>
      </c>
      <c r="L30" s="16">
        <f>'Repair Assessment Sheet'!K59*200</f>
        <v>0</v>
      </c>
      <c r="M30" s="16">
        <f>'Repair Assessment Sheet'!Q59</f>
        <v>0</v>
      </c>
      <c r="N30" s="16">
        <f>'Repair Assessment Sheet'!R59</f>
        <v>0</v>
      </c>
      <c r="O30" s="51">
        <f>'Repair Assessment Sheet'!S59</f>
        <v>0</v>
      </c>
      <c r="P30" s="51"/>
      <c r="Q30" s="31"/>
      <c r="R30" s="31"/>
      <c r="S30" s="31"/>
      <c r="T30" s="31"/>
    </row>
    <row r="31" spans="1:20" ht="15" thickBot="1" x14ac:dyDescent="0.4">
      <c r="A31" s="16">
        <v>18</v>
      </c>
      <c r="B31" s="16">
        <f t="shared" si="0"/>
        <v>87498574</v>
      </c>
      <c r="C31" s="16">
        <f>'Repair Assessment Sheet'!D60</f>
        <v>0</v>
      </c>
      <c r="D31" s="16">
        <f>'Repair Assessment Sheet'!E60</f>
        <v>0</v>
      </c>
      <c r="E31" s="16">
        <f>'Repair Assessment Sheet'!F60</f>
        <v>0</v>
      </c>
      <c r="F31" s="16">
        <f>'Repair Assessment Sheet'!G60</f>
        <v>0</v>
      </c>
      <c r="G31" s="632">
        <f>'Repair Assessment Sheet'!H60</f>
        <v>0</v>
      </c>
      <c r="H31" s="633"/>
      <c r="I31" s="634"/>
      <c r="J31" s="16">
        <f>'Repair Assessment Sheet'!T60</f>
        <v>73269099</v>
      </c>
      <c r="K31" s="16">
        <f>'Repair Assessment Sheet'!J60</f>
        <v>0</v>
      </c>
      <c r="L31" s="16">
        <f>'Repair Assessment Sheet'!K60*200</f>
        <v>0</v>
      </c>
      <c r="M31" s="16">
        <f>'Repair Assessment Sheet'!Q60</f>
        <v>0</v>
      </c>
      <c r="N31" s="16">
        <f>'Repair Assessment Sheet'!R60</f>
        <v>0</v>
      </c>
      <c r="O31" s="51">
        <f>'Repair Assessment Sheet'!S60</f>
        <v>0</v>
      </c>
      <c r="P31" s="51"/>
      <c r="Q31" s="31"/>
      <c r="R31" s="31"/>
      <c r="S31" s="31"/>
      <c r="T31" s="31"/>
    </row>
    <row r="32" spans="1:20" ht="15" thickBot="1" x14ac:dyDescent="0.4">
      <c r="A32" s="16">
        <v>19</v>
      </c>
      <c r="B32" s="16">
        <f t="shared" si="0"/>
        <v>87498574</v>
      </c>
      <c r="C32" s="16">
        <f>'Repair Assessment Sheet'!D61</f>
        <v>0</v>
      </c>
      <c r="D32" s="16">
        <f>'Repair Assessment Sheet'!E61</f>
        <v>0</v>
      </c>
      <c r="E32" s="16">
        <f>'Repair Assessment Sheet'!F61</f>
        <v>0</v>
      </c>
      <c r="F32" s="16">
        <f>'Repair Assessment Sheet'!G61</f>
        <v>0</v>
      </c>
      <c r="G32" s="632">
        <f>'Repair Assessment Sheet'!H61</f>
        <v>0</v>
      </c>
      <c r="H32" s="633"/>
      <c r="I32" s="634"/>
      <c r="J32" s="16">
        <f>'Repair Assessment Sheet'!T61</f>
        <v>40169990</v>
      </c>
      <c r="K32" s="16">
        <f>'Repair Assessment Sheet'!J61</f>
        <v>0</v>
      </c>
      <c r="L32" s="16">
        <f>'Repair Assessment Sheet'!K61*200</f>
        <v>0</v>
      </c>
      <c r="M32" s="16">
        <f>'Repair Assessment Sheet'!Q61</f>
        <v>0</v>
      </c>
      <c r="N32" s="16">
        <f>'Repair Assessment Sheet'!R61</f>
        <v>0</v>
      </c>
      <c r="O32" s="51">
        <f>'Repair Assessment Sheet'!S61</f>
        <v>0</v>
      </c>
      <c r="P32" s="51"/>
      <c r="Q32" s="31"/>
      <c r="R32" s="31"/>
      <c r="S32" s="31"/>
      <c r="T32" s="31"/>
    </row>
    <row r="33" spans="1:20" ht="15" thickBot="1" x14ac:dyDescent="0.4">
      <c r="A33" s="16">
        <v>20</v>
      </c>
      <c r="B33" s="16">
        <f t="shared" si="0"/>
        <v>87498574</v>
      </c>
      <c r="C33" s="16">
        <f>'Repair Assessment Sheet'!D62</f>
        <v>0</v>
      </c>
      <c r="D33" s="16">
        <f>'Repair Assessment Sheet'!E62</f>
        <v>0</v>
      </c>
      <c r="E33" s="16">
        <f>'Repair Assessment Sheet'!F62</f>
        <v>0</v>
      </c>
      <c r="F33" s="16">
        <f>'Repair Assessment Sheet'!G62</f>
        <v>0</v>
      </c>
      <c r="G33" s="632">
        <f>'Repair Assessment Sheet'!H62</f>
        <v>0</v>
      </c>
      <c r="H33" s="633"/>
      <c r="I33" s="634"/>
      <c r="J33" s="16">
        <f>'Repair Assessment Sheet'!T62</f>
        <v>40169990</v>
      </c>
      <c r="K33" s="16">
        <f>'Repair Assessment Sheet'!J62</f>
        <v>0</v>
      </c>
      <c r="L33" s="16">
        <f>'Repair Assessment Sheet'!K62*200</f>
        <v>0</v>
      </c>
      <c r="M33" s="16">
        <f>'Repair Assessment Sheet'!Q62</f>
        <v>0</v>
      </c>
      <c r="N33" s="16">
        <f>'Repair Assessment Sheet'!R62</f>
        <v>0</v>
      </c>
      <c r="O33" s="51">
        <f>'Repair Assessment Sheet'!S62</f>
        <v>0</v>
      </c>
      <c r="P33" s="51"/>
      <c r="Q33" s="31"/>
      <c r="R33" s="31"/>
      <c r="S33" s="31"/>
      <c r="T33" s="31"/>
    </row>
    <row r="34" spans="1:20" ht="15" thickBot="1" x14ac:dyDescent="0.4">
      <c r="A34" s="16">
        <v>21</v>
      </c>
      <c r="B34" s="16">
        <f t="shared" si="0"/>
        <v>87498574</v>
      </c>
      <c r="C34" s="16">
        <f>'Repair Assessment Sheet'!D63</f>
        <v>0</v>
      </c>
      <c r="D34" s="16">
        <f>'Repair Assessment Sheet'!E63</f>
        <v>0</v>
      </c>
      <c r="E34" s="16">
        <f>'Repair Assessment Sheet'!F63</f>
        <v>0</v>
      </c>
      <c r="F34" s="16">
        <f>'Repair Assessment Sheet'!G63</f>
        <v>0</v>
      </c>
      <c r="G34" s="632">
        <f>'Repair Assessment Sheet'!H63</f>
        <v>0</v>
      </c>
      <c r="H34" s="633"/>
      <c r="I34" s="634"/>
      <c r="J34" s="16">
        <f>'Repair Assessment Sheet'!T63</f>
        <v>87089900</v>
      </c>
      <c r="K34" s="16">
        <f>'Repair Assessment Sheet'!J63</f>
        <v>0</v>
      </c>
      <c r="L34" s="16">
        <f>'Repair Assessment Sheet'!K63*200</f>
        <v>0</v>
      </c>
      <c r="M34" s="16">
        <f>'Repair Assessment Sheet'!Q63</f>
        <v>0</v>
      </c>
      <c r="N34" s="16">
        <f>'Repair Assessment Sheet'!R63</f>
        <v>0</v>
      </c>
      <c r="O34" s="51">
        <f>'Repair Assessment Sheet'!S63</f>
        <v>0</v>
      </c>
      <c r="P34" s="51"/>
      <c r="Q34" s="31"/>
      <c r="R34" s="31"/>
      <c r="S34" s="31"/>
      <c r="T34" s="31"/>
    </row>
    <row r="35" spans="1:20" ht="15" thickBot="1" x14ac:dyDescent="0.4">
      <c r="A35" s="16">
        <v>22</v>
      </c>
      <c r="B35" s="16">
        <f t="shared" si="0"/>
        <v>87498574</v>
      </c>
      <c r="C35" s="16" t="e">
        <f>'Repair Assessment Sheet'!#REF!</f>
        <v>#REF!</v>
      </c>
      <c r="D35" s="16" t="e">
        <f>'Repair Assessment Sheet'!#REF!</f>
        <v>#REF!</v>
      </c>
      <c r="E35" s="16" t="e">
        <f>'Repair Assessment Sheet'!#REF!</f>
        <v>#REF!</v>
      </c>
      <c r="F35" s="16" t="e">
        <f>'Repair Assessment Sheet'!#REF!</f>
        <v>#REF!</v>
      </c>
      <c r="G35" s="632" t="e">
        <f>'Repair Assessment Sheet'!#REF!</f>
        <v>#REF!</v>
      </c>
      <c r="H35" s="633"/>
      <c r="I35" s="634"/>
      <c r="J35" s="16" t="e">
        <f>'Repair Assessment Sheet'!#REF!</f>
        <v>#REF!</v>
      </c>
      <c r="K35" s="16" t="e">
        <f>'Repair Assessment Sheet'!#REF!</f>
        <v>#REF!</v>
      </c>
      <c r="L35" s="16" t="e">
        <f>'Repair Assessment Sheet'!#REF!*200</f>
        <v>#REF!</v>
      </c>
      <c r="M35" s="16" t="e">
        <f>'Repair Assessment Sheet'!#REF!</f>
        <v>#REF!</v>
      </c>
      <c r="N35" s="16" t="e">
        <f>'Repair Assessment Sheet'!#REF!</f>
        <v>#REF!</v>
      </c>
      <c r="O35" s="51" t="e">
        <f>'Repair Assessment Sheet'!#REF!</f>
        <v>#REF!</v>
      </c>
      <c r="P35" s="51"/>
      <c r="Q35" s="31"/>
      <c r="R35" s="31"/>
      <c r="S35" s="31"/>
      <c r="T35" s="31"/>
    </row>
    <row r="36" spans="1:20" ht="15" thickBot="1" x14ac:dyDescent="0.4">
      <c r="A36" s="16">
        <v>23</v>
      </c>
      <c r="B36" s="16">
        <f t="shared" si="0"/>
        <v>87498574</v>
      </c>
      <c r="C36" s="16" t="e">
        <f>'Repair Assessment Sheet'!#REF!</f>
        <v>#REF!</v>
      </c>
      <c r="D36" s="16" t="e">
        <f>'Repair Assessment Sheet'!#REF!</f>
        <v>#REF!</v>
      </c>
      <c r="E36" s="16" t="e">
        <f>'Repair Assessment Sheet'!#REF!</f>
        <v>#REF!</v>
      </c>
      <c r="F36" s="16" t="e">
        <f>'Repair Assessment Sheet'!#REF!</f>
        <v>#REF!</v>
      </c>
      <c r="G36" s="632" t="e">
        <f>'Repair Assessment Sheet'!#REF!</f>
        <v>#REF!</v>
      </c>
      <c r="H36" s="633"/>
      <c r="I36" s="634"/>
      <c r="J36" s="16" t="e">
        <f>'Repair Assessment Sheet'!#REF!</f>
        <v>#REF!</v>
      </c>
      <c r="K36" s="16" t="e">
        <f>'Repair Assessment Sheet'!#REF!</f>
        <v>#REF!</v>
      </c>
      <c r="L36" s="16" t="e">
        <f>'Repair Assessment Sheet'!#REF!*200</f>
        <v>#REF!</v>
      </c>
      <c r="M36" s="16" t="e">
        <f>'Repair Assessment Sheet'!#REF!</f>
        <v>#REF!</v>
      </c>
      <c r="N36" s="16" t="e">
        <f>'Repair Assessment Sheet'!#REF!</f>
        <v>#REF!</v>
      </c>
      <c r="O36" s="51" t="e">
        <f>'Repair Assessment Sheet'!#REF!</f>
        <v>#REF!</v>
      </c>
      <c r="P36" s="51"/>
      <c r="Q36" s="31"/>
      <c r="R36" s="31"/>
      <c r="S36" s="31"/>
      <c r="T36" s="31"/>
    </row>
    <row r="37" spans="1:20" ht="15" thickBot="1" x14ac:dyDescent="0.4">
      <c r="A37" s="16">
        <v>24</v>
      </c>
      <c r="B37" s="16">
        <f t="shared" si="0"/>
        <v>87498574</v>
      </c>
      <c r="C37" s="16" t="e">
        <f>'Repair Assessment Sheet'!#REF!</f>
        <v>#REF!</v>
      </c>
      <c r="D37" s="16" t="e">
        <f>'Repair Assessment Sheet'!#REF!</f>
        <v>#REF!</v>
      </c>
      <c r="E37" s="16" t="e">
        <f>'Repair Assessment Sheet'!#REF!</f>
        <v>#REF!</v>
      </c>
      <c r="F37" s="16" t="e">
        <f>'Repair Assessment Sheet'!#REF!</f>
        <v>#REF!</v>
      </c>
      <c r="G37" s="632" t="e">
        <f>'Repair Assessment Sheet'!#REF!</f>
        <v>#REF!</v>
      </c>
      <c r="H37" s="633"/>
      <c r="I37" s="634"/>
      <c r="J37" s="16" t="e">
        <f>'Repair Assessment Sheet'!#REF!</f>
        <v>#REF!</v>
      </c>
      <c r="K37" s="16" t="e">
        <f>'Repair Assessment Sheet'!#REF!</f>
        <v>#REF!</v>
      </c>
      <c r="L37" s="16" t="e">
        <f>'Repair Assessment Sheet'!#REF!*200</f>
        <v>#REF!</v>
      </c>
      <c r="M37" s="16" t="e">
        <f>'Repair Assessment Sheet'!#REF!</f>
        <v>#REF!</v>
      </c>
      <c r="N37" s="16" t="e">
        <f>'Repair Assessment Sheet'!#REF!</f>
        <v>#REF!</v>
      </c>
      <c r="O37" s="51" t="e">
        <f>'Repair Assessment Sheet'!#REF!</f>
        <v>#REF!</v>
      </c>
      <c r="P37" s="51"/>
      <c r="Q37" s="31"/>
      <c r="R37" s="31"/>
      <c r="S37" s="31"/>
      <c r="T37" s="31"/>
    </row>
    <row r="38" spans="1:20" ht="15" thickBot="1" x14ac:dyDescent="0.4">
      <c r="A38" s="16">
        <v>25</v>
      </c>
      <c r="B38" s="16">
        <f t="shared" si="0"/>
        <v>87498574</v>
      </c>
      <c r="C38" s="16" t="e">
        <f>'Repair Assessment Sheet'!#REF!</f>
        <v>#REF!</v>
      </c>
      <c r="D38" s="16" t="e">
        <f>'Repair Assessment Sheet'!#REF!</f>
        <v>#REF!</v>
      </c>
      <c r="E38" s="16" t="e">
        <f>'Repair Assessment Sheet'!#REF!</f>
        <v>#REF!</v>
      </c>
      <c r="F38" s="16" t="e">
        <f>'Repair Assessment Sheet'!#REF!</f>
        <v>#REF!</v>
      </c>
      <c r="G38" s="632" t="e">
        <f>'Repair Assessment Sheet'!#REF!</f>
        <v>#REF!</v>
      </c>
      <c r="H38" s="633"/>
      <c r="I38" s="634"/>
      <c r="J38" s="16" t="e">
        <f>'Repair Assessment Sheet'!#REF!</f>
        <v>#REF!</v>
      </c>
      <c r="K38" s="16" t="e">
        <f>'Repair Assessment Sheet'!#REF!</f>
        <v>#REF!</v>
      </c>
      <c r="L38" s="16" t="e">
        <f>'Repair Assessment Sheet'!#REF!*200</f>
        <v>#REF!</v>
      </c>
      <c r="M38" s="16" t="e">
        <f>'Repair Assessment Sheet'!#REF!</f>
        <v>#REF!</v>
      </c>
      <c r="N38" s="16" t="e">
        <f>'Repair Assessment Sheet'!#REF!</f>
        <v>#REF!</v>
      </c>
      <c r="O38" s="51" t="e">
        <f>'Repair Assessment Sheet'!#REF!</f>
        <v>#REF!</v>
      </c>
      <c r="P38" s="51"/>
      <c r="Q38" s="31"/>
      <c r="R38" s="31"/>
      <c r="S38" s="31"/>
      <c r="T38" s="31"/>
    </row>
    <row r="39" spans="1:20" ht="15" thickBot="1" x14ac:dyDescent="0.4">
      <c r="A39" s="16">
        <v>26</v>
      </c>
      <c r="B39" s="16">
        <f t="shared" si="0"/>
        <v>87498574</v>
      </c>
      <c r="C39" s="16" t="e">
        <f>'Repair Assessment Sheet'!#REF!</f>
        <v>#REF!</v>
      </c>
      <c r="D39" s="16" t="e">
        <f>'Repair Assessment Sheet'!#REF!</f>
        <v>#REF!</v>
      </c>
      <c r="E39" s="16" t="e">
        <f>'Repair Assessment Sheet'!#REF!</f>
        <v>#REF!</v>
      </c>
      <c r="F39" s="16" t="e">
        <f>'Repair Assessment Sheet'!#REF!</f>
        <v>#REF!</v>
      </c>
      <c r="G39" s="632" t="e">
        <f>'Repair Assessment Sheet'!#REF!</f>
        <v>#REF!</v>
      </c>
      <c r="H39" s="633"/>
      <c r="I39" s="634"/>
      <c r="J39" s="16" t="e">
        <f>'Repair Assessment Sheet'!#REF!</f>
        <v>#REF!</v>
      </c>
      <c r="K39" s="16" t="e">
        <f>'Repair Assessment Sheet'!#REF!</f>
        <v>#REF!</v>
      </c>
      <c r="L39" s="16" t="e">
        <f>'Repair Assessment Sheet'!#REF!*200</f>
        <v>#REF!</v>
      </c>
      <c r="M39" s="16" t="e">
        <f>'Repair Assessment Sheet'!#REF!</f>
        <v>#REF!</v>
      </c>
      <c r="N39" s="16" t="e">
        <f>'Repair Assessment Sheet'!#REF!</f>
        <v>#REF!</v>
      </c>
      <c r="O39" s="51" t="e">
        <f>'Repair Assessment Sheet'!#REF!</f>
        <v>#REF!</v>
      </c>
      <c r="P39" s="51"/>
      <c r="Q39" s="31"/>
      <c r="R39" s="31"/>
      <c r="S39" s="31"/>
      <c r="T39" s="31"/>
    </row>
    <row r="40" spans="1:20" ht="15" thickBot="1" x14ac:dyDescent="0.4">
      <c r="A40" s="16">
        <v>27</v>
      </c>
      <c r="B40" s="16">
        <f t="shared" si="0"/>
        <v>87498574</v>
      </c>
      <c r="C40" s="16" t="e">
        <f>'Repair Assessment Sheet'!#REF!</f>
        <v>#REF!</v>
      </c>
      <c r="D40" s="16" t="e">
        <f>'Repair Assessment Sheet'!#REF!</f>
        <v>#REF!</v>
      </c>
      <c r="E40" s="16" t="e">
        <f>'Repair Assessment Sheet'!#REF!</f>
        <v>#REF!</v>
      </c>
      <c r="F40" s="16" t="e">
        <f>'Repair Assessment Sheet'!#REF!</f>
        <v>#REF!</v>
      </c>
      <c r="G40" s="632" t="e">
        <f>'Repair Assessment Sheet'!#REF!</f>
        <v>#REF!</v>
      </c>
      <c r="H40" s="633"/>
      <c r="I40" s="634"/>
      <c r="J40" s="16" t="e">
        <f>'Repair Assessment Sheet'!#REF!</f>
        <v>#REF!</v>
      </c>
      <c r="K40" s="16" t="e">
        <f>'Repair Assessment Sheet'!#REF!</f>
        <v>#REF!</v>
      </c>
      <c r="L40" s="16" t="e">
        <f>'Repair Assessment Sheet'!#REF!*200</f>
        <v>#REF!</v>
      </c>
      <c r="M40" s="16" t="e">
        <f>'Repair Assessment Sheet'!#REF!</f>
        <v>#REF!</v>
      </c>
      <c r="N40" s="16" t="e">
        <f>'Repair Assessment Sheet'!#REF!</f>
        <v>#REF!</v>
      </c>
      <c r="O40" s="51" t="e">
        <f>'Repair Assessment Sheet'!#REF!</f>
        <v>#REF!</v>
      </c>
      <c r="P40" s="51"/>
      <c r="Q40" s="31"/>
      <c r="R40" s="31"/>
      <c r="S40" s="31"/>
      <c r="T40" s="31"/>
    </row>
    <row r="41" spans="1:20" ht="15" thickBot="1" x14ac:dyDescent="0.4">
      <c r="A41" s="16">
        <v>28</v>
      </c>
      <c r="B41" s="16">
        <f t="shared" si="0"/>
        <v>87498574</v>
      </c>
      <c r="C41" s="16" t="e">
        <f>'Repair Assessment Sheet'!#REF!</f>
        <v>#REF!</v>
      </c>
      <c r="D41" s="16" t="e">
        <f>'Repair Assessment Sheet'!#REF!</f>
        <v>#REF!</v>
      </c>
      <c r="E41" s="16" t="e">
        <f>'Repair Assessment Sheet'!#REF!</f>
        <v>#REF!</v>
      </c>
      <c r="F41" s="16" t="e">
        <f>'Repair Assessment Sheet'!#REF!</f>
        <v>#REF!</v>
      </c>
      <c r="G41" s="632" t="e">
        <f>'Repair Assessment Sheet'!#REF!</f>
        <v>#REF!</v>
      </c>
      <c r="H41" s="633"/>
      <c r="I41" s="634"/>
      <c r="J41" s="16" t="e">
        <f>'Repair Assessment Sheet'!#REF!</f>
        <v>#REF!</v>
      </c>
      <c r="K41" s="16" t="e">
        <f>'Repair Assessment Sheet'!#REF!</f>
        <v>#REF!</v>
      </c>
      <c r="L41" s="16" t="e">
        <f>'Repair Assessment Sheet'!#REF!*200</f>
        <v>#REF!</v>
      </c>
      <c r="M41" s="16" t="e">
        <f>'Repair Assessment Sheet'!#REF!</f>
        <v>#REF!</v>
      </c>
      <c r="N41" s="16" t="e">
        <f>'Repair Assessment Sheet'!#REF!</f>
        <v>#REF!</v>
      </c>
      <c r="O41" s="51" t="e">
        <f>'Repair Assessment Sheet'!#REF!</f>
        <v>#REF!</v>
      </c>
      <c r="P41" s="51"/>
      <c r="Q41" s="31"/>
      <c r="R41" s="31"/>
      <c r="S41" s="31"/>
      <c r="T41" s="31"/>
    </row>
    <row r="42" spans="1:20" ht="15" thickBot="1" x14ac:dyDescent="0.4">
      <c r="A42" s="16">
        <v>29</v>
      </c>
      <c r="B42" s="16">
        <f t="shared" si="0"/>
        <v>87498574</v>
      </c>
      <c r="C42" s="16">
        <f>'Repair Assessment Sheet'!D69</f>
        <v>0</v>
      </c>
      <c r="D42" s="16">
        <f>'Repair Assessment Sheet'!E69</f>
        <v>0</v>
      </c>
      <c r="E42" s="16">
        <f>'Repair Assessment Sheet'!F69</f>
        <v>0</v>
      </c>
      <c r="F42" s="16">
        <f>'Repair Assessment Sheet'!G69</f>
        <v>0</v>
      </c>
      <c r="G42" s="632">
        <f>'Repair Assessment Sheet'!H69</f>
        <v>0</v>
      </c>
      <c r="H42" s="633"/>
      <c r="I42" s="634"/>
      <c r="J42" s="16">
        <f>'Repair Assessment Sheet'!T69</f>
        <v>0</v>
      </c>
      <c r="K42" s="16">
        <f>'Repair Assessment Sheet'!J69</f>
        <v>0</v>
      </c>
      <c r="L42" s="16">
        <f>'Repair Assessment Sheet'!K69*200</f>
        <v>0</v>
      </c>
      <c r="M42" s="16">
        <f>'Repair Assessment Sheet'!Q69</f>
        <v>0</v>
      </c>
      <c r="N42" s="16">
        <f>'Repair Assessment Sheet'!R69</f>
        <v>0</v>
      </c>
      <c r="O42" s="51">
        <f>'Repair Assessment Sheet'!S69</f>
        <v>0</v>
      </c>
      <c r="P42" s="16"/>
      <c r="Q42" s="31"/>
      <c r="R42" s="31"/>
      <c r="S42" s="31"/>
      <c r="T42" s="31"/>
    </row>
    <row r="43" spans="1:20" ht="15" thickBot="1" x14ac:dyDescent="0.4">
      <c r="A43" s="16">
        <v>30</v>
      </c>
      <c r="B43" s="16">
        <f t="shared" si="0"/>
        <v>87498574</v>
      </c>
      <c r="C43" s="16">
        <f>'Repair Assessment Sheet'!D70</f>
        <v>0</v>
      </c>
      <c r="D43" s="16">
        <f>'Repair Assessment Sheet'!E70</f>
        <v>0</v>
      </c>
      <c r="E43" s="16">
        <f>'Repair Assessment Sheet'!F70</f>
        <v>0</v>
      </c>
      <c r="F43" s="16">
        <f>'Repair Assessment Sheet'!G70</f>
        <v>0</v>
      </c>
      <c r="G43" s="632">
        <f>'Repair Assessment Sheet'!H70</f>
        <v>0</v>
      </c>
      <c r="H43" s="633"/>
      <c r="I43" s="634"/>
      <c r="J43" s="16">
        <f>'Repair Assessment Sheet'!T70</f>
        <v>0</v>
      </c>
      <c r="K43" s="16">
        <f>'Repair Assessment Sheet'!J70</f>
        <v>0</v>
      </c>
      <c r="L43" s="16">
        <f>'Repair Assessment Sheet'!K70*200</f>
        <v>0</v>
      </c>
      <c r="M43" s="16">
        <f>'Repair Assessment Sheet'!Q70</f>
        <v>0</v>
      </c>
      <c r="N43" s="16">
        <f>'Repair Assessment Sheet'!R70</f>
        <v>0</v>
      </c>
      <c r="O43" s="51">
        <f>'Repair Assessment Sheet'!S70</f>
        <v>0</v>
      </c>
      <c r="P43" s="16"/>
      <c r="Q43" s="31"/>
      <c r="R43" s="31"/>
      <c r="S43" s="31"/>
      <c r="T43" s="31"/>
    </row>
    <row r="44" spans="1:20" ht="15" thickBot="1" x14ac:dyDescent="0.4">
      <c r="A44" s="16">
        <v>31</v>
      </c>
      <c r="B44" s="16">
        <f t="shared" si="0"/>
        <v>87498574</v>
      </c>
      <c r="C44" s="16">
        <f>'Repair Assessment Sheet'!D71</f>
        <v>0</v>
      </c>
      <c r="D44" s="16">
        <f>'Repair Assessment Sheet'!E71</f>
        <v>0</v>
      </c>
      <c r="E44" s="16">
        <f>'Repair Assessment Sheet'!F71</f>
        <v>0</v>
      </c>
      <c r="F44" s="16">
        <f>'Repair Assessment Sheet'!G71</f>
        <v>0</v>
      </c>
      <c r="G44" s="632">
        <f>'Repair Assessment Sheet'!H71</f>
        <v>0</v>
      </c>
      <c r="H44" s="633"/>
      <c r="I44" s="634"/>
      <c r="J44" s="16">
        <f>'Repair Assessment Sheet'!T71</f>
        <v>0</v>
      </c>
      <c r="K44" s="16">
        <f>'Repair Assessment Sheet'!J71</f>
        <v>0</v>
      </c>
      <c r="L44" s="16">
        <f>'Repair Assessment Sheet'!K71*200</f>
        <v>0</v>
      </c>
      <c r="M44" s="16">
        <f>'Repair Assessment Sheet'!Q71</f>
        <v>0</v>
      </c>
      <c r="N44" s="16">
        <f>'Repair Assessment Sheet'!R71</f>
        <v>0</v>
      </c>
      <c r="O44" s="51">
        <f>'Repair Assessment Sheet'!S71</f>
        <v>0</v>
      </c>
      <c r="P44" s="16"/>
      <c r="Q44" s="31"/>
      <c r="R44" s="31"/>
      <c r="S44" s="31"/>
      <c r="T44" s="31"/>
    </row>
    <row r="45" spans="1:20" ht="15" thickBot="1" x14ac:dyDescent="0.4">
      <c r="A45" s="16">
        <v>32</v>
      </c>
      <c r="B45" s="16">
        <f t="shared" si="0"/>
        <v>87498574</v>
      </c>
      <c r="C45" s="16">
        <f>'Repair Assessment Sheet'!D72</f>
        <v>0</v>
      </c>
      <c r="D45" s="16">
        <f>'Repair Assessment Sheet'!E72</f>
        <v>0</v>
      </c>
      <c r="E45" s="16">
        <f>'Repair Assessment Sheet'!F72</f>
        <v>0</v>
      </c>
      <c r="F45" s="16">
        <f>'Repair Assessment Sheet'!G72</f>
        <v>0</v>
      </c>
      <c r="G45" s="632">
        <f>'Repair Assessment Sheet'!H72</f>
        <v>0</v>
      </c>
      <c r="H45" s="633"/>
      <c r="I45" s="634"/>
      <c r="J45" s="16">
        <f>'Repair Assessment Sheet'!T72</f>
        <v>0</v>
      </c>
      <c r="K45" s="16">
        <f>'Repair Assessment Sheet'!J72</f>
        <v>0</v>
      </c>
      <c r="L45" s="16">
        <f>'Repair Assessment Sheet'!K72*200</f>
        <v>0</v>
      </c>
      <c r="M45" s="16">
        <f>'Repair Assessment Sheet'!Q72</f>
        <v>0</v>
      </c>
      <c r="N45" s="16">
        <f>'Repair Assessment Sheet'!R72</f>
        <v>0</v>
      </c>
      <c r="O45" s="51">
        <f>'Repair Assessment Sheet'!S72</f>
        <v>0</v>
      </c>
      <c r="P45" s="16"/>
      <c r="Q45" s="31"/>
      <c r="R45" s="31"/>
      <c r="S45" s="31"/>
      <c r="T45" s="31"/>
    </row>
    <row r="46" spans="1:20" ht="15" thickBot="1" x14ac:dyDescent="0.4">
      <c r="A46" s="16">
        <v>33</v>
      </c>
      <c r="B46" s="16">
        <f t="shared" si="0"/>
        <v>87498574</v>
      </c>
      <c r="C46" s="16">
        <f>'Repair Assessment Sheet'!D73</f>
        <v>0</v>
      </c>
      <c r="D46" s="16">
        <f>'Repair Assessment Sheet'!E73</f>
        <v>0</v>
      </c>
      <c r="E46" s="16">
        <f>'Repair Assessment Sheet'!F73</f>
        <v>0</v>
      </c>
      <c r="F46" s="16">
        <f>'Repair Assessment Sheet'!G73</f>
        <v>0</v>
      </c>
      <c r="G46" s="632">
        <f>'Repair Assessment Sheet'!H73</f>
        <v>0</v>
      </c>
      <c r="H46" s="633"/>
      <c r="I46" s="634"/>
      <c r="J46" s="16">
        <f>'Repair Assessment Sheet'!T73</f>
        <v>0</v>
      </c>
      <c r="K46" s="16">
        <f>'Repair Assessment Sheet'!J73</f>
        <v>0</v>
      </c>
      <c r="L46" s="16">
        <f>'Repair Assessment Sheet'!K73*200</f>
        <v>0</v>
      </c>
      <c r="M46" s="16">
        <f>'Repair Assessment Sheet'!Q73</f>
        <v>0</v>
      </c>
      <c r="N46" s="16">
        <f>'Repair Assessment Sheet'!R73</f>
        <v>0</v>
      </c>
      <c r="O46" s="51">
        <f>'Repair Assessment Sheet'!S73</f>
        <v>0</v>
      </c>
      <c r="P46" s="16"/>
      <c r="Q46" s="31"/>
      <c r="R46" s="31"/>
      <c r="S46" s="31"/>
      <c r="T46" s="31"/>
    </row>
    <row r="47" spans="1:20" ht="15" thickBot="1" x14ac:dyDescent="0.4">
      <c r="A47" s="16">
        <v>34</v>
      </c>
      <c r="B47" s="16">
        <f t="shared" si="0"/>
        <v>87498574</v>
      </c>
      <c r="C47" s="16">
        <f>'Repair Assessment Sheet'!D74</f>
        <v>0</v>
      </c>
      <c r="D47" s="16" t="str">
        <f>'Repair Assessment Sheet'!E74</f>
        <v>Net Amout in INR</v>
      </c>
      <c r="E47" s="16" t="str">
        <f>'Repair Assessment Sheet'!F74</f>
        <v>SGST AM</v>
      </c>
      <c r="F47" s="16" t="str">
        <f>'Repair Assessment Sheet'!G74</f>
        <v>CGST AM</v>
      </c>
      <c r="G47" s="632" t="str">
        <f>'Repair Assessment Sheet'!H74</f>
        <v xml:space="preserve">Discount </v>
      </c>
      <c r="H47" s="633"/>
      <c r="I47" s="634"/>
      <c r="J47" s="16">
        <f>'Repair Assessment Sheet'!T74</f>
        <v>0</v>
      </c>
      <c r="K47" s="16" t="str">
        <f>'Repair Assessment Sheet'!J74</f>
        <v>Net Payble INR</v>
      </c>
      <c r="L47" s="16">
        <f>'Repair Assessment Sheet'!K74*200</f>
        <v>0</v>
      </c>
      <c r="M47" s="16">
        <f>'Repair Assessment Sheet'!Q74</f>
        <v>0</v>
      </c>
      <c r="N47" s="16">
        <f>'Repair Assessment Sheet'!R74</f>
        <v>0</v>
      </c>
      <c r="O47" s="51">
        <f>'Repair Assessment Sheet'!S74</f>
        <v>0</v>
      </c>
      <c r="P47" s="16"/>
      <c r="Q47" s="31"/>
      <c r="R47" s="31"/>
      <c r="S47" s="31"/>
      <c r="T47" s="31"/>
    </row>
    <row r="48" spans="1:20" ht="15" thickBot="1" x14ac:dyDescent="0.4">
      <c r="A48" s="16">
        <v>35</v>
      </c>
      <c r="B48" s="16">
        <f t="shared" si="0"/>
        <v>87498574</v>
      </c>
      <c r="C48" s="16">
        <f>'Repair Assessment Sheet'!D75</f>
        <v>0</v>
      </c>
      <c r="D48" s="16">
        <f>'Repair Assessment Sheet'!E75</f>
        <v>0</v>
      </c>
      <c r="E48" s="16">
        <f>'Repair Assessment Sheet'!F75</f>
        <v>0</v>
      </c>
      <c r="F48" s="16">
        <f>'Repair Assessment Sheet'!G75</f>
        <v>0</v>
      </c>
      <c r="G48" s="632">
        <f>'Repair Assessment Sheet'!H75</f>
        <v>0</v>
      </c>
      <c r="H48" s="633"/>
      <c r="I48" s="634"/>
      <c r="J48" s="16">
        <f>'Repair Assessment Sheet'!T75</f>
        <v>0</v>
      </c>
      <c r="K48" s="16">
        <f>'Repair Assessment Sheet'!J75</f>
        <v>0</v>
      </c>
      <c r="L48" s="16">
        <f>'Repair Assessment Sheet'!K75*200</f>
        <v>0</v>
      </c>
      <c r="M48" s="16">
        <f>'Repair Assessment Sheet'!Q75</f>
        <v>0</v>
      </c>
      <c r="N48" s="16">
        <f>'Repair Assessment Sheet'!R75</f>
        <v>0</v>
      </c>
      <c r="O48" s="51">
        <f>'Repair Assessment Sheet'!S75</f>
        <v>0</v>
      </c>
      <c r="P48" s="16"/>
      <c r="Q48" s="31"/>
      <c r="R48" s="31"/>
      <c r="S48" s="31"/>
      <c r="T48" s="31"/>
    </row>
    <row r="49" spans="1:20" ht="15" thickBot="1" x14ac:dyDescent="0.4">
      <c r="A49" s="16">
        <v>36</v>
      </c>
      <c r="B49" s="16">
        <f t="shared" si="0"/>
        <v>87498574</v>
      </c>
      <c r="C49" s="16">
        <f>'Repair Assessment Sheet'!D76</f>
        <v>0</v>
      </c>
      <c r="D49" s="16">
        <f>'Repair Assessment Sheet'!E76</f>
        <v>0</v>
      </c>
      <c r="E49" s="16">
        <f>'Repair Assessment Sheet'!F76</f>
        <v>0</v>
      </c>
      <c r="F49" s="16">
        <f>'Repair Assessment Sheet'!G76</f>
        <v>0</v>
      </c>
      <c r="G49" s="632">
        <f>'Repair Assessment Sheet'!H76</f>
        <v>0</v>
      </c>
      <c r="H49" s="633"/>
      <c r="I49" s="634"/>
      <c r="J49" s="16">
        <f>'Repair Assessment Sheet'!T76</f>
        <v>0</v>
      </c>
      <c r="K49" s="16">
        <f>'Repair Assessment Sheet'!J76</f>
        <v>0</v>
      </c>
      <c r="L49" s="16">
        <f>'Repair Assessment Sheet'!K76*200</f>
        <v>0</v>
      </c>
      <c r="M49" s="16">
        <f>'Repair Assessment Sheet'!Q76</f>
        <v>0</v>
      </c>
      <c r="N49" s="16">
        <f>'Repair Assessment Sheet'!R76</f>
        <v>0</v>
      </c>
      <c r="O49" s="51">
        <f>'Repair Assessment Sheet'!S76</f>
        <v>0</v>
      </c>
      <c r="P49" s="16"/>
      <c r="Q49" s="31"/>
      <c r="R49" s="31"/>
      <c r="S49" s="31"/>
      <c r="T49" s="31"/>
    </row>
    <row r="50" spans="1:20" ht="15" thickBot="1" x14ac:dyDescent="0.4">
      <c r="A50" s="16">
        <v>37</v>
      </c>
      <c r="B50" s="16">
        <f t="shared" si="0"/>
        <v>87498574</v>
      </c>
      <c r="C50" s="16">
        <f>'Repair Assessment Sheet'!D77</f>
        <v>0</v>
      </c>
      <c r="D50" s="16">
        <f>'Repair Assessment Sheet'!E77</f>
        <v>0</v>
      </c>
      <c r="E50" s="16">
        <f>'Repair Assessment Sheet'!F77</f>
        <v>0</v>
      </c>
      <c r="F50" s="16">
        <f>'Repair Assessment Sheet'!G77</f>
        <v>0</v>
      </c>
      <c r="G50" s="632">
        <f>'Repair Assessment Sheet'!H77</f>
        <v>0</v>
      </c>
      <c r="H50" s="633"/>
      <c r="I50" s="634"/>
      <c r="J50" s="16">
        <f>'Repair Assessment Sheet'!T77</f>
        <v>0</v>
      </c>
      <c r="K50" s="16">
        <f>'Repair Assessment Sheet'!J77</f>
        <v>0</v>
      </c>
      <c r="L50" s="16">
        <f>'Repair Assessment Sheet'!K77*200</f>
        <v>0</v>
      </c>
      <c r="M50" s="16">
        <f>'Repair Assessment Sheet'!Q77</f>
        <v>0</v>
      </c>
      <c r="N50" s="16">
        <f>'Repair Assessment Sheet'!R77</f>
        <v>0</v>
      </c>
      <c r="O50" s="51">
        <f>'Repair Assessment Sheet'!S77</f>
        <v>0</v>
      </c>
      <c r="P50" s="16"/>
      <c r="Q50" s="31"/>
      <c r="R50" s="31"/>
      <c r="S50" s="31"/>
      <c r="T50" s="31"/>
    </row>
    <row r="51" spans="1:20" ht="15" thickBot="1" x14ac:dyDescent="0.4">
      <c r="A51" s="16">
        <v>38</v>
      </c>
      <c r="B51" s="16">
        <f t="shared" si="0"/>
        <v>87498574</v>
      </c>
      <c r="C51" s="16">
        <f>'Repair Assessment Sheet'!D78</f>
        <v>0</v>
      </c>
      <c r="D51" s="16">
        <f>'Repair Assessment Sheet'!E78</f>
        <v>0</v>
      </c>
      <c r="E51" s="16">
        <f>'Repair Assessment Sheet'!F78</f>
        <v>0</v>
      </c>
      <c r="F51" s="16">
        <f>'Repair Assessment Sheet'!G78</f>
        <v>0</v>
      </c>
      <c r="G51" s="632">
        <f>'Repair Assessment Sheet'!H78</f>
        <v>0</v>
      </c>
      <c r="H51" s="633"/>
      <c r="I51" s="634"/>
      <c r="J51" s="16">
        <f>'Repair Assessment Sheet'!T78</f>
        <v>0</v>
      </c>
      <c r="K51" s="16">
        <f>'Repair Assessment Sheet'!J78</f>
        <v>0</v>
      </c>
      <c r="L51" s="16">
        <f>'Repair Assessment Sheet'!K78*200</f>
        <v>0</v>
      </c>
      <c r="M51" s="16">
        <f>'Repair Assessment Sheet'!Q78</f>
        <v>0</v>
      </c>
      <c r="N51" s="16">
        <f>'Repair Assessment Sheet'!R78</f>
        <v>0</v>
      </c>
      <c r="O51" s="51">
        <f>'Repair Assessment Sheet'!S78</f>
        <v>1000</v>
      </c>
      <c r="P51" s="16"/>
      <c r="Q51" s="31"/>
      <c r="R51" s="31"/>
      <c r="S51" s="31"/>
      <c r="T51" s="31"/>
    </row>
    <row r="52" spans="1:20" ht="15" thickBot="1" x14ac:dyDescent="0.4">
      <c r="A52" s="16">
        <v>39</v>
      </c>
      <c r="B52" s="16">
        <f t="shared" si="0"/>
        <v>87498574</v>
      </c>
      <c r="C52" s="16">
        <f>'Repair Assessment Sheet'!D79</f>
        <v>0</v>
      </c>
      <c r="D52" s="16">
        <f>'Repair Assessment Sheet'!E79</f>
        <v>0</v>
      </c>
      <c r="E52" s="16" t="str">
        <f>'Repair Assessment Sheet'!F79</f>
        <v>SGST IN %</v>
      </c>
      <c r="F52" s="16" t="str">
        <f>'Repair Assessment Sheet'!G79</f>
        <v>CGST  IN %</v>
      </c>
      <c r="G52" s="632">
        <f>'Repair Assessment Sheet'!H79</f>
        <v>0</v>
      </c>
      <c r="H52" s="633"/>
      <c r="I52" s="634"/>
      <c r="J52" s="16">
        <f>'Repair Assessment Sheet'!T79</f>
        <v>0</v>
      </c>
      <c r="K52" s="16">
        <f>'Repair Assessment Sheet'!J79</f>
        <v>0</v>
      </c>
      <c r="L52" s="16">
        <f>'Repair Assessment Sheet'!K79*200</f>
        <v>0</v>
      </c>
      <c r="M52" s="16">
        <f>'Repair Assessment Sheet'!Q79</f>
        <v>0</v>
      </c>
      <c r="N52" s="16">
        <f>'Repair Assessment Sheet'!R79</f>
        <v>0</v>
      </c>
      <c r="O52" s="51">
        <f>'Repair Assessment Sheet'!S79</f>
        <v>0</v>
      </c>
      <c r="P52" s="16"/>
      <c r="Q52" s="31"/>
      <c r="R52" s="31"/>
      <c r="S52" s="31"/>
      <c r="T52" s="31"/>
    </row>
    <row r="53" spans="1:20" ht="15" thickBot="1" x14ac:dyDescent="0.4">
      <c r="A53" s="16">
        <v>40</v>
      </c>
      <c r="B53" s="16">
        <f t="shared" si="0"/>
        <v>87498574</v>
      </c>
      <c r="C53" s="16">
        <f>'Repair Assessment Sheet'!D80</f>
        <v>0</v>
      </c>
      <c r="D53" s="16">
        <f>'Repair Assessment Sheet'!E80</f>
        <v>0</v>
      </c>
      <c r="E53" s="16">
        <f>'Repair Assessment Sheet'!F80</f>
        <v>9</v>
      </c>
      <c r="F53" s="16">
        <f>'Repair Assessment Sheet'!G80</f>
        <v>9</v>
      </c>
      <c r="G53" s="632">
        <f>'Repair Assessment Sheet'!H80</f>
        <v>0</v>
      </c>
      <c r="H53" s="633"/>
      <c r="I53" s="634"/>
      <c r="J53" s="16">
        <f>'Repair Assessment Sheet'!T80</f>
        <v>0</v>
      </c>
      <c r="K53" s="16">
        <f>'Repair Assessment Sheet'!J80</f>
        <v>0</v>
      </c>
      <c r="L53" s="16">
        <f>'Repair Assessment Sheet'!K80*200</f>
        <v>0</v>
      </c>
      <c r="M53" s="16">
        <f>'Repair Assessment Sheet'!Q80</f>
        <v>0</v>
      </c>
      <c r="N53" s="16">
        <f>'Repair Assessment Sheet'!R80</f>
        <v>0</v>
      </c>
      <c r="O53" s="51">
        <f>'Repair Assessment Sheet'!S80</f>
        <v>1000</v>
      </c>
      <c r="P53" s="16"/>
      <c r="Q53" s="31"/>
      <c r="R53" s="31"/>
      <c r="S53" s="31"/>
      <c r="T53" s="31"/>
    </row>
    <row r="54" spans="1:20" ht="15" thickBot="1" x14ac:dyDescent="0.4">
      <c r="A54" s="16">
        <v>41</v>
      </c>
      <c r="B54" s="16">
        <f t="shared" si="0"/>
        <v>87498574</v>
      </c>
      <c r="C54" s="16">
        <f>'Repair Assessment Sheet'!D81</f>
        <v>0</v>
      </c>
      <c r="D54" s="16">
        <f>'Repair Assessment Sheet'!E81</f>
        <v>0</v>
      </c>
      <c r="E54" s="16">
        <f>'Repair Assessment Sheet'!F81</f>
        <v>9</v>
      </c>
      <c r="F54" s="16">
        <f>'Repair Assessment Sheet'!G81</f>
        <v>9</v>
      </c>
      <c r="G54" s="632">
        <f>'Repair Assessment Sheet'!H81</f>
        <v>0</v>
      </c>
      <c r="H54" s="633"/>
      <c r="I54" s="634"/>
      <c r="J54" s="16">
        <f>'Repair Assessment Sheet'!T81</f>
        <v>0</v>
      </c>
      <c r="K54" s="16">
        <f>'Repair Assessment Sheet'!J81</f>
        <v>0</v>
      </c>
      <c r="L54" s="16">
        <f>'Repair Assessment Sheet'!K81*200</f>
        <v>0</v>
      </c>
      <c r="M54" s="16">
        <f>'Repair Assessment Sheet'!Q81</f>
        <v>0</v>
      </c>
      <c r="N54" s="16">
        <f>'Repair Assessment Sheet'!R81</f>
        <v>0</v>
      </c>
      <c r="O54" s="51">
        <f>'Repair Assessment Sheet'!S81</f>
        <v>0</v>
      </c>
      <c r="P54" s="16"/>
      <c r="Q54" s="31"/>
      <c r="R54" s="31"/>
      <c r="S54" s="31"/>
      <c r="T54" s="31"/>
    </row>
    <row r="55" spans="1:20" ht="15" thickBot="1" x14ac:dyDescent="0.4">
      <c r="A55" s="16">
        <v>42</v>
      </c>
      <c r="B55" s="16">
        <f t="shared" si="0"/>
        <v>87498574</v>
      </c>
      <c r="C55" s="16">
        <f>'Repair Assessment Sheet'!D82</f>
        <v>0</v>
      </c>
      <c r="D55" s="16">
        <f>'Repair Assessment Sheet'!E82</f>
        <v>0</v>
      </c>
      <c r="E55" s="16">
        <f>'Repair Assessment Sheet'!F82</f>
        <v>9</v>
      </c>
      <c r="F55" s="16">
        <f>'Repair Assessment Sheet'!G82</f>
        <v>9</v>
      </c>
      <c r="G55" s="632">
        <f>'Repair Assessment Sheet'!H82</f>
        <v>0</v>
      </c>
      <c r="H55" s="633"/>
      <c r="I55" s="634"/>
      <c r="J55" s="16">
        <f>'Repair Assessment Sheet'!T82</f>
        <v>0</v>
      </c>
      <c r="K55" s="16">
        <f>'Repair Assessment Sheet'!J82</f>
        <v>0</v>
      </c>
      <c r="L55" s="16">
        <f>'Repair Assessment Sheet'!K82*200</f>
        <v>0</v>
      </c>
      <c r="M55" s="16">
        <f>'Repair Assessment Sheet'!Q82</f>
        <v>0</v>
      </c>
      <c r="N55" s="16">
        <f>'Repair Assessment Sheet'!R82</f>
        <v>0</v>
      </c>
      <c r="O55" s="51">
        <f>'Repair Assessment Sheet'!S82</f>
        <v>0</v>
      </c>
      <c r="P55" s="16"/>
      <c r="Q55" s="31"/>
      <c r="R55" s="31"/>
      <c r="S55" s="31"/>
      <c r="T55" s="31"/>
    </row>
    <row r="56" spans="1:20" ht="15" thickBot="1" x14ac:dyDescent="0.4">
      <c r="A56" s="16">
        <v>43</v>
      </c>
      <c r="B56" s="16">
        <f t="shared" si="0"/>
        <v>87498574</v>
      </c>
      <c r="C56" s="16">
        <f>'Repair Assessment Sheet'!D83</f>
        <v>0</v>
      </c>
      <c r="D56" s="16">
        <f>'Repair Assessment Sheet'!E83</f>
        <v>0</v>
      </c>
      <c r="E56" s="16">
        <f>'Repair Assessment Sheet'!F83</f>
        <v>9</v>
      </c>
      <c r="F56" s="16">
        <f>'Repair Assessment Sheet'!G83</f>
        <v>9</v>
      </c>
      <c r="G56" s="632">
        <f>'Repair Assessment Sheet'!H83</f>
        <v>0</v>
      </c>
      <c r="H56" s="633"/>
      <c r="I56" s="634"/>
      <c r="J56" s="16">
        <f>'Repair Assessment Sheet'!T83</f>
        <v>0</v>
      </c>
      <c r="K56" s="16">
        <f>'Repair Assessment Sheet'!J83</f>
        <v>0</v>
      </c>
      <c r="L56" s="16">
        <f>'Repair Assessment Sheet'!K83*200</f>
        <v>0</v>
      </c>
      <c r="M56" s="16">
        <f>'Repair Assessment Sheet'!Q83</f>
        <v>0</v>
      </c>
      <c r="N56" s="16">
        <f>'Repair Assessment Sheet'!R83</f>
        <v>0</v>
      </c>
      <c r="O56" s="51">
        <f>'Repair Assessment Sheet'!S83</f>
        <v>-1000</v>
      </c>
      <c r="P56" s="16"/>
      <c r="Q56" s="31"/>
      <c r="R56" s="31"/>
      <c r="S56" s="31"/>
      <c r="T56" s="31"/>
    </row>
    <row r="57" spans="1:20" ht="15" thickBot="1" x14ac:dyDescent="0.4">
      <c r="A57" s="16">
        <v>44</v>
      </c>
      <c r="B57" s="16">
        <f t="shared" si="0"/>
        <v>87498574</v>
      </c>
      <c r="C57" s="16">
        <f>'Repair Assessment Sheet'!D84</f>
        <v>0</v>
      </c>
      <c r="D57" s="16">
        <f>'Repair Assessment Sheet'!E84</f>
        <v>0</v>
      </c>
      <c r="E57" s="16">
        <f>'Repair Assessment Sheet'!F84</f>
        <v>0</v>
      </c>
      <c r="F57" s="16">
        <f>'Repair Assessment Sheet'!G84</f>
        <v>0</v>
      </c>
      <c r="G57" s="632">
        <f>'Repair Assessment Sheet'!H84</f>
        <v>0</v>
      </c>
      <c r="H57" s="633"/>
      <c r="I57" s="634"/>
      <c r="J57" s="16">
        <f>'Repair Assessment Sheet'!T84</f>
        <v>0</v>
      </c>
      <c r="K57" s="16">
        <f>'Repair Assessment Sheet'!J84</f>
        <v>0</v>
      </c>
      <c r="L57" s="16">
        <f>'Repair Assessment Sheet'!K84*200</f>
        <v>0</v>
      </c>
      <c r="M57" s="16">
        <f>'Repair Assessment Sheet'!Q84</f>
        <v>0</v>
      </c>
      <c r="N57" s="16">
        <f>'Repair Assessment Sheet'!R84</f>
        <v>0</v>
      </c>
      <c r="O57" s="51">
        <f>'Repair Assessment Sheet'!S84</f>
        <v>0</v>
      </c>
      <c r="P57" s="16"/>
      <c r="Q57" s="31"/>
      <c r="R57" s="31"/>
      <c r="S57" s="31"/>
      <c r="T57" s="31"/>
    </row>
    <row r="58" spans="1:20" ht="15" thickBot="1" x14ac:dyDescent="0.4">
      <c r="A58" s="16">
        <v>45</v>
      </c>
      <c r="B58" s="16">
        <f t="shared" si="0"/>
        <v>87498574</v>
      </c>
      <c r="C58" s="16">
        <f>'Repair Assessment Sheet'!D85</f>
        <v>0</v>
      </c>
      <c r="D58" s="16">
        <f>'Repair Assessment Sheet'!E85</f>
        <v>0</v>
      </c>
      <c r="E58" s="16">
        <f>'Repair Assessment Sheet'!F85</f>
        <v>0</v>
      </c>
      <c r="F58" s="16">
        <f>'Repair Assessment Sheet'!G85</f>
        <v>0</v>
      </c>
      <c r="G58" s="632">
        <f>'Repair Assessment Sheet'!H85</f>
        <v>0</v>
      </c>
      <c r="H58" s="633"/>
      <c r="I58" s="634"/>
      <c r="J58" s="16">
        <f>'Repair Assessment Sheet'!T85</f>
        <v>0</v>
      </c>
      <c r="K58" s="16">
        <f>'Repair Assessment Sheet'!J85</f>
        <v>0</v>
      </c>
      <c r="L58" s="16">
        <f>'Repair Assessment Sheet'!K85*200</f>
        <v>0</v>
      </c>
      <c r="M58" s="16">
        <f>'Repair Assessment Sheet'!Q85</f>
        <v>0</v>
      </c>
      <c r="N58" s="16">
        <f>'Repair Assessment Sheet'!R85</f>
        <v>0</v>
      </c>
      <c r="O58" s="51">
        <f>'Repair Assessment Sheet'!S85</f>
        <v>0</v>
      </c>
      <c r="P58" s="16"/>
      <c r="Q58" s="31"/>
      <c r="R58" s="31"/>
      <c r="S58" s="31"/>
      <c r="T58" s="31"/>
    </row>
    <row r="59" spans="1:20" ht="15" thickBot="1" x14ac:dyDescent="0.4">
      <c r="A59" s="16">
        <v>46</v>
      </c>
      <c r="B59" s="16">
        <f t="shared" si="0"/>
        <v>87498574</v>
      </c>
      <c r="C59" s="16">
        <f>'Repair Assessment Sheet'!D86</f>
        <v>0</v>
      </c>
      <c r="D59" s="16">
        <f>'Repair Assessment Sheet'!E86</f>
        <v>1000</v>
      </c>
      <c r="E59" s="16">
        <f>'Repair Assessment Sheet'!F86</f>
        <v>0</v>
      </c>
      <c r="F59" s="16">
        <f>'Repair Assessment Sheet'!G86</f>
        <v>0</v>
      </c>
      <c r="G59" s="632">
        <f>'Repair Assessment Sheet'!H86</f>
        <v>0</v>
      </c>
      <c r="H59" s="633"/>
      <c r="I59" s="634"/>
      <c r="J59" s="16">
        <f>'Repair Assessment Sheet'!T86</f>
        <v>0</v>
      </c>
      <c r="K59" s="16">
        <f>'Repair Assessment Sheet'!J86</f>
        <v>0</v>
      </c>
      <c r="L59" s="16">
        <f>'Repair Assessment Sheet'!K86*200</f>
        <v>0</v>
      </c>
      <c r="M59" s="16">
        <f>'Repair Assessment Sheet'!Q86</f>
        <v>0</v>
      </c>
      <c r="N59" s="16">
        <f>'Repair Assessment Sheet'!R86</f>
        <v>0</v>
      </c>
      <c r="O59" s="51">
        <f>'Repair Assessment Sheet'!S86</f>
        <v>-1000</v>
      </c>
      <c r="P59" s="16"/>
      <c r="Q59" s="31"/>
      <c r="R59" s="31"/>
      <c r="S59" s="31"/>
      <c r="T59" s="31"/>
    </row>
    <row r="60" spans="1:20" ht="15" thickBot="1" x14ac:dyDescent="0.4">
      <c r="A60" s="16">
        <v>47</v>
      </c>
      <c r="B60" s="16">
        <f t="shared" si="0"/>
        <v>87498574</v>
      </c>
      <c r="C60" s="16">
        <f>'Repair Assessment Sheet'!D87</f>
        <v>0</v>
      </c>
      <c r="D60" s="16">
        <f>'Repair Assessment Sheet'!E87</f>
        <v>0</v>
      </c>
      <c r="E60" s="16">
        <f>'Repair Assessment Sheet'!F87</f>
        <v>0</v>
      </c>
      <c r="F60" s="16">
        <f>'Repair Assessment Sheet'!G87</f>
        <v>0</v>
      </c>
      <c r="G60" s="632">
        <f>'Repair Assessment Sheet'!H87</f>
        <v>0</v>
      </c>
      <c r="H60" s="633"/>
      <c r="I60" s="634"/>
      <c r="J60" s="16">
        <f>'Repair Assessment Sheet'!T87</f>
        <v>0</v>
      </c>
      <c r="K60" s="16">
        <f>'Repair Assessment Sheet'!J87</f>
        <v>0</v>
      </c>
      <c r="L60" s="16">
        <f>'Repair Assessment Sheet'!K87*200</f>
        <v>0</v>
      </c>
      <c r="M60" s="16">
        <f>'Repair Assessment Sheet'!Q87</f>
        <v>0</v>
      </c>
      <c r="N60" s="16" t="str">
        <f>'Repair Assessment Sheet'!R87</f>
        <v>For office use only</v>
      </c>
      <c r="O60" s="51">
        <f>'Repair Assessment Sheet'!S87</f>
        <v>0</v>
      </c>
      <c r="P60" s="16"/>
      <c r="Q60" s="31"/>
      <c r="R60" s="31"/>
      <c r="S60" s="31"/>
      <c r="T60" s="31"/>
    </row>
    <row r="61" spans="1:20" ht="15" thickBot="1" x14ac:dyDescent="0.4">
      <c r="A61" s="16">
        <v>48</v>
      </c>
      <c r="B61" s="16">
        <f t="shared" si="0"/>
        <v>87498574</v>
      </c>
      <c r="C61" s="16">
        <f>'Repair Assessment Sheet'!D88</f>
        <v>0</v>
      </c>
      <c r="D61" s="16">
        <f>'Repair Assessment Sheet'!E88</f>
        <v>0</v>
      </c>
      <c r="E61" s="16">
        <f>'Repair Assessment Sheet'!F88</f>
        <v>0</v>
      </c>
      <c r="F61" s="16">
        <f>'Repair Assessment Sheet'!G88</f>
        <v>0</v>
      </c>
      <c r="G61" s="632">
        <f>'Repair Assessment Sheet'!H88</f>
        <v>0</v>
      </c>
      <c r="H61" s="633"/>
      <c r="I61" s="634"/>
      <c r="J61" s="16">
        <f>'Repair Assessment Sheet'!T88</f>
        <v>0</v>
      </c>
      <c r="K61" s="16">
        <f>'Repair Assessment Sheet'!J88</f>
        <v>0</v>
      </c>
      <c r="L61" s="16">
        <f>'Repair Assessment Sheet'!K88*200</f>
        <v>0</v>
      </c>
      <c r="M61" s="16" t="str">
        <f>'Repair Assessment Sheet'!Q88</f>
        <v>labour</v>
      </c>
      <c r="N61" s="16">
        <f>'Repair Assessment Sheet'!R88</f>
        <v>0</v>
      </c>
      <c r="O61" s="51">
        <f>'Repair Assessment Sheet'!S88</f>
        <v>0</v>
      </c>
      <c r="P61" s="16"/>
      <c r="Q61" s="31"/>
      <c r="R61" s="31"/>
      <c r="S61" s="31"/>
      <c r="T61" s="31"/>
    </row>
    <row r="62" spans="1:20" ht="15" thickBot="1" x14ac:dyDescent="0.4">
      <c r="A62" s="16">
        <v>49</v>
      </c>
      <c r="B62" s="16">
        <f t="shared" si="0"/>
        <v>87498574</v>
      </c>
      <c r="C62" s="16">
        <f>'Repair Assessment Sheet'!D89</f>
        <v>0</v>
      </c>
      <c r="D62" s="16">
        <f>'Repair Assessment Sheet'!E89</f>
        <v>0</v>
      </c>
      <c r="E62" s="16">
        <f>'Repair Assessment Sheet'!F89</f>
        <v>0</v>
      </c>
      <c r="F62" s="16">
        <f>'Repair Assessment Sheet'!G89</f>
        <v>0</v>
      </c>
      <c r="G62" s="632">
        <f>'Repair Assessment Sheet'!H89</f>
        <v>0</v>
      </c>
      <c r="H62" s="633"/>
      <c r="I62" s="634"/>
      <c r="J62" s="16">
        <f>'Repair Assessment Sheet'!T89</f>
        <v>0</v>
      </c>
      <c r="K62" s="16">
        <f>'Repair Assessment Sheet'!J89</f>
        <v>0</v>
      </c>
      <c r="L62" s="16">
        <f>'Repair Assessment Sheet'!K89*200</f>
        <v>0</v>
      </c>
      <c r="M62" s="16" t="str">
        <f>'Repair Assessment Sheet'!Q89</f>
        <v>Paint</v>
      </c>
      <c r="N62" s="16">
        <f>'Repair Assessment Sheet'!R89</f>
        <v>0</v>
      </c>
      <c r="O62" s="51">
        <f>'Repair Assessment Sheet'!S89</f>
        <v>0</v>
      </c>
      <c r="P62" s="16"/>
      <c r="Q62" s="31"/>
      <c r="R62" s="31"/>
      <c r="S62" s="31"/>
      <c r="T62" s="31"/>
    </row>
    <row r="63" spans="1:20" ht="15" thickBot="1" x14ac:dyDescent="0.4">
      <c r="A63" s="16">
        <v>50</v>
      </c>
      <c r="B63" s="16">
        <f t="shared" si="0"/>
        <v>87498574</v>
      </c>
      <c r="C63" s="16">
        <f>'Repair Assessment Sheet'!D90</f>
        <v>0</v>
      </c>
      <c r="D63" s="16">
        <f>'Repair Assessment Sheet'!E90</f>
        <v>0</v>
      </c>
      <c r="E63" s="16">
        <f>'Repair Assessment Sheet'!F90</f>
        <v>0</v>
      </c>
      <c r="F63" s="16">
        <f>'Repair Assessment Sheet'!G90</f>
        <v>0</v>
      </c>
      <c r="G63" s="632">
        <f>'Repair Assessment Sheet'!H90</f>
        <v>0</v>
      </c>
      <c r="H63" s="633"/>
      <c r="I63" s="634"/>
      <c r="J63" s="16">
        <f>'Repair Assessment Sheet'!T90</f>
        <v>0</v>
      </c>
      <c r="K63" s="16">
        <f>'Repair Assessment Sheet'!J90</f>
        <v>0</v>
      </c>
      <c r="L63" s="16">
        <f>'Repair Assessment Sheet'!K90*200</f>
        <v>0</v>
      </c>
      <c r="M63" s="16" t="str">
        <f>'Repair Assessment Sheet'!Q90</f>
        <v>Parts</v>
      </c>
      <c r="N63" s="16">
        <f>'Repair Assessment Sheet'!R90</f>
        <v>0</v>
      </c>
      <c r="O63" s="51">
        <f>'Repair Assessment Sheet'!S90</f>
        <v>-1000</v>
      </c>
      <c r="P63" s="16"/>
      <c r="Q63" s="31"/>
      <c r="R63" s="31"/>
      <c r="S63" s="31"/>
      <c r="T63" s="31"/>
    </row>
    <row r="64" spans="1:20" ht="15" thickBot="1" x14ac:dyDescent="0.4">
      <c r="A64" s="16">
        <v>51</v>
      </c>
      <c r="B64" s="16">
        <f t="shared" si="0"/>
        <v>87498574</v>
      </c>
      <c r="C64" s="16">
        <f>'Repair Assessment Sheet'!D91</f>
        <v>0</v>
      </c>
      <c r="D64" s="16">
        <f>'Repair Assessment Sheet'!E91</f>
        <v>0</v>
      </c>
      <c r="E64" s="16" t="str">
        <f>'Repair Assessment Sheet'!F91</f>
        <v xml:space="preserve">Payment To </v>
      </c>
      <c r="F64" s="16">
        <f>'Repair Assessment Sheet'!G91</f>
        <v>0</v>
      </c>
      <c r="G64" s="632">
        <f>'Repair Assessment Sheet'!H91</f>
        <v>0</v>
      </c>
      <c r="H64" s="633"/>
      <c r="I64" s="634"/>
      <c r="J64" s="16">
        <f>'Repair Assessment Sheet'!T91</f>
        <v>0</v>
      </c>
      <c r="K64" s="16">
        <f>'Repair Assessment Sheet'!J91</f>
        <v>0</v>
      </c>
      <c r="L64" s="16">
        <f>'Repair Assessment Sheet'!K91*200</f>
        <v>0</v>
      </c>
      <c r="M64" s="16" t="str">
        <f>'Repair Assessment Sheet'!Q91</f>
        <v>Dep. Coverage</v>
      </c>
      <c r="N64" s="16">
        <f>'Repair Assessment Sheet'!R91</f>
        <v>0</v>
      </c>
      <c r="O64" s="51">
        <f>'Repair Assessment Sheet'!S91</f>
        <v>0</v>
      </c>
      <c r="P64" s="16"/>
      <c r="Q64" s="31"/>
      <c r="R64" s="31"/>
      <c r="S64" s="31"/>
      <c r="T64" s="31"/>
    </row>
    <row r="65" spans="1:20" ht="15" thickBot="1" x14ac:dyDescent="0.4">
      <c r="A65" s="16">
        <v>52</v>
      </c>
      <c r="B65" s="16">
        <f t="shared" si="0"/>
        <v>87498574</v>
      </c>
      <c r="C65" s="16">
        <f>'Repair Assessment Sheet'!D92</f>
        <v>0</v>
      </c>
      <c r="D65" s="16">
        <f>'Repair Assessment Sheet'!E92</f>
        <v>0</v>
      </c>
      <c r="E65" s="16">
        <f>'Repair Assessment Sheet'!F92</f>
        <v>0</v>
      </c>
      <c r="F65" s="16">
        <f>'Repair Assessment Sheet'!G92</f>
        <v>0</v>
      </c>
      <c r="G65" s="632">
        <f>'Repair Assessment Sheet'!H92</f>
        <v>0</v>
      </c>
      <c r="H65" s="633"/>
      <c r="I65" s="634"/>
      <c r="J65" s="16">
        <f>'Repair Assessment Sheet'!T92</f>
        <v>0</v>
      </c>
      <c r="K65" s="16">
        <f>'Repair Assessment Sheet'!J92</f>
        <v>0</v>
      </c>
      <c r="L65" s="16">
        <f>'Repair Assessment Sheet'!K92*200</f>
        <v>0</v>
      </c>
      <c r="M65" s="16" t="str">
        <f>'Repair Assessment Sheet'!Q92</f>
        <v>Consumables Coverage</v>
      </c>
      <c r="N65" s="16">
        <f>'Repair Assessment Sheet'!R92</f>
        <v>0</v>
      </c>
      <c r="O65" s="51">
        <f>'Repair Assessment Sheet'!S92</f>
        <v>0</v>
      </c>
      <c r="P65" s="16"/>
      <c r="Q65" s="31"/>
      <c r="R65" s="31"/>
      <c r="S65" s="31"/>
      <c r="T65" s="31"/>
    </row>
    <row r="66" spans="1:20" ht="15" thickBot="1" x14ac:dyDescent="0.4">
      <c r="A66" s="16">
        <v>53</v>
      </c>
      <c r="B66" s="16">
        <f t="shared" si="0"/>
        <v>87498574</v>
      </c>
      <c r="C66" s="16">
        <f>'Repair Assessment Sheet'!D93</f>
        <v>0</v>
      </c>
      <c r="D66" s="16">
        <f>'Repair Assessment Sheet'!E93</f>
        <v>0</v>
      </c>
      <c r="E66" s="16">
        <f>'Repair Assessment Sheet'!F93</f>
        <v>0</v>
      </c>
      <c r="F66" s="16">
        <f>'Repair Assessment Sheet'!G93</f>
        <v>0</v>
      </c>
      <c r="G66" s="632">
        <f>'Repair Assessment Sheet'!H93</f>
        <v>0</v>
      </c>
      <c r="H66" s="633"/>
      <c r="I66" s="634"/>
      <c r="J66" s="16">
        <f>'Repair Assessment Sheet'!T93</f>
        <v>0</v>
      </c>
      <c r="K66" s="16">
        <f>'Repair Assessment Sheet'!J93</f>
        <v>0</v>
      </c>
      <c r="L66" s="16">
        <f>'Repair Assessment Sheet'!K93*200</f>
        <v>0</v>
      </c>
      <c r="M66" s="16">
        <f>'Repair Assessment Sheet'!Q93</f>
        <v>0</v>
      </c>
      <c r="N66" s="16" t="str">
        <f>'Repair Assessment Sheet'!R93</f>
        <v>Total</v>
      </c>
      <c r="O66" s="51">
        <f>'Repair Assessment Sheet'!S93</f>
        <v>-1000</v>
      </c>
      <c r="P66" s="16"/>
      <c r="Q66" s="31"/>
      <c r="R66" s="31"/>
      <c r="S66" s="31"/>
      <c r="T66" s="31"/>
    </row>
    <row r="67" spans="1:20" ht="15" thickBot="1" x14ac:dyDescent="0.4">
      <c r="A67" s="16">
        <v>54</v>
      </c>
      <c r="B67" s="16">
        <f t="shared" si="0"/>
        <v>87498574</v>
      </c>
      <c r="C67" s="16">
        <f>'Repair Assessment Sheet'!D94</f>
        <v>0</v>
      </c>
      <c r="D67" s="16">
        <f>'Repair Assessment Sheet'!E94</f>
        <v>0</v>
      </c>
      <c r="E67" s="16" t="str">
        <f>'Repair Assessment Sheet'!F94</f>
        <v>ALL METAL PARTS</v>
      </c>
      <c r="F67" s="16">
        <f>'Repair Assessment Sheet'!G94</f>
        <v>0</v>
      </c>
      <c r="G67" s="632">
        <f>'Repair Assessment Sheet'!H94</f>
        <v>0</v>
      </c>
      <c r="H67" s="633"/>
      <c r="I67" s="634"/>
      <c r="J67" s="16">
        <f>'Repair Assessment Sheet'!T94</f>
        <v>0</v>
      </c>
      <c r="K67" s="16" t="str">
        <f>'Repair Assessment Sheet'!J94</f>
        <v>Claim Approved by</v>
      </c>
      <c r="L67" s="16">
        <f>'Repair Assessment Sheet'!K94*200</f>
        <v>0</v>
      </c>
      <c r="M67" s="16">
        <f>'Repair Assessment Sheet'!Q94</f>
        <v>0</v>
      </c>
      <c r="N67" s="16">
        <f>'Repair Assessment Sheet'!R94</f>
        <v>0</v>
      </c>
      <c r="O67" s="51">
        <f>'Repair Assessment Sheet'!S94</f>
        <v>0</v>
      </c>
      <c r="P67" s="16"/>
      <c r="Q67" s="31"/>
      <c r="R67" s="31"/>
      <c r="S67" s="31"/>
      <c r="T67" s="31"/>
    </row>
    <row r="68" spans="1:20" ht="15" thickBot="1" x14ac:dyDescent="0.4">
      <c r="A68" s="16">
        <v>55</v>
      </c>
      <c r="B68" s="16">
        <f t="shared" si="0"/>
        <v>87498574</v>
      </c>
      <c r="C68" s="16">
        <f>'Repair Assessment Sheet'!D95</f>
        <v>0</v>
      </c>
      <c r="D68" s="16">
        <f>'Repair Assessment Sheet'!E95</f>
        <v>0</v>
      </c>
      <c r="E68" s="16" t="str">
        <f>'Repair Assessment Sheet'!F95</f>
        <v>ALL GLSS PARTS</v>
      </c>
      <c r="F68" s="16">
        <f>'Repair Assessment Sheet'!G95</f>
        <v>0</v>
      </c>
      <c r="G68" s="632">
        <f>'Repair Assessment Sheet'!H95</f>
        <v>0</v>
      </c>
      <c r="H68" s="633"/>
      <c r="I68" s="634"/>
      <c r="J68" s="16">
        <f>'Repair Assessment Sheet'!T95</f>
        <v>0</v>
      </c>
      <c r="K68" s="16">
        <f>'Repair Assessment Sheet'!J95</f>
        <v>0</v>
      </c>
      <c r="L68" s="16">
        <f>'Repair Assessment Sheet'!K95*200</f>
        <v>0</v>
      </c>
      <c r="M68" s="16">
        <f>'Repair Assessment Sheet'!Q95</f>
        <v>0</v>
      </c>
      <c r="N68" s="16">
        <f>'Repair Assessment Sheet'!R95</f>
        <v>0</v>
      </c>
      <c r="O68" s="51">
        <f>'Repair Assessment Sheet'!S95</f>
        <v>0</v>
      </c>
      <c r="P68" s="16"/>
      <c r="Q68" s="31"/>
      <c r="R68" s="31"/>
      <c r="S68" s="31"/>
      <c r="T68" s="31"/>
    </row>
    <row r="69" spans="1:20" ht="15" thickBot="1" x14ac:dyDescent="0.4">
      <c r="A69" s="16">
        <v>56</v>
      </c>
      <c r="B69" s="16">
        <f t="shared" si="0"/>
        <v>87498574</v>
      </c>
      <c r="C69" s="16">
        <f>'Repair Assessment Sheet'!D96</f>
        <v>0</v>
      </c>
      <c r="D69" s="16">
        <f>'Repair Assessment Sheet'!E96</f>
        <v>0</v>
      </c>
      <c r="E69" s="16" t="str">
        <f>'Repair Assessment Sheet'!F96</f>
        <v>ALLPLASTIC PARTS</v>
      </c>
      <c r="F69" s="16">
        <f>'Repair Assessment Sheet'!G96</f>
        <v>0</v>
      </c>
      <c r="G69" s="632">
        <f>'Repair Assessment Sheet'!H96</f>
        <v>0</v>
      </c>
      <c r="H69" s="633"/>
      <c r="I69" s="634"/>
      <c r="J69" s="16">
        <f>'Repair Assessment Sheet'!T96</f>
        <v>0</v>
      </c>
      <c r="K69" s="16">
        <f>'Repair Assessment Sheet'!J96</f>
        <v>0</v>
      </c>
      <c r="L69" s="16">
        <f>'Repair Assessment Sheet'!K96*200</f>
        <v>0</v>
      </c>
      <c r="M69" s="16">
        <f>'Repair Assessment Sheet'!Q96</f>
        <v>0</v>
      </c>
      <c r="N69" s="16">
        <f>'Repair Assessment Sheet'!R96</f>
        <v>0</v>
      </c>
      <c r="O69" s="51">
        <f>'Repair Assessment Sheet'!S96</f>
        <v>0</v>
      </c>
      <c r="P69" s="16"/>
      <c r="Q69" s="31"/>
      <c r="R69" s="31"/>
      <c r="S69" s="31"/>
      <c r="T69" s="31"/>
    </row>
    <row r="70" spans="1:20" ht="15" thickBot="1" x14ac:dyDescent="0.4">
      <c r="A70" s="16">
        <v>57</v>
      </c>
      <c r="B70" s="16">
        <f t="shared" si="0"/>
        <v>87498574</v>
      </c>
      <c r="C70" s="16">
        <f>'Repair Assessment Sheet'!D97</f>
        <v>0</v>
      </c>
      <c r="D70" s="16">
        <f>'Repair Assessment Sheet'!E97</f>
        <v>0</v>
      </c>
      <c r="E70" s="16" t="str">
        <f>'Repair Assessment Sheet'!F97</f>
        <v>ALL CONS PARTS</v>
      </c>
      <c r="F70" s="16">
        <f>'Repair Assessment Sheet'!G97</f>
        <v>0</v>
      </c>
      <c r="G70" s="632">
        <f>'Repair Assessment Sheet'!H97</f>
        <v>0</v>
      </c>
      <c r="H70" s="633"/>
      <c r="I70" s="634"/>
      <c r="J70" s="16">
        <f>'Repair Assessment Sheet'!T97</f>
        <v>0</v>
      </c>
      <c r="K70" s="16">
        <f>'Repair Assessment Sheet'!J97</f>
        <v>0</v>
      </c>
      <c r="L70" s="16">
        <f>'Repair Assessment Sheet'!K97*200</f>
        <v>0</v>
      </c>
      <c r="M70" s="16">
        <f>'Repair Assessment Sheet'!Q97</f>
        <v>0</v>
      </c>
      <c r="N70" s="16">
        <f>'Repair Assessment Sheet'!R97</f>
        <v>0</v>
      </c>
      <c r="O70" s="51">
        <f>'Repair Assessment Sheet'!S97</f>
        <v>0</v>
      </c>
      <c r="P70" s="16"/>
      <c r="Q70" s="31"/>
      <c r="R70" s="31"/>
      <c r="S70" s="31"/>
      <c r="T70" s="31"/>
    </row>
    <row r="71" spans="1:20" ht="15" thickBot="1" x14ac:dyDescent="0.4">
      <c r="A71" s="16">
        <v>58</v>
      </c>
      <c r="B71" s="16">
        <f t="shared" si="0"/>
        <v>87498574</v>
      </c>
      <c r="C71" s="16">
        <f>'Repair Assessment Sheet'!D98</f>
        <v>0</v>
      </c>
      <c r="D71" s="16">
        <f>'Repair Assessment Sheet'!E98</f>
        <v>0</v>
      </c>
      <c r="E71" s="16">
        <f>'Repair Assessment Sheet'!F98</f>
        <v>0</v>
      </c>
      <c r="F71" s="16">
        <f>'Repair Assessment Sheet'!G98</f>
        <v>0</v>
      </c>
      <c r="G71" s="632">
        <f>'Repair Assessment Sheet'!H98</f>
        <v>0</v>
      </c>
      <c r="H71" s="633"/>
      <c r="I71" s="634"/>
      <c r="J71" s="16">
        <f>'Repair Assessment Sheet'!T98</f>
        <v>0</v>
      </c>
      <c r="K71" s="16">
        <f>'Repair Assessment Sheet'!J98</f>
        <v>0</v>
      </c>
      <c r="L71" s="16">
        <f>'Repair Assessment Sheet'!K98*200</f>
        <v>0</v>
      </c>
      <c r="M71" s="16">
        <f>'Repair Assessment Sheet'!Q98</f>
        <v>0</v>
      </c>
      <c r="N71" s="16">
        <f>'Repair Assessment Sheet'!R98</f>
        <v>0</v>
      </c>
      <c r="O71" s="51">
        <f>'Repair Assessment Sheet'!S98</f>
        <v>0</v>
      </c>
      <c r="P71" s="16"/>
      <c r="Q71" s="31"/>
      <c r="R71" s="31"/>
      <c r="S71" s="31"/>
      <c r="T71" s="31"/>
    </row>
    <row r="72" spans="1:20" ht="15" thickBot="1" x14ac:dyDescent="0.4">
      <c r="A72" s="16">
        <v>59</v>
      </c>
      <c r="B72" s="16">
        <f t="shared" si="0"/>
        <v>87498574</v>
      </c>
      <c r="C72" s="16">
        <f>'Repair Assessment Sheet'!D99</f>
        <v>0</v>
      </c>
      <c r="D72" s="16">
        <f>'Repair Assessment Sheet'!E99</f>
        <v>0</v>
      </c>
      <c r="E72" s="16">
        <f>'Repair Assessment Sheet'!F99</f>
        <v>0</v>
      </c>
      <c r="F72" s="16">
        <f>'Repair Assessment Sheet'!G99</f>
        <v>0</v>
      </c>
      <c r="G72" s="632">
        <f>'Repair Assessment Sheet'!H99</f>
        <v>0</v>
      </c>
      <c r="H72" s="633"/>
      <c r="I72" s="634"/>
      <c r="J72" s="16">
        <f>'Repair Assessment Sheet'!T99</f>
        <v>0</v>
      </c>
      <c r="K72" s="16">
        <f>'Repair Assessment Sheet'!J99</f>
        <v>0</v>
      </c>
      <c r="L72" s="16">
        <f>'Repair Assessment Sheet'!K99*200</f>
        <v>0</v>
      </c>
      <c r="M72" s="16">
        <f>'Repair Assessment Sheet'!Q99</f>
        <v>0</v>
      </c>
      <c r="N72" s="16">
        <f>'Repair Assessment Sheet'!R99</f>
        <v>0</v>
      </c>
      <c r="O72" s="51">
        <f>'Repair Assessment Sheet'!S99</f>
        <v>0</v>
      </c>
      <c r="P72" s="16"/>
      <c r="Q72" s="31"/>
      <c r="R72" s="31"/>
      <c r="S72" s="31"/>
      <c r="T72" s="31"/>
    </row>
    <row r="73" spans="1:20" ht="15" thickBot="1" x14ac:dyDescent="0.4">
      <c r="A73" s="16">
        <v>60</v>
      </c>
      <c r="B73" s="16">
        <f t="shared" si="0"/>
        <v>87498574</v>
      </c>
      <c r="C73" s="16">
        <f>'Repair Assessment Sheet'!D100</f>
        <v>0</v>
      </c>
      <c r="D73" s="16">
        <f>'Repair Assessment Sheet'!E100</f>
        <v>0</v>
      </c>
      <c r="E73" s="16">
        <f>'Repair Assessment Sheet'!F100</f>
        <v>0</v>
      </c>
      <c r="F73" s="16">
        <f>'Repair Assessment Sheet'!G100</f>
        <v>0</v>
      </c>
      <c r="G73" s="632">
        <f>'Repair Assessment Sheet'!H100</f>
        <v>0</v>
      </c>
      <c r="H73" s="633"/>
      <c r="I73" s="634"/>
      <c r="J73" s="16">
        <f>'Repair Assessment Sheet'!T100</f>
        <v>0</v>
      </c>
      <c r="K73" s="16">
        <f>'Repair Assessment Sheet'!J100</f>
        <v>0</v>
      </c>
      <c r="L73" s="16">
        <f>'Repair Assessment Sheet'!K100*200</f>
        <v>0</v>
      </c>
      <c r="M73" s="16">
        <f>'Repair Assessment Sheet'!Q100</f>
        <v>0</v>
      </c>
      <c r="N73" s="16">
        <f>'Repair Assessment Sheet'!R100</f>
        <v>0</v>
      </c>
      <c r="O73" s="51">
        <f>'Repair Assessment Sheet'!S100</f>
        <v>0</v>
      </c>
      <c r="P73" s="16"/>
      <c r="Q73" s="31"/>
      <c r="R73" s="31"/>
      <c r="S73" s="31"/>
      <c r="T73" s="31"/>
    </row>
    <row r="74" spans="1:20" ht="15" thickBot="1" x14ac:dyDescent="0.4">
      <c r="A74" s="16">
        <v>61</v>
      </c>
      <c r="B74" s="16">
        <f t="shared" si="0"/>
        <v>87498574</v>
      </c>
      <c r="C74" s="16">
        <f>'Repair Assessment Sheet'!D101</f>
        <v>0</v>
      </c>
      <c r="D74" s="16">
        <f>'Repair Assessment Sheet'!E101</f>
        <v>0</v>
      </c>
      <c r="E74" s="16">
        <f>'Repair Assessment Sheet'!F101</f>
        <v>0</v>
      </c>
      <c r="F74" s="16">
        <f>'Repair Assessment Sheet'!G101</f>
        <v>0</v>
      </c>
      <c r="G74" s="632">
        <f>'Repair Assessment Sheet'!H101</f>
        <v>0</v>
      </c>
      <c r="H74" s="633"/>
      <c r="I74" s="634"/>
      <c r="J74" s="16">
        <f>'Repair Assessment Sheet'!T101</f>
        <v>0</v>
      </c>
      <c r="K74" s="16">
        <f>'Repair Assessment Sheet'!J101</f>
        <v>0</v>
      </c>
      <c r="L74" s="16">
        <f>'Repair Assessment Sheet'!K101*200</f>
        <v>0</v>
      </c>
      <c r="M74" s="16">
        <f>'Repair Assessment Sheet'!Q101</f>
        <v>0</v>
      </c>
      <c r="N74" s="16">
        <f>'Repair Assessment Sheet'!R101</f>
        <v>0</v>
      </c>
      <c r="O74" s="51">
        <f>'Repair Assessment Sheet'!S101</f>
        <v>0</v>
      </c>
      <c r="P74" s="16"/>
      <c r="Q74" s="31"/>
      <c r="R74" s="31"/>
      <c r="S74" s="31"/>
      <c r="T74" s="31"/>
    </row>
    <row r="75" spans="1:20" ht="15" thickBot="1" x14ac:dyDescent="0.4">
      <c r="A75" s="16">
        <v>62</v>
      </c>
      <c r="B75" s="16">
        <f t="shared" si="0"/>
        <v>87498574</v>
      </c>
      <c r="C75" s="16">
        <f>'Repair Assessment Sheet'!D102</f>
        <v>0</v>
      </c>
      <c r="D75" s="16" t="str">
        <f>'Repair Assessment Sheet'!E102</f>
        <v xml:space="preserve">Tax </v>
      </c>
      <c r="E75" s="16">
        <f>'Repair Assessment Sheet'!F102</f>
        <v>0</v>
      </c>
      <c r="F75" s="16">
        <f>'Repair Assessment Sheet'!G102</f>
        <v>0</v>
      </c>
      <c r="G75" s="632">
        <f>'Repair Assessment Sheet'!H102</f>
        <v>0</v>
      </c>
      <c r="H75" s="633"/>
      <c r="I75" s="634"/>
      <c r="J75" s="16">
        <f>'Repair Assessment Sheet'!T102</f>
        <v>0</v>
      </c>
      <c r="K75" s="16">
        <f>'Repair Assessment Sheet'!J102</f>
        <v>0</v>
      </c>
      <c r="L75" s="16">
        <f>'Repair Assessment Sheet'!K102*200</f>
        <v>0</v>
      </c>
      <c r="M75" s="16">
        <f>'Repair Assessment Sheet'!Q102</f>
        <v>0</v>
      </c>
      <c r="N75" s="16">
        <f>'Repair Assessment Sheet'!R102</f>
        <v>843960.1</v>
      </c>
      <c r="O75" s="51">
        <f>'Repair Assessment Sheet'!S102</f>
        <v>852444.57</v>
      </c>
      <c r="P75" s="16"/>
      <c r="Q75" s="31"/>
      <c r="R75" s="31"/>
      <c r="S75" s="31"/>
      <c r="T75" s="31"/>
    </row>
    <row r="76" spans="1:20" ht="15" thickBot="1" x14ac:dyDescent="0.4">
      <c r="A76" s="16">
        <v>63</v>
      </c>
      <c r="B76" s="16">
        <f t="shared" si="0"/>
        <v>87498574</v>
      </c>
      <c r="C76" s="16">
        <f>'Repair Assessment Sheet'!D103</f>
        <v>0</v>
      </c>
      <c r="D76" s="16" t="str">
        <f>'Repair Assessment Sheet'!E103</f>
        <v xml:space="preserve">Original RC and DL </v>
      </c>
      <c r="E76" s="16">
        <f>'Repair Assessment Sheet'!F103</f>
        <v>0</v>
      </c>
      <c r="F76" s="16" t="str">
        <f>'Repair Assessment Sheet'!G103</f>
        <v xml:space="preserve">YES </v>
      </c>
      <c r="G76" s="632">
        <f>'Repair Assessment Sheet'!H103</f>
        <v>0</v>
      </c>
      <c r="H76" s="633"/>
      <c r="I76" s="634"/>
      <c r="J76" s="16">
        <f>'Repair Assessment Sheet'!T103</f>
        <v>0</v>
      </c>
      <c r="K76" s="16">
        <f>'Repair Assessment Sheet'!J103</f>
        <v>0</v>
      </c>
      <c r="L76" s="16">
        <f>'Repair Assessment Sheet'!K103*200</f>
        <v>0</v>
      </c>
      <c r="M76" s="16">
        <f>'Repair Assessment Sheet'!Q103</f>
        <v>0</v>
      </c>
      <c r="N76" s="16">
        <f>'Repair Assessment Sheet'!R103</f>
        <v>1000</v>
      </c>
      <c r="O76" s="51">
        <f>'Repair Assessment Sheet'!S103</f>
        <v>2000</v>
      </c>
      <c r="P76" s="16"/>
      <c r="Q76" s="31"/>
      <c r="R76" s="31"/>
      <c r="S76" s="31"/>
      <c r="T76" s="31"/>
    </row>
    <row r="77" spans="1:20" ht="15" thickBot="1" x14ac:dyDescent="0.4">
      <c r="A77" s="16">
        <v>64</v>
      </c>
      <c r="B77" s="16">
        <f t="shared" si="0"/>
        <v>87498574</v>
      </c>
      <c r="C77" s="16">
        <f>'Repair Assessment Sheet'!D104</f>
        <v>0</v>
      </c>
      <c r="D77" s="16" t="str">
        <f>'Repair Assessment Sheet'!E104</f>
        <v xml:space="preserve">UR and RI </v>
      </c>
      <c r="E77" s="16">
        <f>'Repair Assessment Sheet'!F104</f>
        <v>0</v>
      </c>
      <c r="F77" s="16" t="str">
        <f>'Repair Assessment Sheet'!G104</f>
        <v xml:space="preserve">YES </v>
      </c>
      <c r="G77" s="632">
        <f>'Repair Assessment Sheet'!H104</f>
        <v>0</v>
      </c>
      <c r="H77" s="633"/>
      <c r="I77" s="634"/>
      <c r="J77" s="16">
        <f>'Repair Assessment Sheet'!T104</f>
        <v>0</v>
      </c>
      <c r="K77" s="16">
        <f>'Repair Assessment Sheet'!J104</f>
        <v>0</v>
      </c>
      <c r="L77" s="16">
        <f>'Repair Assessment Sheet'!K104*200</f>
        <v>0</v>
      </c>
      <c r="M77" s="16">
        <f>'Repair Assessment Sheet'!Q104</f>
        <v>0</v>
      </c>
      <c r="N77" s="16">
        <f>'Repair Assessment Sheet'!R104</f>
        <v>1445.02</v>
      </c>
      <c r="O77" s="51">
        <f>'Repair Assessment Sheet'!S104</f>
        <v>0</v>
      </c>
      <c r="P77" s="16"/>
      <c r="Q77" s="31"/>
      <c r="R77" s="31"/>
      <c r="S77" s="31"/>
      <c r="T77" s="31"/>
    </row>
    <row r="78" spans="1:20" ht="15" thickBot="1" x14ac:dyDescent="0.4">
      <c r="A78" s="16">
        <v>65</v>
      </c>
      <c r="B78" s="16">
        <f t="shared" si="0"/>
        <v>87498574</v>
      </c>
      <c r="C78" s="16">
        <f>'Repair Assessment Sheet'!D105</f>
        <v>0</v>
      </c>
      <c r="D78" s="16" t="str">
        <f>'Repair Assessment Sheet'!E105</f>
        <v>Damage Parts Photo</v>
      </c>
      <c r="E78" s="16">
        <f>'Repair Assessment Sheet'!F105</f>
        <v>0</v>
      </c>
      <c r="F78" s="16" t="str">
        <f>'Repair Assessment Sheet'!G105</f>
        <v xml:space="preserve">YES </v>
      </c>
      <c r="G78" s="632">
        <f>'Repair Assessment Sheet'!H105</f>
        <v>0</v>
      </c>
      <c r="H78" s="633"/>
      <c r="I78" s="634"/>
      <c r="J78" s="16">
        <f>'Repair Assessment Sheet'!T105</f>
        <v>0</v>
      </c>
      <c r="K78" s="16">
        <f>'Repair Assessment Sheet'!J105</f>
        <v>0</v>
      </c>
      <c r="L78" s="16">
        <f>'Repair Assessment Sheet'!K105*200</f>
        <v>0</v>
      </c>
      <c r="M78" s="16">
        <f>'Repair Assessment Sheet'!Q105</f>
        <v>0</v>
      </c>
      <c r="N78" s="16">
        <f>'Repair Assessment Sheet'!R105</f>
        <v>7452.6900000000005</v>
      </c>
      <c r="O78" s="51">
        <f>'Repair Assessment Sheet'!S105</f>
        <v>0</v>
      </c>
      <c r="P78" s="16"/>
      <c r="Q78" s="31"/>
      <c r="R78" s="31"/>
      <c r="S78" s="31"/>
      <c r="T78" s="31"/>
    </row>
    <row r="79" spans="1:20" ht="15" thickBot="1" x14ac:dyDescent="0.4">
      <c r="A79" s="16">
        <v>66</v>
      </c>
      <c r="B79" s="16">
        <f t="shared" ref="B79:B98" si="1">$E$3</f>
        <v>87498574</v>
      </c>
      <c r="C79" s="16">
        <f>'Repair Assessment Sheet'!D106</f>
        <v>0</v>
      </c>
      <c r="D79" s="16" t="str">
        <f>'Repair Assessment Sheet'!E106</f>
        <v xml:space="preserve">Excess Clause </v>
      </c>
      <c r="E79" s="16">
        <f>'Repair Assessment Sheet'!F106</f>
        <v>0</v>
      </c>
      <c r="F79" s="16" t="str">
        <f>'Repair Assessment Sheet'!G106</f>
        <v xml:space="preserve">YES </v>
      </c>
      <c r="G79" s="632">
        <f>'Repair Assessment Sheet'!H106</f>
        <v>0</v>
      </c>
      <c r="H79" s="633"/>
      <c r="I79" s="634"/>
      <c r="J79" s="16">
        <f>'Repair Assessment Sheet'!T106</f>
        <v>0</v>
      </c>
      <c r="K79" s="16">
        <f>'Repair Assessment Sheet'!J106</f>
        <v>0</v>
      </c>
      <c r="L79" s="16">
        <f>'Repair Assessment Sheet'!K106*200</f>
        <v>0</v>
      </c>
      <c r="M79" s="16">
        <f>'Repair Assessment Sheet'!Q106</f>
        <v>0</v>
      </c>
      <c r="N79" s="16">
        <f>'Repair Assessment Sheet'!R106</f>
        <v>2086.7532000000006</v>
      </c>
      <c r="O79" s="51">
        <f>'Repair Assessment Sheet'!S106</f>
        <v>0</v>
      </c>
      <c r="P79" s="16"/>
      <c r="Q79" s="31"/>
      <c r="R79" s="31"/>
      <c r="S79" s="31"/>
      <c r="T79" s="31"/>
    </row>
    <row r="80" spans="1:20" ht="15" thickBot="1" x14ac:dyDescent="0.4">
      <c r="A80" s="16">
        <v>67</v>
      </c>
      <c r="B80" s="16">
        <f t="shared" si="1"/>
        <v>87498574</v>
      </c>
      <c r="C80" s="16">
        <f>'Repair Assessment Sheet'!D107</f>
        <v>0</v>
      </c>
      <c r="D80" s="16" t="str">
        <f>'Repair Assessment Sheet'!E107</f>
        <v xml:space="preserve">Without Paint Change </v>
      </c>
      <c r="E80" s="16">
        <f>'Repair Assessment Sheet'!F107</f>
        <v>0</v>
      </c>
      <c r="F80" s="16" t="str">
        <f>'Repair Assessment Sheet'!G107</f>
        <v xml:space="preserve">YES </v>
      </c>
      <c r="G80" s="632">
        <f>'Repair Assessment Sheet'!H107</f>
        <v>0</v>
      </c>
      <c r="H80" s="633"/>
      <c r="I80" s="634"/>
      <c r="J80" s="16">
        <f>'Repair Assessment Sheet'!T107</f>
        <v>0</v>
      </c>
      <c r="K80" s="16">
        <f>'Repair Assessment Sheet'!J107</f>
        <v>0</v>
      </c>
      <c r="L80" s="16">
        <f>'Repair Assessment Sheet'!K107*200</f>
        <v>0</v>
      </c>
      <c r="M80" s="16">
        <f>'Repair Assessment Sheet'!Q107</f>
        <v>0</v>
      </c>
      <c r="N80" s="16">
        <f>'Repair Assessment Sheet'!R107</f>
        <v>0</v>
      </c>
      <c r="O80" s="51">
        <f>'Repair Assessment Sheet'!S107</f>
        <v>0</v>
      </c>
      <c r="P80" s="16"/>
      <c r="Q80" s="31"/>
      <c r="R80" s="31"/>
      <c r="S80" s="31"/>
      <c r="T80" s="31"/>
    </row>
    <row r="81" spans="1:20" ht="15" thickBot="1" x14ac:dyDescent="0.4">
      <c r="A81" s="16">
        <v>68</v>
      </c>
      <c r="B81" s="16">
        <f t="shared" si="1"/>
        <v>87498574</v>
      </c>
      <c r="C81" s="16">
        <f>'Repair Assessment Sheet'!D108</f>
        <v>0</v>
      </c>
      <c r="D81" s="16">
        <f>'Repair Assessment Sheet'!E108</f>
        <v>0</v>
      </c>
      <c r="E81" s="16">
        <f>'Repair Assessment Sheet'!F108</f>
        <v>0</v>
      </c>
      <c r="F81" s="16">
        <f>'Repair Assessment Sheet'!G108</f>
        <v>0</v>
      </c>
      <c r="G81" s="632">
        <f>'Repair Assessment Sheet'!H108</f>
        <v>0</v>
      </c>
      <c r="H81" s="633"/>
      <c r="I81" s="634"/>
      <c r="J81" s="16">
        <f>'Repair Assessment Sheet'!T108</f>
        <v>0</v>
      </c>
      <c r="K81" s="16">
        <f>'Repair Assessment Sheet'!J108</f>
        <v>0</v>
      </c>
      <c r="L81" s="16">
        <f>'Repair Assessment Sheet'!K108*200</f>
        <v>0</v>
      </c>
      <c r="M81" s="16">
        <f>'Repair Assessment Sheet'!Q108</f>
        <v>0</v>
      </c>
      <c r="N81" s="16">
        <f>'Repair Assessment Sheet'!R108</f>
        <v>0</v>
      </c>
      <c r="O81" s="51">
        <f>'Repair Assessment Sheet'!S108</f>
        <v>0</v>
      </c>
      <c r="P81" s="16"/>
      <c r="Q81" s="31"/>
      <c r="R81" s="31"/>
      <c r="S81" s="31"/>
      <c r="T81" s="31"/>
    </row>
    <row r="82" spans="1:20" ht="15" thickBot="1" x14ac:dyDescent="0.4">
      <c r="A82" s="16">
        <v>69</v>
      </c>
      <c r="B82" s="16">
        <f t="shared" si="1"/>
        <v>87498574</v>
      </c>
      <c r="C82" s="16">
        <f>'Repair Assessment Sheet'!D109</f>
        <v>0</v>
      </c>
      <c r="D82" s="16">
        <f>'Repair Assessment Sheet'!E109</f>
        <v>0</v>
      </c>
      <c r="E82" s="16">
        <f>'Repair Assessment Sheet'!F109</f>
        <v>0</v>
      </c>
      <c r="F82" s="16">
        <f>'Repair Assessment Sheet'!G109</f>
        <v>0</v>
      </c>
      <c r="G82" s="632">
        <f>'Repair Assessment Sheet'!H109</f>
        <v>0</v>
      </c>
      <c r="H82" s="633"/>
      <c r="I82" s="634"/>
      <c r="J82" s="16">
        <f>'Repair Assessment Sheet'!T109</f>
        <v>0</v>
      </c>
      <c r="K82" s="16">
        <f>'Repair Assessment Sheet'!J109</f>
        <v>0</v>
      </c>
      <c r="L82" s="16">
        <f>'Repair Assessment Sheet'!K109*200</f>
        <v>0</v>
      </c>
      <c r="M82" s="16">
        <f>'Repair Assessment Sheet'!Q109</f>
        <v>0</v>
      </c>
      <c r="N82" s="16">
        <f>'Repair Assessment Sheet'!R109</f>
        <v>0</v>
      </c>
      <c r="O82" s="51">
        <f>'Repair Assessment Sheet'!S109</f>
        <v>0</v>
      </c>
      <c r="P82" s="16"/>
      <c r="Q82" s="31"/>
      <c r="R82" s="31"/>
      <c r="S82" s="31"/>
      <c r="T82" s="31"/>
    </row>
    <row r="83" spans="1:20" ht="15" thickBot="1" x14ac:dyDescent="0.4">
      <c r="A83" s="16">
        <v>70</v>
      </c>
      <c r="B83" s="16">
        <f t="shared" si="1"/>
        <v>87498574</v>
      </c>
      <c r="C83" s="16">
        <f>'Repair Assessment Sheet'!D110</f>
        <v>0</v>
      </c>
      <c r="D83" s="16">
        <f>'Repair Assessment Sheet'!E110</f>
        <v>0</v>
      </c>
      <c r="E83" s="16">
        <f>'Repair Assessment Sheet'!F110</f>
        <v>0</v>
      </c>
      <c r="F83" s="16">
        <f>'Repair Assessment Sheet'!G110</f>
        <v>0</v>
      </c>
      <c r="G83" s="632">
        <f>'Repair Assessment Sheet'!H110</f>
        <v>0</v>
      </c>
      <c r="H83" s="633"/>
      <c r="I83" s="634"/>
      <c r="J83" s="16">
        <f>'Repair Assessment Sheet'!T110</f>
        <v>0</v>
      </c>
      <c r="K83" s="16">
        <f>'Repair Assessment Sheet'!J110</f>
        <v>0</v>
      </c>
      <c r="L83" s="16">
        <f>'Repair Assessment Sheet'!K110*200</f>
        <v>0</v>
      </c>
      <c r="M83" s="16">
        <f>'Repair Assessment Sheet'!Q110</f>
        <v>0</v>
      </c>
      <c r="N83" s="16">
        <f>'Repair Assessment Sheet'!R110</f>
        <v>0</v>
      </c>
      <c r="O83" s="51">
        <f>'Repair Assessment Sheet'!S110</f>
        <v>0</v>
      </c>
      <c r="P83" s="16"/>
      <c r="Q83" s="31"/>
      <c r="R83" s="31"/>
      <c r="S83" s="31"/>
      <c r="T83" s="31"/>
    </row>
    <row r="84" spans="1:20" ht="15" thickBot="1" x14ac:dyDescent="0.4">
      <c r="A84" s="16">
        <v>71</v>
      </c>
      <c r="B84" s="16">
        <f t="shared" si="1"/>
        <v>87498574</v>
      </c>
      <c r="C84" s="16">
        <f>'Repair Assessment Sheet'!D111</f>
        <v>0</v>
      </c>
      <c r="D84" s="16">
        <f>'Repair Assessment Sheet'!E111</f>
        <v>0</v>
      </c>
      <c r="E84" s="16">
        <f>'Repair Assessment Sheet'!F111</f>
        <v>0</v>
      </c>
      <c r="F84" s="16">
        <f>'Repair Assessment Sheet'!G111</f>
        <v>0</v>
      </c>
      <c r="G84" s="632">
        <f>'Repair Assessment Sheet'!H111</f>
        <v>0</v>
      </c>
      <c r="H84" s="633"/>
      <c r="I84" s="634"/>
      <c r="J84" s="16">
        <f>'Repair Assessment Sheet'!T111</f>
        <v>0</v>
      </c>
      <c r="K84" s="16">
        <f>'Repair Assessment Sheet'!J111</f>
        <v>0</v>
      </c>
      <c r="L84" s="16">
        <f>'Repair Assessment Sheet'!K111*200</f>
        <v>0</v>
      </c>
      <c r="M84" s="16">
        <f>'Repair Assessment Sheet'!Q111</f>
        <v>0</v>
      </c>
      <c r="N84" s="16">
        <f>'Repair Assessment Sheet'!R111</f>
        <v>0</v>
      </c>
      <c r="O84" s="51">
        <f>'Repair Assessment Sheet'!S111</f>
        <v>0</v>
      </c>
      <c r="P84" s="16"/>
      <c r="Q84" s="31"/>
      <c r="R84" s="31"/>
      <c r="S84" s="31"/>
      <c r="T84" s="31"/>
    </row>
    <row r="85" spans="1:20" ht="15" thickBot="1" x14ac:dyDescent="0.4">
      <c r="A85" s="16">
        <v>72</v>
      </c>
      <c r="B85" s="16">
        <f t="shared" si="1"/>
        <v>87498574</v>
      </c>
      <c r="C85" s="16" t="str">
        <f>'Repair Assessment Sheet'!D112</f>
        <v>Repair/ Replace</v>
      </c>
      <c r="D85" s="16" t="str">
        <f>'Repair Assessment Sheet'!E112</f>
        <v>Description</v>
      </c>
      <c r="E85" s="16">
        <f>'Repair Assessment Sheet'!F112</f>
        <v>0</v>
      </c>
      <c r="F85" s="16">
        <f>'Repair Assessment Sheet'!G112</f>
        <v>0</v>
      </c>
      <c r="G85" s="632">
        <f>'Repair Assessment Sheet'!H112</f>
        <v>0</v>
      </c>
      <c r="H85" s="633"/>
      <c r="I85" s="634"/>
      <c r="J85" s="16">
        <f>'Repair Assessment Sheet'!T112</f>
        <v>0</v>
      </c>
      <c r="K85" s="16" t="str">
        <f>'Repair Assessment Sheet'!J112</f>
        <v>Parts@list (A)</v>
      </c>
      <c r="L85" s="16">
        <f>'Repair Assessment Sheet'!K112*200</f>
        <v>0</v>
      </c>
      <c r="M85" s="16" t="str">
        <f>'Repair Assessment Sheet'!Q112</f>
        <v>Labour  Remove Refit</v>
      </c>
      <c r="N85" s="16" t="str">
        <f>'Repair Assessment Sheet'!R112</f>
        <v>Labour  Repair</v>
      </c>
      <c r="O85" s="51" t="str">
        <f>'Repair Assessment Sheet'!S112</f>
        <v>Paint</v>
      </c>
      <c r="P85" s="16"/>
      <c r="Q85" s="31"/>
      <c r="R85" s="31"/>
      <c r="S85" s="31"/>
      <c r="T85" s="31"/>
    </row>
    <row r="86" spans="1:20" ht="15" thickBot="1" x14ac:dyDescent="0.4">
      <c r="A86" s="16">
        <v>73</v>
      </c>
      <c r="B86" s="16">
        <f t="shared" si="1"/>
        <v>87498574</v>
      </c>
      <c r="C86" s="16">
        <f>'Repair Assessment Sheet'!D113</f>
        <v>0</v>
      </c>
      <c r="D86" s="16" t="str">
        <f>'Repair Assessment Sheet'!E113</f>
        <v>Material</v>
      </c>
      <c r="E86" s="16">
        <f>'Repair Assessment Sheet'!F113</f>
        <v>0</v>
      </c>
      <c r="F86" s="16" t="str">
        <f>'Repair Assessment Sheet'!G113</f>
        <v>Side</v>
      </c>
      <c r="G86" s="632" t="str">
        <f>'Repair Assessment Sheet'!H113</f>
        <v>Section</v>
      </c>
      <c r="H86" s="633"/>
      <c r="I86" s="634"/>
      <c r="J86" s="16">
        <f>'Repair Assessment Sheet'!T113</f>
        <v>0</v>
      </c>
      <c r="K86" s="16">
        <f>'Repair Assessment Sheet'!J113</f>
        <v>0</v>
      </c>
      <c r="L86" s="16">
        <f>'Repair Assessment Sheet'!K113*200</f>
        <v>0</v>
      </c>
      <c r="M86" s="16">
        <f>'Repair Assessment Sheet'!Q113</f>
        <v>0</v>
      </c>
      <c r="N86" s="16">
        <f>'Repair Assessment Sheet'!R113</f>
        <v>0</v>
      </c>
      <c r="O86" s="51">
        <f>'Repair Assessment Sheet'!S113</f>
        <v>0</v>
      </c>
      <c r="P86" s="16"/>
      <c r="Q86" s="31"/>
      <c r="R86" s="31"/>
      <c r="S86" s="31"/>
      <c r="T86" s="31"/>
    </row>
    <row r="87" spans="1:20" ht="15" thickBot="1" x14ac:dyDescent="0.4">
      <c r="A87" s="16">
        <v>74</v>
      </c>
      <c r="B87" s="16">
        <f t="shared" si="1"/>
        <v>87498574</v>
      </c>
      <c r="C87" s="16">
        <f>'Repair Assessment Sheet'!D114</f>
        <v>0</v>
      </c>
      <c r="D87" s="16" t="str">
        <f>'Repair Assessment Sheet'!E114</f>
        <v>Metal</v>
      </c>
      <c r="E87" s="16">
        <f>'Repair Assessment Sheet'!F114</f>
        <v>0</v>
      </c>
      <c r="F87" s="16">
        <f>'Repair Assessment Sheet'!G114</f>
        <v>0</v>
      </c>
      <c r="G87" s="632">
        <f>'Repair Assessment Sheet'!H114</f>
        <v>0</v>
      </c>
      <c r="H87" s="633"/>
      <c r="I87" s="634"/>
      <c r="J87" s="16">
        <f>'Repair Assessment Sheet'!T114</f>
        <v>0</v>
      </c>
      <c r="K87" s="16">
        <f>'Repair Assessment Sheet'!J114</f>
        <v>0</v>
      </c>
      <c r="L87" s="16">
        <f>'Repair Assessment Sheet'!K114*200</f>
        <v>0</v>
      </c>
      <c r="M87" s="16">
        <f>'Repair Assessment Sheet'!Q114</f>
        <v>0</v>
      </c>
      <c r="N87" s="16">
        <f>'Repair Assessment Sheet'!R114</f>
        <v>0</v>
      </c>
      <c r="O87" s="51">
        <f>'Repair Assessment Sheet'!S114</f>
        <v>0</v>
      </c>
      <c r="P87" s="16"/>
      <c r="Q87" s="31"/>
      <c r="R87" s="31"/>
      <c r="S87" s="31"/>
      <c r="T87" s="31"/>
    </row>
    <row r="88" spans="1:20" ht="15" thickBot="1" x14ac:dyDescent="0.4">
      <c r="A88" s="16">
        <v>75</v>
      </c>
      <c r="B88" s="16">
        <f t="shared" si="1"/>
        <v>87498574</v>
      </c>
      <c r="C88" s="16">
        <f>'Repair Assessment Sheet'!D115</f>
        <v>0</v>
      </c>
      <c r="D88" s="16">
        <f>'Repair Assessment Sheet'!E115</f>
        <v>0</v>
      </c>
      <c r="E88" s="16">
        <f>'Repair Assessment Sheet'!F115</f>
        <v>0</v>
      </c>
      <c r="F88" s="16">
        <f>'Repair Assessment Sheet'!G115</f>
        <v>0</v>
      </c>
      <c r="G88" s="632">
        <f>'Repair Assessment Sheet'!H115</f>
        <v>0</v>
      </c>
      <c r="H88" s="633"/>
      <c r="I88" s="634"/>
      <c r="J88" s="16">
        <f>'Repair Assessment Sheet'!T115</f>
        <v>0</v>
      </c>
      <c r="K88" s="16" t="e">
        <f>'Repair Assessment Sheet'!J115</f>
        <v>#VALUE!</v>
      </c>
      <c r="L88" s="16">
        <f>'Repair Assessment Sheet'!K115*200</f>
        <v>0</v>
      </c>
      <c r="M88" s="16">
        <f>'Repair Assessment Sheet'!Q115</f>
        <v>0</v>
      </c>
      <c r="N88" s="16">
        <f>'Repair Assessment Sheet'!R115</f>
        <v>0</v>
      </c>
      <c r="O88" s="51">
        <f>'Repair Assessment Sheet'!S115</f>
        <v>0</v>
      </c>
      <c r="P88" s="16"/>
      <c r="Q88" s="31"/>
      <c r="R88" s="31"/>
      <c r="S88" s="31"/>
      <c r="T88" s="31"/>
    </row>
    <row r="89" spans="1:20" ht="15" thickBot="1" x14ac:dyDescent="0.4">
      <c r="A89" s="16">
        <v>76</v>
      </c>
      <c r="B89" s="16">
        <f t="shared" si="1"/>
        <v>87498574</v>
      </c>
      <c r="C89" s="16">
        <f>'Repair Assessment Sheet'!D116</f>
        <v>0</v>
      </c>
      <c r="D89" s="16">
        <f>'Repair Assessment Sheet'!E116</f>
        <v>0</v>
      </c>
      <c r="E89" s="16">
        <f>'Repair Assessment Sheet'!F116</f>
        <v>0</v>
      </c>
      <c r="F89" s="16">
        <f>'Repair Assessment Sheet'!G116</f>
        <v>0</v>
      </c>
      <c r="G89" s="632">
        <f>'Repair Assessment Sheet'!H116</f>
        <v>0</v>
      </c>
      <c r="H89" s="633"/>
      <c r="I89" s="634"/>
      <c r="J89" s="16">
        <f>'Repair Assessment Sheet'!T116</f>
        <v>0</v>
      </c>
      <c r="K89" s="16">
        <f>'Repair Assessment Sheet'!J116</f>
        <v>0</v>
      </c>
      <c r="L89" s="16">
        <f>'Repair Assessment Sheet'!K116*200</f>
        <v>0</v>
      </c>
      <c r="M89" s="16">
        <f>'Repair Assessment Sheet'!Q116</f>
        <v>0</v>
      </c>
      <c r="N89" s="16">
        <f>'Repair Assessment Sheet'!R116</f>
        <v>0</v>
      </c>
      <c r="O89" s="51">
        <f>'Repair Assessment Sheet'!S116</f>
        <v>0</v>
      </c>
      <c r="P89" s="16"/>
      <c r="Q89" s="31"/>
      <c r="R89" s="31"/>
      <c r="S89" s="31"/>
      <c r="T89" s="31"/>
    </row>
    <row r="90" spans="1:20" ht="15" thickBot="1" x14ac:dyDescent="0.4">
      <c r="A90" s="16">
        <v>77</v>
      </c>
      <c r="B90" s="16">
        <f t="shared" si="1"/>
        <v>87498574</v>
      </c>
      <c r="C90" s="16">
        <f>'Repair Assessment Sheet'!D117</f>
        <v>0</v>
      </c>
      <c r="D90" s="16">
        <f>'Repair Assessment Sheet'!E117</f>
        <v>0</v>
      </c>
      <c r="E90" s="16">
        <f>'Repair Assessment Sheet'!F117</f>
        <v>0</v>
      </c>
      <c r="F90" s="16">
        <f>'Repair Assessment Sheet'!G117</f>
        <v>0</v>
      </c>
      <c r="G90" s="632">
        <f>'Repair Assessment Sheet'!H117</f>
        <v>0</v>
      </c>
      <c r="H90" s="633"/>
      <c r="I90" s="634"/>
      <c r="J90" s="16">
        <f>'Repair Assessment Sheet'!T117</f>
        <v>0</v>
      </c>
      <c r="K90" s="16">
        <f>'Repair Assessment Sheet'!J117</f>
        <v>0</v>
      </c>
      <c r="L90" s="16">
        <f>'Repair Assessment Sheet'!K117*200</f>
        <v>0</v>
      </c>
      <c r="M90" s="16">
        <f>'Repair Assessment Sheet'!Q117</f>
        <v>0</v>
      </c>
      <c r="N90" s="16">
        <f>'Repair Assessment Sheet'!R117</f>
        <v>0</v>
      </c>
      <c r="O90" s="51">
        <f>'Repair Assessment Sheet'!S117</f>
        <v>0</v>
      </c>
      <c r="P90" s="16"/>
      <c r="Q90" s="31"/>
      <c r="R90" s="31"/>
      <c r="S90" s="31"/>
      <c r="T90" s="31"/>
    </row>
    <row r="91" spans="1:20" ht="15" thickBot="1" x14ac:dyDescent="0.4">
      <c r="A91" s="16">
        <v>78</v>
      </c>
      <c r="B91" s="16">
        <f t="shared" si="1"/>
        <v>87498574</v>
      </c>
      <c r="C91" s="16">
        <f>'Repair Assessment Sheet'!D118</f>
        <v>0</v>
      </c>
      <c r="D91" s="16">
        <f>'Repair Assessment Sheet'!E118</f>
        <v>0</v>
      </c>
      <c r="E91" s="16">
        <f>'Repair Assessment Sheet'!F118</f>
        <v>0</v>
      </c>
      <c r="F91" s="16">
        <f>'Repair Assessment Sheet'!G118</f>
        <v>0</v>
      </c>
      <c r="G91" s="632">
        <f>'Repair Assessment Sheet'!H118</f>
        <v>0</v>
      </c>
      <c r="H91" s="633"/>
      <c r="I91" s="634"/>
      <c r="J91" s="16">
        <f>'Repair Assessment Sheet'!T118</f>
        <v>0</v>
      </c>
      <c r="K91" s="16">
        <f>'Repair Assessment Sheet'!J118</f>
        <v>0</v>
      </c>
      <c r="L91" s="16">
        <f>'Repair Assessment Sheet'!K118*200</f>
        <v>0</v>
      </c>
      <c r="M91" s="16">
        <f>'Repair Assessment Sheet'!Q118</f>
        <v>0</v>
      </c>
      <c r="N91" s="16">
        <f>'Repair Assessment Sheet'!R118</f>
        <v>0</v>
      </c>
      <c r="O91" s="51">
        <f>'Repair Assessment Sheet'!S118</f>
        <v>0</v>
      </c>
      <c r="P91" s="16"/>
      <c r="Q91" s="31"/>
      <c r="R91" s="31"/>
      <c r="S91" s="31"/>
      <c r="T91" s="31"/>
    </row>
    <row r="92" spans="1:20" ht="15" thickBot="1" x14ac:dyDescent="0.4">
      <c r="A92" s="16">
        <v>79</v>
      </c>
      <c r="B92" s="16">
        <f t="shared" si="1"/>
        <v>87498574</v>
      </c>
      <c r="C92" s="16" t="str">
        <f>'Repair Assessment Sheet'!D119</f>
        <v>Repair/ Replace</v>
      </c>
      <c r="D92" s="16" t="str">
        <f>'Repair Assessment Sheet'!E119</f>
        <v>Description</v>
      </c>
      <c r="E92" s="16">
        <f>'Repair Assessment Sheet'!F119</f>
        <v>0</v>
      </c>
      <c r="F92" s="16">
        <f>'Repair Assessment Sheet'!G119</f>
        <v>0</v>
      </c>
      <c r="G92" s="632">
        <f>'Repair Assessment Sheet'!H119</f>
        <v>0</v>
      </c>
      <c r="H92" s="633"/>
      <c r="I92" s="634"/>
      <c r="J92" s="16">
        <f>'Repair Assessment Sheet'!T119</f>
        <v>0</v>
      </c>
      <c r="K92" s="16" t="str">
        <f>'Repair Assessment Sheet'!J119</f>
        <v>Parts@list (A)</v>
      </c>
      <c r="L92" s="16">
        <f>'Repair Assessment Sheet'!K119*200</f>
        <v>0</v>
      </c>
      <c r="M92" s="16" t="str">
        <f>'Repair Assessment Sheet'!Q119</f>
        <v>Labour  Remove Refit</v>
      </c>
      <c r="N92" s="16" t="str">
        <f>'Repair Assessment Sheet'!R119</f>
        <v>Labour  Repair</v>
      </c>
      <c r="O92" s="51" t="str">
        <f>'Repair Assessment Sheet'!S119</f>
        <v>Paint</v>
      </c>
      <c r="P92" s="16"/>
      <c r="Q92" s="31"/>
      <c r="R92" s="31"/>
      <c r="S92" s="31"/>
      <c r="T92" s="31"/>
    </row>
    <row r="93" spans="1:20" ht="15" thickBot="1" x14ac:dyDescent="0.4">
      <c r="A93" s="16">
        <v>80</v>
      </c>
      <c r="B93" s="16">
        <f t="shared" si="1"/>
        <v>87498574</v>
      </c>
      <c r="C93" s="16">
        <f>'Repair Assessment Sheet'!D120</f>
        <v>0</v>
      </c>
      <c r="D93" s="16" t="str">
        <f>'Repair Assessment Sheet'!E120</f>
        <v>Material</v>
      </c>
      <c r="E93" s="16">
        <f>'Repair Assessment Sheet'!F120</f>
        <v>0</v>
      </c>
      <c r="F93" s="16" t="str">
        <f>'Repair Assessment Sheet'!G120</f>
        <v>Side</v>
      </c>
      <c r="G93" s="632" t="str">
        <f>'Repair Assessment Sheet'!H120</f>
        <v>Section</v>
      </c>
      <c r="H93" s="633"/>
      <c r="I93" s="634"/>
      <c r="J93" s="16">
        <f>'Repair Assessment Sheet'!T120</f>
        <v>0</v>
      </c>
      <c r="K93" s="16">
        <f>'Repair Assessment Sheet'!J120</f>
        <v>0</v>
      </c>
      <c r="L93" s="16">
        <f>'Repair Assessment Sheet'!K120*200</f>
        <v>0</v>
      </c>
      <c r="M93" s="16">
        <f>'Repair Assessment Sheet'!Q120</f>
        <v>0</v>
      </c>
      <c r="N93" s="16">
        <f>'Repair Assessment Sheet'!R120</f>
        <v>0</v>
      </c>
      <c r="O93" s="51">
        <f>'Repair Assessment Sheet'!S120</f>
        <v>0</v>
      </c>
      <c r="P93" s="16"/>
      <c r="Q93" s="31"/>
      <c r="R93" s="31"/>
      <c r="S93" s="31"/>
      <c r="T93" s="31"/>
    </row>
    <row r="94" spans="1:20" ht="15" thickBot="1" x14ac:dyDescent="0.4">
      <c r="A94" s="16">
        <v>81</v>
      </c>
      <c r="B94" s="16">
        <f t="shared" si="1"/>
        <v>87498574</v>
      </c>
      <c r="C94" s="16">
        <f>'Repair Assessment Sheet'!D121</f>
        <v>0</v>
      </c>
      <c r="D94" s="16" t="str">
        <f>'Repair Assessment Sheet'!E121</f>
        <v>Glass</v>
      </c>
      <c r="E94" s="16">
        <f>'Repair Assessment Sheet'!F121</f>
        <v>0</v>
      </c>
      <c r="F94" s="16">
        <f>'Repair Assessment Sheet'!G121</f>
        <v>0</v>
      </c>
      <c r="G94" s="632">
        <f>'Repair Assessment Sheet'!H121</f>
        <v>0</v>
      </c>
      <c r="H94" s="633"/>
      <c r="I94" s="634"/>
      <c r="J94" s="16">
        <f>'Repair Assessment Sheet'!T121</f>
        <v>0</v>
      </c>
      <c r="K94" s="16">
        <f>'Repair Assessment Sheet'!J121</f>
        <v>0</v>
      </c>
      <c r="L94" s="16">
        <f>'Repair Assessment Sheet'!K121*200</f>
        <v>0</v>
      </c>
      <c r="M94" s="16">
        <f>'Repair Assessment Sheet'!Q121</f>
        <v>0</v>
      </c>
      <c r="N94" s="16">
        <f>'Repair Assessment Sheet'!R121</f>
        <v>0</v>
      </c>
      <c r="O94" s="51">
        <f>'Repair Assessment Sheet'!S121</f>
        <v>0</v>
      </c>
      <c r="P94" s="16"/>
      <c r="Q94" s="31"/>
      <c r="R94" s="31"/>
      <c r="S94" s="31"/>
      <c r="T94" s="31"/>
    </row>
    <row r="95" spans="1:20" ht="15" thickBot="1" x14ac:dyDescent="0.4">
      <c r="A95" s="16">
        <v>82</v>
      </c>
      <c r="B95" s="16">
        <f t="shared" si="1"/>
        <v>87498574</v>
      </c>
      <c r="C95" s="16">
        <f>'Repair Assessment Sheet'!D122</f>
        <v>0</v>
      </c>
      <c r="D95" s="16">
        <f>'Repair Assessment Sheet'!E122</f>
        <v>0</v>
      </c>
      <c r="E95" s="16">
        <f>'Repair Assessment Sheet'!F122</f>
        <v>0</v>
      </c>
      <c r="F95" s="16">
        <f>'Repair Assessment Sheet'!G122</f>
        <v>0</v>
      </c>
      <c r="G95" s="632">
        <f>'Repair Assessment Sheet'!H122</f>
        <v>0</v>
      </c>
      <c r="H95" s="633"/>
      <c r="I95" s="634"/>
      <c r="J95" s="16">
        <f>'Repair Assessment Sheet'!T122</f>
        <v>0</v>
      </c>
      <c r="K95" s="16" t="e">
        <f>'Repair Assessment Sheet'!J122</f>
        <v>#VALUE!</v>
      </c>
      <c r="L95" s="16">
        <f>'Repair Assessment Sheet'!K122*200</f>
        <v>0</v>
      </c>
      <c r="M95" s="16">
        <f>'Repair Assessment Sheet'!Q122</f>
        <v>0</v>
      </c>
      <c r="N95" s="16">
        <f>'Repair Assessment Sheet'!R122</f>
        <v>0</v>
      </c>
      <c r="O95" s="51">
        <f>'Repair Assessment Sheet'!S122</f>
        <v>0</v>
      </c>
      <c r="P95" s="16"/>
      <c r="Q95" s="31"/>
      <c r="R95" s="31"/>
      <c r="S95" s="31"/>
      <c r="T95" s="31"/>
    </row>
    <row r="96" spans="1:20" ht="15" thickBot="1" x14ac:dyDescent="0.4">
      <c r="A96" s="16">
        <v>83</v>
      </c>
      <c r="B96" s="16">
        <f t="shared" si="1"/>
        <v>87498574</v>
      </c>
      <c r="C96" s="16">
        <f>'Repair Assessment Sheet'!D123</f>
        <v>0</v>
      </c>
      <c r="D96" s="16">
        <f>'Repair Assessment Sheet'!E123</f>
        <v>0</v>
      </c>
      <c r="E96" s="16">
        <f>'Repair Assessment Sheet'!F123</f>
        <v>0</v>
      </c>
      <c r="F96" s="16">
        <f>'Repair Assessment Sheet'!G123</f>
        <v>0</v>
      </c>
      <c r="G96" s="632">
        <f>'Repair Assessment Sheet'!H123</f>
        <v>0</v>
      </c>
      <c r="H96" s="633"/>
      <c r="I96" s="634"/>
      <c r="J96" s="16">
        <f>'Repair Assessment Sheet'!T123</f>
        <v>0</v>
      </c>
      <c r="K96" s="16">
        <f>'Repair Assessment Sheet'!J123</f>
        <v>0</v>
      </c>
      <c r="L96" s="16">
        <f>'Repair Assessment Sheet'!K123*200</f>
        <v>0</v>
      </c>
      <c r="M96" s="16">
        <f>'Repair Assessment Sheet'!Q123</f>
        <v>0</v>
      </c>
      <c r="N96" s="16">
        <f>'Repair Assessment Sheet'!R123</f>
        <v>0</v>
      </c>
      <c r="O96" s="51">
        <f>'Repair Assessment Sheet'!S123</f>
        <v>0</v>
      </c>
      <c r="P96" s="16"/>
      <c r="Q96" s="31"/>
      <c r="R96" s="31"/>
      <c r="S96" s="31"/>
      <c r="T96" s="31"/>
    </row>
    <row r="97" spans="1:20" ht="15" thickBot="1" x14ac:dyDescent="0.4">
      <c r="A97" s="16">
        <v>84</v>
      </c>
      <c r="B97" s="16">
        <f t="shared" si="1"/>
        <v>87498574</v>
      </c>
      <c r="C97" s="16">
        <f>'Repair Assessment Sheet'!D124</f>
        <v>0</v>
      </c>
      <c r="D97" s="16">
        <f>'Repair Assessment Sheet'!E124</f>
        <v>0</v>
      </c>
      <c r="E97" s="16">
        <f>'Repair Assessment Sheet'!F124</f>
        <v>0</v>
      </c>
      <c r="F97" s="16">
        <f>'Repair Assessment Sheet'!G124</f>
        <v>0</v>
      </c>
      <c r="G97" s="632">
        <f>'Repair Assessment Sheet'!H124</f>
        <v>0</v>
      </c>
      <c r="H97" s="633"/>
      <c r="I97" s="634"/>
      <c r="J97" s="16">
        <f>'Repair Assessment Sheet'!T124</f>
        <v>0</v>
      </c>
      <c r="K97" s="16">
        <f>'Repair Assessment Sheet'!J124</f>
        <v>0</v>
      </c>
      <c r="L97" s="16">
        <f>'Repair Assessment Sheet'!K124*200</f>
        <v>0</v>
      </c>
      <c r="M97" s="16">
        <f>'Repair Assessment Sheet'!Q124</f>
        <v>0</v>
      </c>
      <c r="N97" s="16">
        <f>'Repair Assessment Sheet'!R124</f>
        <v>0</v>
      </c>
      <c r="O97" s="51">
        <f>'Repair Assessment Sheet'!S124</f>
        <v>0</v>
      </c>
      <c r="P97" s="16"/>
      <c r="Q97" s="31"/>
      <c r="R97" s="31"/>
      <c r="S97" s="31"/>
      <c r="T97" s="31"/>
    </row>
    <row r="98" spans="1:20" ht="15" thickBot="1" x14ac:dyDescent="0.4">
      <c r="A98" s="16">
        <v>85</v>
      </c>
      <c r="B98" s="16">
        <f t="shared" si="1"/>
        <v>87498574</v>
      </c>
      <c r="C98" s="16">
        <f>'Repair Assessment Sheet'!D125</f>
        <v>0</v>
      </c>
      <c r="D98" s="16">
        <f>'Repair Assessment Sheet'!E125</f>
        <v>0</v>
      </c>
      <c r="E98" s="16">
        <f>'Repair Assessment Sheet'!F125</f>
        <v>0</v>
      </c>
      <c r="F98" s="16">
        <f>'Repair Assessment Sheet'!G125</f>
        <v>0</v>
      </c>
      <c r="G98" s="632">
        <f>'Repair Assessment Sheet'!H125</f>
        <v>0</v>
      </c>
      <c r="H98" s="633"/>
      <c r="I98" s="634"/>
      <c r="J98" s="16">
        <f>'Repair Assessment Sheet'!T125</f>
        <v>0</v>
      </c>
      <c r="K98" s="16">
        <f>'Repair Assessment Sheet'!J125</f>
        <v>0</v>
      </c>
      <c r="L98" s="16">
        <f>'Repair Assessment Sheet'!K125*200</f>
        <v>0</v>
      </c>
      <c r="M98" s="16">
        <f>'Repair Assessment Sheet'!Q125</f>
        <v>0</v>
      </c>
      <c r="N98" s="16">
        <f>'Repair Assessment Sheet'!R125</f>
        <v>0</v>
      </c>
      <c r="O98" s="51">
        <f>'Repair Assessment Sheet'!S125</f>
        <v>0</v>
      </c>
      <c r="P98" s="16"/>
      <c r="Q98" s="31"/>
      <c r="R98" s="31"/>
      <c r="S98" s="31"/>
      <c r="T98" s="31"/>
    </row>
    <row r="99" spans="1:20" ht="15" thickBot="1" x14ac:dyDescent="0.4">
      <c r="A99" s="16">
        <v>86</v>
      </c>
      <c r="B99" s="16">
        <f t="shared" ref="B99:B130" si="2">E88</f>
        <v>0</v>
      </c>
      <c r="C99" s="16" t="str">
        <f>'Repair Assessment Sheet'!D126</f>
        <v>Repair/ Replace</v>
      </c>
      <c r="D99" s="16" t="str">
        <f>'Repair Assessment Sheet'!E126</f>
        <v>Description</v>
      </c>
      <c r="E99" s="16">
        <f>'Repair Assessment Sheet'!F126</f>
        <v>0</v>
      </c>
      <c r="F99" s="16">
        <f>'Repair Assessment Sheet'!G126</f>
        <v>0</v>
      </c>
      <c r="G99" s="632">
        <f>'Repair Assessment Sheet'!H126</f>
        <v>0</v>
      </c>
      <c r="H99" s="633"/>
      <c r="I99" s="634"/>
      <c r="J99" s="16">
        <f>'Repair Assessment Sheet'!T126</f>
        <v>0</v>
      </c>
      <c r="K99" s="16" t="str">
        <f>'Repair Assessment Sheet'!J126</f>
        <v>Parts@list (A)</v>
      </c>
      <c r="L99" s="16">
        <f>'Repair Assessment Sheet'!K126*200</f>
        <v>0</v>
      </c>
      <c r="M99" s="16" t="str">
        <f>'Repair Assessment Sheet'!Q126</f>
        <v>Labour  Remove Refit</v>
      </c>
      <c r="N99" s="16" t="str">
        <f>'Repair Assessment Sheet'!R126</f>
        <v>Labour  Repair</v>
      </c>
      <c r="O99" s="51" t="str">
        <f>'Repair Assessment Sheet'!S126</f>
        <v>Paint</v>
      </c>
      <c r="P99" s="16"/>
      <c r="Q99" s="31"/>
      <c r="R99" s="31"/>
      <c r="S99" s="31"/>
      <c r="T99" s="31"/>
    </row>
    <row r="100" spans="1:20" ht="15" thickBot="1" x14ac:dyDescent="0.4">
      <c r="A100" s="16">
        <v>87</v>
      </c>
      <c r="B100" s="16">
        <f t="shared" si="2"/>
        <v>0</v>
      </c>
      <c r="C100" s="16">
        <f>'Repair Assessment Sheet'!D127</f>
        <v>0</v>
      </c>
      <c r="D100" s="16" t="str">
        <f>'Repair Assessment Sheet'!E127</f>
        <v>Material</v>
      </c>
      <c r="E100" s="16">
        <f>'Repair Assessment Sheet'!F127</f>
        <v>0</v>
      </c>
      <c r="F100" s="16" t="str">
        <f>'Repair Assessment Sheet'!G127</f>
        <v>Side</v>
      </c>
      <c r="G100" s="632" t="str">
        <f>'Repair Assessment Sheet'!H127</f>
        <v>Section</v>
      </c>
      <c r="H100" s="633"/>
      <c r="I100" s="634"/>
      <c r="J100" s="16">
        <f>'Repair Assessment Sheet'!T127</f>
        <v>0</v>
      </c>
      <c r="K100" s="16">
        <f>'Repair Assessment Sheet'!J127</f>
        <v>0</v>
      </c>
      <c r="L100" s="16">
        <f>'Repair Assessment Sheet'!K127*200</f>
        <v>0</v>
      </c>
      <c r="M100" s="16">
        <f>'Repair Assessment Sheet'!Q127</f>
        <v>0</v>
      </c>
      <c r="N100" s="16">
        <f>'Repair Assessment Sheet'!R127</f>
        <v>0</v>
      </c>
      <c r="O100" s="51">
        <f>'Repair Assessment Sheet'!S127</f>
        <v>0</v>
      </c>
      <c r="P100" s="16"/>
      <c r="Q100" s="31"/>
      <c r="R100" s="31"/>
      <c r="S100" s="31"/>
      <c r="T100" s="31"/>
    </row>
    <row r="101" spans="1:20" ht="15" thickBot="1" x14ac:dyDescent="0.4">
      <c r="A101" s="16">
        <v>88</v>
      </c>
      <c r="B101" s="16">
        <f t="shared" si="2"/>
        <v>0</v>
      </c>
      <c r="C101" s="16">
        <f>'Repair Assessment Sheet'!D128</f>
        <v>0</v>
      </c>
      <c r="D101" s="16" t="str">
        <f>'Repair Assessment Sheet'!E128</f>
        <v>Plastic/Rubber</v>
      </c>
      <c r="E101" s="16">
        <f>'Repair Assessment Sheet'!F128</f>
        <v>0</v>
      </c>
      <c r="F101" s="16">
        <f>'Repair Assessment Sheet'!G128</f>
        <v>0</v>
      </c>
      <c r="G101" s="632">
        <f>'Repair Assessment Sheet'!H128</f>
        <v>0</v>
      </c>
      <c r="H101" s="633"/>
      <c r="I101" s="634"/>
      <c r="J101" s="16">
        <f>'Repair Assessment Sheet'!T128</f>
        <v>0</v>
      </c>
      <c r="K101" s="16">
        <f>'Repair Assessment Sheet'!J128</f>
        <v>0</v>
      </c>
      <c r="L101" s="16">
        <f>'Repair Assessment Sheet'!K128*200</f>
        <v>0</v>
      </c>
      <c r="M101" s="16">
        <f>'Repair Assessment Sheet'!Q128</f>
        <v>0</v>
      </c>
      <c r="N101" s="16">
        <f>'Repair Assessment Sheet'!R128</f>
        <v>0</v>
      </c>
      <c r="O101" s="51">
        <f>'Repair Assessment Sheet'!S128</f>
        <v>0</v>
      </c>
      <c r="P101" s="16"/>
      <c r="Q101" s="31"/>
      <c r="R101" s="31"/>
      <c r="S101" s="31"/>
      <c r="T101" s="31"/>
    </row>
    <row r="102" spans="1:20" ht="15" thickBot="1" x14ac:dyDescent="0.4">
      <c r="A102" s="16">
        <v>89</v>
      </c>
      <c r="B102" s="16">
        <f t="shared" si="2"/>
        <v>0</v>
      </c>
      <c r="C102" s="16">
        <f>'Repair Assessment Sheet'!D129</f>
        <v>0</v>
      </c>
      <c r="D102" s="16">
        <f>'Repair Assessment Sheet'!E129</f>
        <v>0</v>
      </c>
      <c r="E102" s="16">
        <f>'Repair Assessment Sheet'!F129</f>
        <v>0</v>
      </c>
      <c r="F102" s="16">
        <f>'Repair Assessment Sheet'!G129</f>
        <v>0</v>
      </c>
      <c r="G102" s="632">
        <f>'Repair Assessment Sheet'!H129</f>
        <v>0</v>
      </c>
      <c r="H102" s="633"/>
      <c r="I102" s="634"/>
      <c r="J102" s="16">
        <f>'Repair Assessment Sheet'!T129</f>
        <v>0</v>
      </c>
      <c r="K102" s="16">
        <f>'Repair Assessment Sheet'!J129</f>
        <v>0</v>
      </c>
      <c r="L102" s="16">
        <f>'Repair Assessment Sheet'!K129*200</f>
        <v>0</v>
      </c>
      <c r="M102" s="16">
        <f>'Repair Assessment Sheet'!Q129</f>
        <v>0</v>
      </c>
      <c r="N102" s="16">
        <f>'Repair Assessment Sheet'!R129</f>
        <v>0</v>
      </c>
      <c r="O102" s="51">
        <f>'Repair Assessment Sheet'!S129</f>
        <v>0</v>
      </c>
      <c r="P102" s="16"/>
      <c r="Q102" s="31"/>
      <c r="R102" s="31"/>
      <c r="S102" s="31"/>
      <c r="T102" s="31"/>
    </row>
    <row r="103" spans="1:20" ht="15" thickBot="1" x14ac:dyDescent="0.4">
      <c r="A103" s="16">
        <v>90</v>
      </c>
      <c r="B103" s="16">
        <f t="shared" si="2"/>
        <v>0</v>
      </c>
      <c r="C103" s="16">
        <f>'Repair Assessment Sheet'!D130</f>
        <v>0</v>
      </c>
      <c r="D103" s="16">
        <f>'Repair Assessment Sheet'!E130</f>
        <v>0</v>
      </c>
      <c r="E103" s="16">
        <f>'Repair Assessment Sheet'!F130</f>
        <v>0</v>
      </c>
      <c r="F103" s="16">
        <f>'Repair Assessment Sheet'!G130</f>
        <v>0</v>
      </c>
      <c r="G103" s="632">
        <f>'Repair Assessment Sheet'!H130</f>
        <v>0</v>
      </c>
      <c r="H103" s="633"/>
      <c r="I103" s="634"/>
      <c r="J103" s="16">
        <f>'Repair Assessment Sheet'!T130</f>
        <v>0</v>
      </c>
      <c r="K103" s="16">
        <f>'Repair Assessment Sheet'!J130</f>
        <v>0</v>
      </c>
      <c r="L103" s="16">
        <f>'Repair Assessment Sheet'!K130*200</f>
        <v>0</v>
      </c>
      <c r="M103" s="16">
        <f>'Repair Assessment Sheet'!Q130</f>
        <v>0</v>
      </c>
      <c r="N103" s="16">
        <f>'Repair Assessment Sheet'!R130</f>
        <v>0</v>
      </c>
      <c r="O103" s="51">
        <f>'Repair Assessment Sheet'!S130</f>
        <v>0</v>
      </c>
      <c r="P103" s="16"/>
      <c r="Q103" s="31"/>
      <c r="R103" s="31"/>
      <c r="S103" s="31"/>
      <c r="T103" s="31"/>
    </row>
    <row r="104" spans="1:20" ht="15" thickBot="1" x14ac:dyDescent="0.4">
      <c r="A104" s="16">
        <v>91</v>
      </c>
      <c r="B104" s="16">
        <f t="shared" si="2"/>
        <v>0</v>
      </c>
      <c r="C104" s="16">
        <f>'Repair Assessment Sheet'!D131</f>
        <v>0</v>
      </c>
      <c r="D104" s="16">
        <f>'Repair Assessment Sheet'!E131</f>
        <v>0</v>
      </c>
      <c r="E104" s="16">
        <f>'Repair Assessment Sheet'!F131</f>
        <v>0</v>
      </c>
      <c r="F104" s="16">
        <f>'Repair Assessment Sheet'!G131</f>
        <v>0</v>
      </c>
      <c r="G104" s="632">
        <f>'Repair Assessment Sheet'!H131</f>
        <v>0</v>
      </c>
      <c r="H104" s="633"/>
      <c r="I104" s="634"/>
      <c r="J104" s="16">
        <f>'Repair Assessment Sheet'!T131</f>
        <v>0</v>
      </c>
      <c r="K104" s="16">
        <f>'Repair Assessment Sheet'!J131</f>
        <v>0</v>
      </c>
      <c r="L104" s="16">
        <f>'Repair Assessment Sheet'!K131*200</f>
        <v>0</v>
      </c>
      <c r="M104" s="16">
        <f>'Repair Assessment Sheet'!Q131</f>
        <v>0</v>
      </c>
      <c r="N104" s="16">
        <f>'Repair Assessment Sheet'!R131</f>
        <v>0</v>
      </c>
      <c r="O104" s="51">
        <f>'Repair Assessment Sheet'!S131</f>
        <v>0</v>
      </c>
      <c r="P104" s="16"/>
      <c r="Q104" s="31"/>
      <c r="R104" s="31"/>
      <c r="S104" s="31"/>
      <c r="T104" s="31"/>
    </row>
    <row r="105" spans="1:20" ht="15" thickBot="1" x14ac:dyDescent="0.4">
      <c r="A105" s="16">
        <v>92</v>
      </c>
      <c r="B105" s="16">
        <f t="shared" si="2"/>
        <v>0</v>
      </c>
      <c r="C105" s="16">
        <f>'Repair Assessment Sheet'!D132</f>
        <v>0</v>
      </c>
      <c r="D105" s="16">
        <f>'Repair Assessment Sheet'!E132</f>
        <v>0</v>
      </c>
      <c r="E105" s="16">
        <f>'Repair Assessment Sheet'!F132</f>
        <v>0</v>
      </c>
      <c r="F105" s="16">
        <f>'Repair Assessment Sheet'!G132</f>
        <v>0</v>
      </c>
      <c r="G105" s="632">
        <f>'Repair Assessment Sheet'!H132</f>
        <v>0</v>
      </c>
      <c r="H105" s="633"/>
      <c r="I105" s="634"/>
      <c r="J105" s="16">
        <f>'Repair Assessment Sheet'!T132</f>
        <v>0</v>
      </c>
      <c r="K105" s="16">
        <f>'Repair Assessment Sheet'!J132</f>
        <v>0</v>
      </c>
      <c r="L105" s="16">
        <f>'Repair Assessment Sheet'!K132*200</f>
        <v>0</v>
      </c>
      <c r="M105" s="16">
        <f>'Repair Assessment Sheet'!Q132</f>
        <v>0</v>
      </c>
      <c r="N105" s="16">
        <f>'Repair Assessment Sheet'!R132</f>
        <v>0</v>
      </c>
      <c r="O105" s="51">
        <f>'Repair Assessment Sheet'!S132</f>
        <v>0</v>
      </c>
      <c r="P105" s="16"/>
      <c r="Q105" s="31"/>
      <c r="R105" s="31"/>
      <c r="S105" s="31"/>
      <c r="T105" s="31"/>
    </row>
    <row r="106" spans="1:20" ht="15" thickBot="1" x14ac:dyDescent="0.4">
      <c r="A106" s="16">
        <v>93</v>
      </c>
      <c r="B106" s="16">
        <f t="shared" si="2"/>
        <v>0</v>
      </c>
      <c r="C106" s="16">
        <f>'Repair Assessment Sheet'!D133</f>
        <v>0</v>
      </c>
      <c r="D106" s="16">
        <f>'Repair Assessment Sheet'!E133</f>
        <v>0</v>
      </c>
      <c r="E106" s="16">
        <f>'Repair Assessment Sheet'!F133</f>
        <v>0</v>
      </c>
      <c r="F106" s="16">
        <f>'Repair Assessment Sheet'!G133</f>
        <v>0</v>
      </c>
      <c r="G106" s="632">
        <f>'Repair Assessment Sheet'!H133</f>
        <v>0</v>
      </c>
      <c r="H106" s="633"/>
      <c r="I106" s="634"/>
      <c r="J106" s="16">
        <f>'Repair Assessment Sheet'!T133</f>
        <v>0</v>
      </c>
      <c r="K106" s="16">
        <f>'Repair Assessment Sheet'!J133</f>
        <v>0</v>
      </c>
      <c r="L106" s="16">
        <f>'Repair Assessment Sheet'!K133*200</f>
        <v>0</v>
      </c>
      <c r="M106" s="16">
        <f>'Repair Assessment Sheet'!Q133</f>
        <v>0</v>
      </c>
      <c r="N106" s="16">
        <f>'Repair Assessment Sheet'!R133</f>
        <v>0</v>
      </c>
      <c r="O106" s="51">
        <f>'Repair Assessment Sheet'!S133</f>
        <v>0</v>
      </c>
      <c r="P106" s="16"/>
      <c r="Q106" s="31"/>
      <c r="R106" s="31"/>
      <c r="S106" s="31"/>
      <c r="T106" s="31"/>
    </row>
    <row r="107" spans="1:20" ht="15" thickBot="1" x14ac:dyDescent="0.4">
      <c r="A107" s="16">
        <v>94</v>
      </c>
      <c r="B107" s="16">
        <f t="shared" si="2"/>
        <v>0</v>
      </c>
      <c r="C107" s="16">
        <f>'Repair Assessment Sheet'!D134</f>
        <v>0</v>
      </c>
      <c r="D107" s="16">
        <f>'Repair Assessment Sheet'!E134</f>
        <v>0</v>
      </c>
      <c r="E107" s="16">
        <f>'Repair Assessment Sheet'!F134</f>
        <v>0</v>
      </c>
      <c r="F107" s="16">
        <f>'Repair Assessment Sheet'!G134</f>
        <v>0</v>
      </c>
      <c r="G107" s="632">
        <f>'Repair Assessment Sheet'!H134</f>
        <v>0</v>
      </c>
      <c r="H107" s="633"/>
      <c r="I107" s="634"/>
      <c r="J107" s="16">
        <f>'Repair Assessment Sheet'!T134</f>
        <v>0</v>
      </c>
      <c r="K107" s="16">
        <f>'Repair Assessment Sheet'!J134</f>
        <v>0</v>
      </c>
      <c r="L107" s="16">
        <f>'Repair Assessment Sheet'!K134*200</f>
        <v>0</v>
      </c>
      <c r="M107" s="16">
        <f>'Repair Assessment Sheet'!Q134</f>
        <v>0</v>
      </c>
      <c r="N107" s="16">
        <f>'Repair Assessment Sheet'!R134</f>
        <v>0</v>
      </c>
      <c r="O107" s="51">
        <f>'Repair Assessment Sheet'!S134</f>
        <v>0</v>
      </c>
      <c r="P107" s="16"/>
      <c r="Q107" s="31"/>
      <c r="R107" s="31"/>
      <c r="S107" s="31"/>
      <c r="T107" s="31"/>
    </row>
    <row r="108" spans="1:20" ht="15" thickBot="1" x14ac:dyDescent="0.4">
      <c r="A108" s="16">
        <v>95</v>
      </c>
      <c r="B108" s="16">
        <f t="shared" si="2"/>
        <v>0</v>
      </c>
      <c r="C108" s="16">
        <f>'Repair Assessment Sheet'!D135</f>
        <v>0</v>
      </c>
      <c r="D108" s="16">
        <f>'Repair Assessment Sheet'!E135</f>
        <v>0</v>
      </c>
      <c r="E108" s="16">
        <f>'Repair Assessment Sheet'!F135</f>
        <v>0</v>
      </c>
      <c r="F108" s="16">
        <f>'Repair Assessment Sheet'!G135</f>
        <v>0</v>
      </c>
      <c r="G108" s="632">
        <f>'Repair Assessment Sheet'!H135</f>
        <v>0</v>
      </c>
      <c r="H108" s="633"/>
      <c r="I108" s="634"/>
      <c r="J108" s="16">
        <f>'Repair Assessment Sheet'!T135</f>
        <v>0</v>
      </c>
      <c r="K108" s="16">
        <f>'Repair Assessment Sheet'!J135</f>
        <v>0</v>
      </c>
      <c r="L108" s="16">
        <f>'Repair Assessment Sheet'!K135*200</f>
        <v>0</v>
      </c>
      <c r="M108" s="16">
        <f>'Repair Assessment Sheet'!Q135</f>
        <v>0</v>
      </c>
      <c r="N108" s="16">
        <f>'Repair Assessment Sheet'!R135</f>
        <v>0</v>
      </c>
      <c r="O108" s="51">
        <f>'Repair Assessment Sheet'!S135</f>
        <v>0</v>
      </c>
      <c r="P108" s="16"/>
      <c r="Q108" s="31"/>
      <c r="R108" s="31"/>
      <c r="S108" s="31"/>
      <c r="T108" s="31"/>
    </row>
    <row r="109" spans="1:20" ht="15" thickBot="1" x14ac:dyDescent="0.4">
      <c r="A109" s="16">
        <v>96</v>
      </c>
      <c r="B109" s="16">
        <f t="shared" si="2"/>
        <v>0</v>
      </c>
      <c r="C109" s="16">
        <f>'Repair Assessment Sheet'!D136</f>
        <v>0</v>
      </c>
      <c r="D109" s="16">
        <f>'Repair Assessment Sheet'!E136</f>
        <v>0</v>
      </c>
      <c r="E109" s="16">
        <f>'Repair Assessment Sheet'!F136</f>
        <v>0</v>
      </c>
      <c r="F109" s="16">
        <f>'Repair Assessment Sheet'!G136</f>
        <v>0</v>
      </c>
      <c r="G109" s="632">
        <f>'Repair Assessment Sheet'!H136</f>
        <v>0</v>
      </c>
      <c r="H109" s="633"/>
      <c r="I109" s="634"/>
      <c r="J109" s="16">
        <f>'Repair Assessment Sheet'!T136</f>
        <v>0</v>
      </c>
      <c r="K109" s="16">
        <f>'Repair Assessment Sheet'!J136</f>
        <v>0</v>
      </c>
      <c r="L109" s="16">
        <f>'Repair Assessment Sheet'!K136*200</f>
        <v>0</v>
      </c>
      <c r="M109" s="16">
        <f>'Repair Assessment Sheet'!Q136</f>
        <v>0</v>
      </c>
      <c r="N109" s="16">
        <f>'Repair Assessment Sheet'!R136</f>
        <v>0</v>
      </c>
      <c r="O109" s="51">
        <f>'Repair Assessment Sheet'!S136</f>
        <v>0</v>
      </c>
      <c r="P109" s="16"/>
      <c r="Q109" s="31"/>
      <c r="R109" s="31"/>
      <c r="S109" s="31"/>
      <c r="T109" s="31"/>
    </row>
    <row r="110" spans="1:20" ht="15" thickBot="1" x14ac:dyDescent="0.4">
      <c r="A110" s="16">
        <v>97</v>
      </c>
      <c r="B110" s="16">
        <f t="shared" si="2"/>
        <v>0</v>
      </c>
      <c r="C110" s="16">
        <f>'Repair Assessment Sheet'!D137</f>
        <v>0</v>
      </c>
      <c r="D110" s="16">
        <f>'Repair Assessment Sheet'!E137</f>
        <v>0</v>
      </c>
      <c r="E110" s="16">
        <f>'Repair Assessment Sheet'!F137</f>
        <v>0</v>
      </c>
      <c r="F110" s="16">
        <f>'Repair Assessment Sheet'!G137</f>
        <v>0</v>
      </c>
      <c r="G110" s="632">
        <f>'Repair Assessment Sheet'!H137</f>
        <v>0</v>
      </c>
      <c r="H110" s="633"/>
      <c r="I110" s="634"/>
      <c r="J110" s="16">
        <f>'Repair Assessment Sheet'!T137</f>
        <v>0</v>
      </c>
      <c r="K110" s="16">
        <f>'Repair Assessment Sheet'!J137</f>
        <v>0</v>
      </c>
      <c r="L110" s="16">
        <f>'Repair Assessment Sheet'!K137*200</f>
        <v>0</v>
      </c>
      <c r="M110" s="16">
        <f>'Repair Assessment Sheet'!Q137</f>
        <v>0</v>
      </c>
      <c r="N110" s="16">
        <f>'Repair Assessment Sheet'!R137</f>
        <v>0</v>
      </c>
      <c r="O110" s="51">
        <f>'Repair Assessment Sheet'!S137</f>
        <v>0</v>
      </c>
      <c r="P110" s="16"/>
      <c r="Q110" s="31"/>
      <c r="R110" s="31"/>
      <c r="S110" s="31"/>
      <c r="T110" s="31"/>
    </row>
    <row r="111" spans="1:20" ht="15" thickBot="1" x14ac:dyDescent="0.4">
      <c r="A111" s="16">
        <v>98</v>
      </c>
      <c r="B111" s="16">
        <f t="shared" si="2"/>
        <v>0</v>
      </c>
      <c r="C111" s="16">
        <f>'Repair Assessment Sheet'!D138</f>
        <v>0</v>
      </c>
      <c r="D111" s="16">
        <f>'Repair Assessment Sheet'!E138</f>
        <v>0</v>
      </c>
      <c r="E111" s="16">
        <f>'Repair Assessment Sheet'!F138</f>
        <v>0</v>
      </c>
      <c r="F111" s="16">
        <f>'Repair Assessment Sheet'!G138</f>
        <v>0</v>
      </c>
      <c r="G111" s="632">
        <f>'Repair Assessment Sheet'!H138</f>
        <v>0</v>
      </c>
      <c r="H111" s="633"/>
      <c r="I111" s="634"/>
      <c r="J111" s="16">
        <f>'Repair Assessment Sheet'!T138</f>
        <v>0</v>
      </c>
      <c r="K111" s="16">
        <f>'Repair Assessment Sheet'!J138</f>
        <v>0</v>
      </c>
      <c r="L111" s="16">
        <f>'Repair Assessment Sheet'!K138*200</f>
        <v>0</v>
      </c>
      <c r="M111" s="16">
        <f>'Repair Assessment Sheet'!Q138</f>
        <v>0</v>
      </c>
      <c r="N111" s="16">
        <f>'Repair Assessment Sheet'!R138</f>
        <v>0</v>
      </c>
      <c r="O111" s="51">
        <f>'Repair Assessment Sheet'!S138</f>
        <v>0</v>
      </c>
      <c r="P111" s="16"/>
      <c r="Q111" s="31"/>
      <c r="R111" s="31"/>
      <c r="S111" s="31"/>
      <c r="T111" s="31"/>
    </row>
    <row r="112" spans="1:20" ht="15" thickBot="1" x14ac:dyDescent="0.4">
      <c r="A112" s="16">
        <v>99</v>
      </c>
      <c r="B112" s="16">
        <f t="shared" si="2"/>
        <v>0</v>
      </c>
      <c r="C112" s="16">
        <f>'Repair Assessment Sheet'!D139</f>
        <v>0</v>
      </c>
      <c r="D112" s="16">
        <f>'Repair Assessment Sheet'!E139</f>
        <v>0</v>
      </c>
      <c r="E112" s="16">
        <f>'Repair Assessment Sheet'!F139</f>
        <v>0</v>
      </c>
      <c r="F112" s="16">
        <f>'Repair Assessment Sheet'!G139</f>
        <v>0</v>
      </c>
      <c r="G112" s="632">
        <f>'Repair Assessment Sheet'!H139</f>
        <v>0</v>
      </c>
      <c r="H112" s="633"/>
      <c r="I112" s="634"/>
      <c r="J112" s="16">
        <f>'Repair Assessment Sheet'!T139</f>
        <v>0</v>
      </c>
      <c r="K112" s="16">
        <f>'Repair Assessment Sheet'!J139</f>
        <v>0</v>
      </c>
      <c r="L112" s="16">
        <f>'Repair Assessment Sheet'!K139*200</f>
        <v>0</v>
      </c>
      <c r="M112" s="16">
        <f>'Repair Assessment Sheet'!Q139</f>
        <v>0</v>
      </c>
      <c r="N112" s="16">
        <f>'Repair Assessment Sheet'!R139</f>
        <v>0</v>
      </c>
      <c r="O112" s="51">
        <f>'Repair Assessment Sheet'!S139</f>
        <v>0</v>
      </c>
      <c r="P112" s="16"/>
      <c r="Q112" s="31"/>
      <c r="R112" s="31"/>
      <c r="S112" s="31"/>
      <c r="T112" s="31"/>
    </row>
    <row r="113" spans="1:20" ht="15" thickBot="1" x14ac:dyDescent="0.4">
      <c r="A113" s="16">
        <v>100</v>
      </c>
      <c r="B113" s="16">
        <f t="shared" si="2"/>
        <v>0</v>
      </c>
      <c r="C113" s="16">
        <f>'Repair Assessment Sheet'!D140</f>
        <v>0</v>
      </c>
      <c r="D113" s="16">
        <f>'Repair Assessment Sheet'!E140</f>
        <v>0</v>
      </c>
      <c r="E113" s="16">
        <f>'Repair Assessment Sheet'!F140</f>
        <v>0</v>
      </c>
      <c r="F113" s="16">
        <f>'Repair Assessment Sheet'!G140</f>
        <v>0</v>
      </c>
      <c r="G113" s="632">
        <f>'Repair Assessment Sheet'!H140</f>
        <v>0</v>
      </c>
      <c r="H113" s="633"/>
      <c r="I113" s="634"/>
      <c r="J113" s="16">
        <f>'Repair Assessment Sheet'!T140</f>
        <v>0</v>
      </c>
      <c r="K113" s="16">
        <f>'Repair Assessment Sheet'!J140</f>
        <v>0</v>
      </c>
      <c r="L113" s="16">
        <f>'Repair Assessment Sheet'!K140*200</f>
        <v>0</v>
      </c>
      <c r="M113" s="16">
        <f>'Repair Assessment Sheet'!Q140</f>
        <v>0</v>
      </c>
      <c r="N113" s="16">
        <f>'Repair Assessment Sheet'!R140</f>
        <v>0</v>
      </c>
      <c r="O113" s="51">
        <f>'Repair Assessment Sheet'!S140</f>
        <v>0</v>
      </c>
      <c r="P113" s="16"/>
      <c r="Q113" s="31"/>
      <c r="R113" s="31"/>
      <c r="S113" s="31"/>
      <c r="T113" s="31"/>
    </row>
    <row r="114" spans="1:20" ht="15" thickBot="1" x14ac:dyDescent="0.4">
      <c r="A114" s="16">
        <v>101</v>
      </c>
      <c r="B114" s="16">
        <f t="shared" si="2"/>
        <v>0</v>
      </c>
      <c r="C114" s="16">
        <f>'Repair Assessment Sheet'!D141</f>
        <v>0</v>
      </c>
      <c r="D114" s="16">
        <f>'Repair Assessment Sheet'!E141</f>
        <v>0</v>
      </c>
      <c r="E114" s="16">
        <f>'Repair Assessment Sheet'!F141</f>
        <v>0</v>
      </c>
      <c r="F114" s="16">
        <f>'Repair Assessment Sheet'!G141</f>
        <v>0</v>
      </c>
      <c r="G114" s="632">
        <f>'Repair Assessment Sheet'!H141</f>
        <v>0</v>
      </c>
      <c r="H114" s="633"/>
      <c r="I114" s="634"/>
      <c r="J114" s="16">
        <f>'Repair Assessment Sheet'!T141</f>
        <v>0</v>
      </c>
      <c r="K114" s="16">
        <f>'Repair Assessment Sheet'!J141</f>
        <v>0</v>
      </c>
      <c r="L114" s="16">
        <f>'Repair Assessment Sheet'!K141*200</f>
        <v>0</v>
      </c>
      <c r="M114" s="16">
        <f>'Repair Assessment Sheet'!Q141</f>
        <v>0</v>
      </c>
      <c r="N114" s="16">
        <f>'Repair Assessment Sheet'!R141</f>
        <v>0</v>
      </c>
      <c r="O114" s="51">
        <f>'Repair Assessment Sheet'!S141</f>
        <v>0</v>
      </c>
      <c r="P114" s="16"/>
      <c r="Q114" s="31"/>
      <c r="R114" s="31"/>
      <c r="S114" s="31"/>
      <c r="T114" s="31"/>
    </row>
    <row r="115" spans="1:20" ht="15" thickBot="1" x14ac:dyDescent="0.4">
      <c r="A115" s="16">
        <v>102</v>
      </c>
      <c r="B115" s="16">
        <f t="shared" si="2"/>
        <v>0</v>
      </c>
      <c r="C115" s="16">
        <f>'Repair Assessment Sheet'!D142</f>
        <v>0</v>
      </c>
      <c r="D115" s="16">
        <f>'Repair Assessment Sheet'!E142</f>
        <v>0</v>
      </c>
      <c r="E115" s="16">
        <f>'Repair Assessment Sheet'!F142</f>
        <v>0</v>
      </c>
      <c r="F115" s="16">
        <f>'Repair Assessment Sheet'!G142</f>
        <v>0</v>
      </c>
      <c r="G115" s="632">
        <f>'Repair Assessment Sheet'!H142</f>
        <v>0</v>
      </c>
      <c r="H115" s="633"/>
      <c r="I115" s="634"/>
      <c r="J115" s="16">
        <f>'Repair Assessment Sheet'!T142</f>
        <v>0</v>
      </c>
      <c r="K115" s="16">
        <f>'Repair Assessment Sheet'!J142</f>
        <v>0</v>
      </c>
      <c r="L115" s="16">
        <f>'Repair Assessment Sheet'!K142*200</f>
        <v>0</v>
      </c>
      <c r="M115" s="16">
        <f>'Repair Assessment Sheet'!Q142</f>
        <v>0</v>
      </c>
      <c r="N115" s="16">
        <f>'Repair Assessment Sheet'!R142</f>
        <v>0</v>
      </c>
      <c r="O115" s="51">
        <f>'Repair Assessment Sheet'!S142</f>
        <v>0</v>
      </c>
      <c r="P115" s="16"/>
      <c r="Q115" s="31"/>
      <c r="R115" s="31"/>
      <c r="S115" s="31"/>
      <c r="T115" s="31"/>
    </row>
    <row r="116" spans="1:20" ht="15" thickBot="1" x14ac:dyDescent="0.4">
      <c r="A116" s="16">
        <v>103</v>
      </c>
      <c r="B116" s="16">
        <f t="shared" si="2"/>
        <v>0</v>
      </c>
      <c r="C116" s="16">
        <f>'Repair Assessment Sheet'!D143</f>
        <v>0</v>
      </c>
      <c r="D116" s="16">
        <f>'Repair Assessment Sheet'!E143</f>
        <v>0</v>
      </c>
      <c r="E116" s="16">
        <f>'Repair Assessment Sheet'!F143</f>
        <v>0</v>
      </c>
      <c r="F116" s="16">
        <f>'Repair Assessment Sheet'!G143</f>
        <v>0</v>
      </c>
      <c r="G116" s="632">
        <f>'Repair Assessment Sheet'!H143</f>
        <v>0</v>
      </c>
      <c r="H116" s="633"/>
      <c r="I116" s="634"/>
      <c r="J116" s="16">
        <f>'Repair Assessment Sheet'!T143</f>
        <v>0</v>
      </c>
      <c r="K116" s="16">
        <f>'Repair Assessment Sheet'!J143</f>
        <v>0</v>
      </c>
      <c r="L116" s="16">
        <f>'Repair Assessment Sheet'!K143*200</f>
        <v>0</v>
      </c>
      <c r="M116" s="16">
        <f>'Repair Assessment Sheet'!Q143</f>
        <v>0</v>
      </c>
      <c r="N116" s="16">
        <f>'Repair Assessment Sheet'!R143</f>
        <v>0</v>
      </c>
      <c r="O116" s="51">
        <f>'Repair Assessment Sheet'!S143</f>
        <v>0</v>
      </c>
      <c r="P116" s="16"/>
      <c r="Q116" s="31"/>
      <c r="R116" s="31"/>
      <c r="S116" s="31"/>
      <c r="T116" s="31"/>
    </row>
    <row r="117" spans="1:20" ht="15" thickBot="1" x14ac:dyDescent="0.4">
      <c r="A117" s="16">
        <v>104</v>
      </c>
      <c r="B117" s="16">
        <f t="shared" si="2"/>
        <v>0</v>
      </c>
      <c r="C117" s="16">
        <f>'Repair Assessment Sheet'!D144</f>
        <v>0</v>
      </c>
      <c r="D117" s="16">
        <f>'Repair Assessment Sheet'!E144</f>
        <v>0</v>
      </c>
      <c r="E117" s="16">
        <f>'Repair Assessment Sheet'!F144</f>
        <v>0</v>
      </c>
      <c r="F117" s="16">
        <f>'Repair Assessment Sheet'!G144</f>
        <v>0</v>
      </c>
      <c r="G117" s="632">
        <f>'Repair Assessment Sheet'!H144</f>
        <v>0</v>
      </c>
      <c r="H117" s="633"/>
      <c r="I117" s="634"/>
      <c r="J117" s="16">
        <f>'Repair Assessment Sheet'!T144</f>
        <v>0</v>
      </c>
      <c r="K117" s="16">
        <f>'Repair Assessment Sheet'!J144</f>
        <v>0</v>
      </c>
      <c r="L117" s="16">
        <f>'Repair Assessment Sheet'!K144*200</f>
        <v>0</v>
      </c>
      <c r="M117" s="16">
        <f>'Repair Assessment Sheet'!Q144</f>
        <v>0</v>
      </c>
      <c r="N117" s="16">
        <f>'Repair Assessment Sheet'!R144</f>
        <v>0</v>
      </c>
      <c r="O117" s="51">
        <f>'Repair Assessment Sheet'!S144</f>
        <v>0</v>
      </c>
      <c r="P117" s="16"/>
      <c r="Q117" s="31"/>
      <c r="R117" s="31"/>
      <c r="S117" s="31"/>
      <c r="T117" s="31"/>
    </row>
    <row r="118" spans="1:20" ht="15" thickBot="1" x14ac:dyDescent="0.4">
      <c r="A118" s="16">
        <v>105</v>
      </c>
      <c r="B118" s="16">
        <f t="shared" si="2"/>
        <v>0</v>
      </c>
      <c r="C118" s="16">
        <f>'Repair Assessment Sheet'!D145</f>
        <v>0</v>
      </c>
      <c r="D118" s="16">
        <f>'Repair Assessment Sheet'!E145</f>
        <v>0</v>
      </c>
      <c r="E118" s="16">
        <f>'Repair Assessment Sheet'!F145</f>
        <v>0</v>
      </c>
      <c r="F118" s="16">
        <f>'Repair Assessment Sheet'!G145</f>
        <v>0</v>
      </c>
      <c r="G118" s="632">
        <f>'Repair Assessment Sheet'!H145</f>
        <v>0</v>
      </c>
      <c r="H118" s="633"/>
      <c r="I118" s="634"/>
      <c r="J118" s="16">
        <f>'Repair Assessment Sheet'!T145</f>
        <v>0</v>
      </c>
      <c r="K118" s="16">
        <f>'Repair Assessment Sheet'!J145</f>
        <v>0</v>
      </c>
      <c r="L118" s="16">
        <f>'Repair Assessment Sheet'!K145*200</f>
        <v>0</v>
      </c>
      <c r="M118" s="16">
        <f>'Repair Assessment Sheet'!Q145</f>
        <v>0</v>
      </c>
      <c r="N118" s="16">
        <f>'Repair Assessment Sheet'!R145</f>
        <v>0</v>
      </c>
      <c r="O118" s="51">
        <f>'Repair Assessment Sheet'!S145</f>
        <v>0</v>
      </c>
      <c r="P118" s="16"/>
      <c r="Q118" s="31"/>
      <c r="R118" s="31"/>
      <c r="S118" s="31"/>
      <c r="T118" s="31"/>
    </row>
    <row r="119" spans="1:20" ht="15" thickBot="1" x14ac:dyDescent="0.4">
      <c r="A119" s="16">
        <v>106</v>
      </c>
      <c r="B119" s="16">
        <f t="shared" si="2"/>
        <v>0</v>
      </c>
      <c r="C119" s="16">
        <f>'Repair Assessment Sheet'!D146</f>
        <v>0</v>
      </c>
      <c r="D119" s="16">
        <f>'Repair Assessment Sheet'!E146</f>
        <v>0</v>
      </c>
      <c r="E119" s="16">
        <f>'Repair Assessment Sheet'!F146</f>
        <v>0</v>
      </c>
      <c r="F119" s="16">
        <f>'Repair Assessment Sheet'!G146</f>
        <v>0</v>
      </c>
      <c r="G119" s="632">
        <f>'Repair Assessment Sheet'!H146</f>
        <v>0</v>
      </c>
      <c r="H119" s="633"/>
      <c r="I119" s="634"/>
      <c r="J119" s="16">
        <f>'Repair Assessment Sheet'!T146</f>
        <v>0</v>
      </c>
      <c r="K119" s="16">
        <f>'Repair Assessment Sheet'!J146</f>
        <v>0</v>
      </c>
      <c r="L119" s="16">
        <f>'Repair Assessment Sheet'!K146*200</f>
        <v>0</v>
      </c>
      <c r="M119" s="16">
        <f>'Repair Assessment Sheet'!Q146</f>
        <v>0</v>
      </c>
      <c r="N119" s="16">
        <f>'Repair Assessment Sheet'!R146</f>
        <v>0</v>
      </c>
      <c r="O119" s="51">
        <f>'Repair Assessment Sheet'!S146</f>
        <v>0</v>
      </c>
      <c r="P119" s="16"/>
      <c r="Q119" s="31"/>
      <c r="R119" s="31"/>
      <c r="S119" s="31"/>
      <c r="T119" s="31"/>
    </row>
    <row r="120" spans="1:20" ht="15" thickBot="1" x14ac:dyDescent="0.4">
      <c r="A120" s="16">
        <v>107</v>
      </c>
      <c r="B120" s="16">
        <f t="shared" si="2"/>
        <v>0</v>
      </c>
      <c r="C120" s="16">
        <f>'Repair Assessment Sheet'!D147</f>
        <v>0</v>
      </c>
      <c r="D120" s="16">
        <f>'Repair Assessment Sheet'!E147</f>
        <v>0</v>
      </c>
      <c r="E120" s="16">
        <f>'Repair Assessment Sheet'!F147</f>
        <v>0</v>
      </c>
      <c r="F120" s="16">
        <f>'Repair Assessment Sheet'!G147</f>
        <v>0</v>
      </c>
      <c r="G120" s="632">
        <f>'Repair Assessment Sheet'!H147</f>
        <v>0</v>
      </c>
      <c r="H120" s="633"/>
      <c r="I120" s="634"/>
      <c r="J120" s="16">
        <f>'Repair Assessment Sheet'!T147</f>
        <v>0</v>
      </c>
      <c r="K120" s="16">
        <f>'Repair Assessment Sheet'!J147</f>
        <v>0</v>
      </c>
      <c r="L120" s="16">
        <f>'Repair Assessment Sheet'!K147*200</f>
        <v>0</v>
      </c>
      <c r="M120" s="16">
        <f>'Repair Assessment Sheet'!Q147</f>
        <v>0</v>
      </c>
      <c r="N120" s="16">
        <f>'Repair Assessment Sheet'!R147</f>
        <v>0</v>
      </c>
      <c r="O120" s="51">
        <f>'Repair Assessment Sheet'!S147</f>
        <v>0</v>
      </c>
      <c r="P120" s="16"/>
      <c r="Q120" s="31"/>
      <c r="R120" s="31"/>
      <c r="S120" s="31"/>
      <c r="T120" s="31"/>
    </row>
    <row r="121" spans="1:20" ht="15" thickBot="1" x14ac:dyDescent="0.4">
      <c r="A121" s="16">
        <v>108</v>
      </c>
      <c r="B121" s="16">
        <f t="shared" si="2"/>
        <v>0</v>
      </c>
      <c r="C121" s="16">
        <f>'Repair Assessment Sheet'!D148</f>
        <v>0</v>
      </c>
      <c r="D121" s="16">
        <f>'Repair Assessment Sheet'!E148</f>
        <v>0</v>
      </c>
      <c r="E121" s="16">
        <f>'Repair Assessment Sheet'!F148</f>
        <v>0</v>
      </c>
      <c r="F121" s="16">
        <f>'Repair Assessment Sheet'!G148</f>
        <v>0</v>
      </c>
      <c r="G121" s="632">
        <f>'Repair Assessment Sheet'!H148</f>
        <v>0</v>
      </c>
      <c r="H121" s="633"/>
      <c r="I121" s="634"/>
      <c r="J121" s="16">
        <f>'Repair Assessment Sheet'!T148</f>
        <v>0</v>
      </c>
      <c r="K121" s="16">
        <f>'Repair Assessment Sheet'!J148</f>
        <v>0</v>
      </c>
      <c r="L121" s="16">
        <f>'Repair Assessment Sheet'!K148*200</f>
        <v>0</v>
      </c>
      <c r="M121" s="16">
        <f>'Repair Assessment Sheet'!Q148</f>
        <v>0</v>
      </c>
      <c r="N121" s="16">
        <f>'Repair Assessment Sheet'!R148</f>
        <v>0</v>
      </c>
      <c r="O121" s="51">
        <f>'Repair Assessment Sheet'!S148</f>
        <v>0</v>
      </c>
      <c r="P121" s="16"/>
      <c r="Q121" s="31"/>
      <c r="R121" s="31"/>
      <c r="S121" s="31"/>
      <c r="T121" s="31"/>
    </row>
    <row r="122" spans="1:20" ht="15" thickBot="1" x14ac:dyDescent="0.4">
      <c r="A122" s="16">
        <v>109</v>
      </c>
      <c r="B122" s="16">
        <f t="shared" si="2"/>
        <v>0</v>
      </c>
      <c r="C122" s="16">
        <f>'Repair Assessment Sheet'!D149</f>
        <v>0</v>
      </c>
      <c r="D122" s="16">
        <f>'Repair Assessment Sheet'!E149</f>
        <v>0</v>
      </c>
      <c r="E122" s="16">
        <f>'Repair Assessment Sheet'!F149</f>
        <v>0</v>
      </c>
      <c r="F122" s="16">
        <f>'Repair Assessment Sheet'!G149</f>
        <v>0</v>
      </c>
      <c r="G122" s="632">
        <f>'Repair Assessment Sheet'!H149</f>
        <v>0</v>
      </c>
      <c r="H122" s="633"/>
      <c r="I122" s="634"/>
      <c r="J122" s="16">
        <f>'Repair Assessment Sheet'!T149</f>
        <v>0</v>
      </c>
      <c r="K122" s="16">
        <f>'Repair Assessment Sheet'!J149</f>
        <v>0</v>
      </c>
      <c r="L122" s="16">
        <f>'Repair Assessment Sheet'!K149*200</f>
        <v>0</v>
      </c>
      <c r="M122" s="16">
        <f>'Repair Assessment Sheet'!Q149</f>
        <v>0</v>
      </c>
      <c r="N122" s="16">
        <f>'Repair Assessment Sheet'!R149</f>
        <v>0</v>
      </c>
      <c r="O122" s="51">
        <f>'Repair Assessment Sheet'!S149</f>
        <v>0</v>
      </c>
      <c r="P122" s="16"/>
      <c r="Q122" s="31"/>
      <c r="R122" s="31"/>
      <c r="S122" s="31"/>
      <c r="T122" s="31"/>
    </row>
    <row r="123" spans="1:20" ht="15" thickBot="1" x14ac:dyDescent="0.4">
      <c r="A123" s="16">
        <v>110</v>
      </c>
      <c r="B123" s="16">
        <f t="shared" si="2"/>
        <v>0</v>
      </c>
      <c r="C123" s="16">
        <f>'Repair Assessment Sheet'!D150</f>
        <v>0</v>
      </c>
      <c r="D123" s="16">
        <f>'Repair Assessment Sheet'!E150</f>
        <v>0</v>
      </c>
      <c r="E123" s="16">
        <f>'Repair Assessment Sheet'!F150</f>
        <v>0</v>
      </c>
      <c r="F123" s="16">
        <f>'Repair Assessment Sheet'!G150</f>
        <v>0</v>
      </c>
      <c r="G123" s="632">
        <f>'Repair Assessment Sheet'!H150</f>
        <v>0</v>
      </c>
      <c r="H123" s="633"/>
      <c r="I123" s="634"/>
      <c r="J123" s="16">
        <f>'Repair Assessment Sheet'!T150</f>
        <v>0</v>
      </c>
      <c r="K123" s="16">
        <f>'Repair Assessment Sheet'!J150</f>
        <v>0</v>
      </c>
      <c r="L123" s="16">
        <f>'Repair Assessment Sheet'!K150*200</f>
        <v>0</v>
      </c>
      <c r="M123" s="16">
        <f>'Repair Assessment Sheet'!Q150</f>
        <v>0</v>
      </c>
      <c r="N123" s="16">
        <f>'Repair Assessment Sheet'!R150</f>
        <v>0</v>
      </c>
      <c r="O123" s="51">
        <f>'Repair Assessment Sheet'!S150</f>
        <v>0</v>
      </c>
      <c r="P123" s="16"/>
      <c r="Q123" s="31"/>
      <c r="R123" s="31"/>
      <c r="S123" s="31"/>
      <c r="T123" s="31"/>
    </row>
    <row r="124" spans="1:20" ht="15" thickBot="1" x14ac:dyDescent="0.4">
      <c r="A124" s="16">
        <v>111</v>
      </c>
      <c r="B124" s="16">
        <f t="shared" si="2"/>
        <v>0</v>
      </c>
      <c r="C124" s="16">
        <f>'Repair Assessment Sheet'!D151</f>
        <v>0</v>
      </c>
      <c r="D124" s="16">
        <f>'Repair Assessment Sheet'!E151</f>
        <v>0</v>
      </c>
      <c r="E124" s="16">
        <f>'Repair Assessment Sheet'!F151</f>
        <v>0</v>
      </c>
      <c r="F124" s="16">
        <f>'Repair Assessment Sheet'!G151</f>
        <v>0</v>
      </c>
      <c r="G124" s="632">
        <f>'Repair Assessment Sheet'!H151</f>
        <v>0</v>
      </c>
      <c r="H124" s="633"/>
      <c r="I124" s="634"/>
      <c r="J124" s="16">
        <f>'Repair Assessment Sheet'!T151</f>
        <v>0</v>
      </c>
      <c r="K124" s="16">
        <f>'Repair Assessment Sheet'!J151</f>
        <v>0</v>
      </c>
      <c r="L124" s="16">
        <f>'Repair Assessment Sheet'!K151*200</f>
        <v>0</v>
      </c>
      <c r="M124" s="16">
        <f>'Repair Assessment Sheet'!Q151</f>
        <v>0</v>
      </c>
      <c r="N124" s="16">
        <f>'Repair Assessment Sheet'!R151</f>
        <v>0</v>
      </c>
      <c r="O124" s="51">
        <f>'Repair Assessment Sheet'!S151</f>
        <v>0</v>
      </c>
      <c r="P124" s="16"/>
      <c r="Q124" s="31"/>
      <c r="R124" s="31"/>
      <c r="S124" s="31"/>
      <c r="T124" s="31"/>
    </row>
    <row r="125" spans="1:20" ht="15" thickBot="1" x14ac:dyDescent="0.4">
      <c r="A125" s="16">
        <v>112</v>
      </c>
      <c r="B125" s="16">
        <f t="shared" si="2"/>
        <v>0</v>
      </c>
      <c r="C125" s="16">
        <f>'Repair Assessment Sheet'!D152</f>
        <v>0</v>
      </c>
      <c r="D125" s="16">
        <f>'Repair Assessment Sheet'!E152</f>
        <v>0</v>
      </c>
      <c r="E125" s="16">
        <f>'Repair Assessment Sheet'!F152</f>
        <v>0</v>
      </c>
      <c r="F125" s="16">
        <f>'Repair Assessment Sheet'!G152</f>
        <v>0</v>
      </c>
      <c r="G125" s="632">
        <f>'Repair Assessment Sheet'!H152</f>
        <v>0</v>
      </c>
      <c r="H125" s="633"/>
      <c r="I125" s="634"/>
      <c r="J125" s="16">
        <f>'Repair Assessment Sheet'!T152</f>
        <v>0</v>
      </c>
      <c r="K125" s="16">
        <f>'Repair Assessment Sheet'!J152</f>
        <v>0</v>
      </c>
      <c r="L125" s="16">
        <f>'Repair Assessment Sheet'!K152*200</f>
        <v>0</v>
      </c>
      <c r="M125" s="16">
        <f>'Repair Assessment Sheet'!Q152</f>
        <v>0</v>
      </c>
      <c r="N125" s="16">
        <f>'Repair Assessment Sheet'!R152</f>
        <v>0</v>
      </c>
      <c r="O125" s="51">
        <f>'Repair Assessment Sheet'!S152</f>
        <v>0</v>
      </c>
      <c r="P125" s="16"/>
      <c r="Q125" s="31"/>
      <c r="R125" s="31"/>
      <c r="S125" s="31"/>
      <c r="T125" s="31"/>
    </row>
    <row r="126" spans="1:20" ht="15" thickBot="1" x14ac:dyDescent="0.4">
      <c r="A126" s="16">
        <v>113</v>
      </c>
      <c r="B126" s="16">
        <f t="shared" si="2"/>
        <v>0</v>
      </c>
      <c r="C126" s="16">
        <f>'Repair Assessment Sheet'!D153</f>
        <v>0</v>
      </c>
      <c r="D126" s="16">
        <f>'Repair Assessment Sheet'!E153</f>
        <v>0</v>
      </c>
      <c r="E126" s="16">
        <f>'Repair Assessment Sheet'!F153</f>
        <v>0</v>
      </c>
      <c r="F126" s="16">
        <f>'Repair Assessment Sheet'!G153</f>
        <v>0</v>
      </c>
      <c r="G126" s="632">
        <f>'Repair Assessment Sheet'!H153</f>
        <v>0</v>
      </c>
      <c r="H126" s="633"/>
      <c r="I126" s="634"/>
      <c r="J126" s="16">
        <f>'Repair Assessment Sheet'!T153</f>
        <v>0</v>
      </c>
      <c r="K126" s="16">
        <f>'Repair Assessment Sheet'!J153</f>
        <v>0</v>
      </c>
      <c r="L126" s="16">
        <f>'Repair Assessment Sheet'!K153*200</f>
        <v>0</v>
      </c>
      <c r="M126" s="16">
        <f>'Repair Assessment Sheet'!Q153</f>
        <v>0</v>
      </c>
      <c r="N126" s="16">
        <f>'Repair Assessment Sheet'!R153</f>
        <v>0</v>
      </c>
      <c r="O126" s="51">
        <f>'Repair Assessment Sheet'!S153</f>
        <v>0</v>
      </c>
      <c r="P126" s="16"/>
      <c r="Q126" s="31"/>
      <c r="R126" s="31"/>
      <c r="S126" s="31"/>
      <c r="T126" s="31"/>
    </row>
    <row r="127" spans="1:20" ht="15" thickBot="1" x14ac:dyDescent="0.4">
      <c r="A127" s="16">
        <v>114</v>
      </c>
      <c r="B127" s="16">
        <f t="shared" si="2"/>
        <v>0</v>
      </c>
      <c r="C127" s="16">
        <f>'Repair Assessment Sheet'!D154</f>
        <v>0</v>
      </c>
      <c r="D127" s="16">
        <f>'Repair Assessment Sheet'!E154</f>
        <v>0</v>
      </c>
      <c r="E127" s="16">
        <f>'Repair Assessment Sheet'!F154</f>
        <v>0</v>
      </c>
      <c r="F127" s="16">
        <f>'Repair Assessment Sheet'!G154</f>
        <v>0</v>
      </c>
      <c r="G127" s="632">
        <f>'Repair Assessment Sheet'!H154</f>
        <v>0</v>
      </c>
      <c r="H127" s="633"/>
      <c r="I127" s="634"/>
      <c r="J127" s="16">
        <f>'Repair Assessment Sheet'!T154</f>
        <v>0</v>
      </c>
      <c r="K127" s="16">
        <f>'Repair Assessment Sheet'!J154</f>
        <v>0</v>
      </c>
      <c r="L127" s="16">
        <f>'Repair Assessment Sheet'!K154*200</f>
        <v>0</v>
      </c>
      <c r="M127" s="16">
        <f>'Repair Assessment Sheet'!Q154</f>
        <v>0</v>
      </c>
      <c r="N127" s="16">
        <f>'Repair Assessment Sheet'!R154</f>
        <v>0</v>
      </c>
      <c r="O127" s="51">
        <f>'Repair Assessment Sheet'!S154</f>
        <v>0</v>
      </c>
      <c r="P127" s="16"/>
      <c r="Q127" s="31"/>
      <c r="R127" s="31"/>
      <c r="S127" s="31"/>
      <c r="T127" s="31"/>
    </row>
    <row r="128" spans="1:20" ht="15" thickBot="1" x14ac:dyDescent="0.4">
      <c r="A128" s="16">
        <v>115</v>
      </c>
      <c r="B128" s="16">
        <f t="shared" si="2"/>
        <v>0</v>
      </c>
      <c r="C128" s="16">
        <f>'Repair Assessment Sheet'!D155</f>
        <v>0</v>
      </c>
      <c r="D128" s="16">
        <f>'Repair Assessment Sheet'!E155</f>
        <v>0</v>
      </c>
      <c r="E128" s="16">
        <f>'Repair Assessment Sheet'!F155</f>
        <v>0</v>
      </c>
      <c r="F128" s="16">
        <f>'Repair Assessment Sheet'!G155</f>
        <v>0</v>
      </c>
      <c r="G128" s="632">
        <f>'Repair Assessment Sheet'!H155</f>
        <v>0</v>
      </c>
      <c r="H128" s="633"/>
      <c r="I128" s="634"/>
      <c r="J128" s="16">
        <f>'Repair Assessment Sheet'!T155</f>
        <v>0</v>
      </c>
      <c r="K128" s="16">
        <f>'Repair Assessment Sheet'!J155</f>
        <v>0</v>
      </c>
      <c r="L128" s="16">
        <f>'Repair Assessment Sheet'!K155*200</f>
        <v>0</v>
      </c>
      <c r="M128" s="16">
        <f>'Repair Assessment Sheet'!Q155</f>
        <v>0</v>
      </c>
      <c r="N128" s="16">
        <f>'Repair Assessment Sheet'!R155</f>
        <v>0</v>
      </c>
      <c r="O128" s="51">
        <f>'Repair Assessment Sheet'!S155</f>
        <v>0</v>
      </c>
      <c r="P128" s="16"/>
      <c r="Q128" s="31"/>
      <c r="R128" s="31"/>
      <c r="S128" s="31"/>
      <c r="T128" s="31"/>
    </row>
    <row r="129" spans="1:20" ht="15" thickBot="1" x14ac:dyDescent="0.4">
      <c r="A129" s="16">
        <v>116</v>
      </c>
      <c r="B129" s="16">
        <f t="shared" si="2"/>
        <v>0</v>
      </c>
      <c r="C129" s="16">
        <f>'Repair Assessment Sheet'!D156</f>
        <v>0</v>
      </c>
      <c r="D129" s="16">
        <f>'Repair Assessment Sheet'!E156</f>
        <v>0</v>
      </c>
      <c r="E129" s="16">
        <f>'Repair Assessment Sheet'!F156</f>
        <v>0</v>
      </c>
      <c r="F129" s="16">
        <f>'Repair Assessment Sheet'!G156</f>
        <v>0</v>
      </c>
      <c r="G129" s="632">
        <f>'Repair Assessment Sheet'!H156</f>
        <v>0</v>
      </c>
      <c r="H129" s="633"/>
      <c r="I129" s="634"/>
      <c r="J129" s="16">
        <f>'Repair Assessment Sheet'!T156</f>
        <v>0</v>
      </c>
      <c r="K129" s="16">
        <f>'Repair Assessment Sheet'!J156</f>
        <v>0</v>
      </c>
      <c r="L129" s="16">
        <f>'Repair Assessment Sheet'!K156*200</f>
        <v>0</v>
      </c>
      <c r="M129" s="16">
        <f>'Repair Assessment Sheet'!Q156</f>
        <v>0</v>
      </c>
      <c r="N129" s="16">
        <f>'Repair Assessment Sheet'!R156</f>
        <v>0</v>
      </c>
      <c r="O129" s="51">
        <f>'Repair Assessment Sheet'!S156</f>
        <v>0</v>
      </c>
      <c r="P129" s="16"/>
      <c r="Q129" s="31"/>
      <c r="R129" s="31"/>
      <c r="S129" s="31"/>
      <c r="T129" s="31"/>
    </row>
    <row r="130" spans="1:20" ht="15" thickBot="1" x14ac:dyDescent="0.4">
      <c r="A130" s="16">
        <v>117</v>
      </c>
      <c r="B130" s="16">
        <f t="shared" si="2"/>
        <v>0</v>
      </c>
      <c r="C130" s="16">
        <f>'Repair Assessment Sheet'!D157</f>
        <v>0</v>
      </c>
      <c r="D130" s="16">
        <f>'Repair Assessment Sheet'!E157</f>
        <v>0</v>
      </c>
      <c r="E130" s="16">
        <f>'Repair Assessment Sheet'!F157</f>
        <v>0</v>
      </c>
      <c r="F130" s="16">
        <f>'Repair Assessment Sheet'!G157</f>
        <v>0</v>
      </c>
      <c r="G130" s="632">
        <f>'Repair Assessment Sheet'!H157</f>
        <v>0</v>
      </c>
      <c r="H130" s="633"/>
      <c r="I130" s="634"/>
      <c r="J130" s="16">
        <f>'Repair Assessment Sheet'!T157</f>
        <v>0</v>
      </c>
      <c r="K130" s="16">
        <f>'Repair Assessment Sheet'!J157</f>
        <v>0</v>
      </c>
      <c r="L130" s="16">
        <f>'Repair Assessment Sheet'!K157*200</f>
        <v>0</v>
      </c>
      <c r="M130" s="16">
        <f>'Repair Assessment Sheet'!Q157</f>
        <v>0</v>
      </c>
      <c r="N130" s="16">
        <f>'Repair Assessment Sheet'!R157</f>
        <v>0</v>
      </c>
      <c r="O130" s="51">
        <f>'Repair Assessment Sheet'!S157</f>
        <v>0</v>
      </c>
      <c r="P130" s="16"/>
      <c r="Q130" s="31"/>
      <c r="R130" s="31"/>
      <c r="S130" s="31"/>
      <c r="T130" s="31"/>
    </row>
    <row r="131" spans="1:20" ht="15" thickBot="1" x14ac:dyDescent="0.4">
      <c r="A131" s="16">
        <v>118</v>
      </c>
      <c r="B131" s="49"/>
      <c r="C131" s="16"/>
      <c r="D131" s="16"/>
      <c r="E131" s="16"/>
      <c r="F131" s="16"/>
      <c r="G131" s="632"/>
      <c r="H131" s="633"/>
      <c r="I131" s="634"/>
      <c r="J131" s="16"/>
      <c r="K131" s="16"/>
      <c r="L131" s="16"/>
      <c r="M131" s="16"/>
      <c r="N131" s="16"/>
      <c r="O131" s="16"/>
      <c r="P131" s="16"/>
      <c r="Q131" s="31"/>
      <c r="R131" s="31"/>
      <c r="S131" s="31"/>
      <c r="T131" s="31"/>
    </row>
    <row r="132" spans="1:20" ht="15" thickBot="1" x14ac:dyDescent="0.4">
      <c r="A132" s="16">
        <v>119</v>
      </c>
      <c r="B132" s="49"/>
      <c r="C132" s="16"/>
      <c r="D132" s="16"/>
      <c r="E132" s="16"/>
      <c r="F132" s="16"/>
      <c r="G132" s="632"/>
      <c r="H132" s="633"/>
      <c r="I132" s="634"/>
      <c r="J132" s="16"/>
      <c r="K132" s="16"/>
      <c r="L132" s="16"/>
      <c r="M132" s="16"/>
      <c r="N132" s="16"/>
      <c r="O132" s="16"/>
      <c r="P132" s="16"/>
      <c r="Q132" s="31"/>
      <c r="R132" s="31"/>
      <c r="S132" s="31"/>
      <c r="T132" s="31"/>
    </row>
    <row r="133" spans="1:20" ht="15" thickBot="1" x14ac:dyDescent="0.4">
      <c r="A133" s="16">
        <v>120</v>
      </c>
      <c r="B133" s="49"/>
      <c r="C133" s="16"/>
      <c r="D133" s="16"/>
      <c r="E133" s="16"/>
      <c r="F133" s="16"/>
      <c r="G133" s="632"/>
      <c r="H133" s="633"/>
      <c r="I133" s="634"/>
      <c r="J133" s="16"/>
      <c r="K133" s="16"/>
      <c r="L133" s="16"/>
      <c r="M133" s="16"/>
      <c r="N133" s="16"/>
      <c r="O133" s="16"/>
      <c r="P133" s="16"/>
      <c r="Q133" s="31"/>
      <c r="R133" s="31"/>
      <c r="S133" s="31"/>
      <c r="T133" s="31"/>
    </row>
    <row r="134" spans="1:20" ht="15" thickBot="1" x14ac:dyDescent="0.4">
      <c r="A134" s="16">
        <v>121</v>
      </c>
      <c r="B134" s="49"/>
      <c r="C134" s="16"/>
      <c r="D134" s="16"/>
      <c r="E134" s="16"/>
      <c r="F134" s="16"/>
      <c r="G134" s="632"/>
      <c r="H134" s="633"/>
      <c r="I134" s="634"/>
      <c r="J134" s="16"/>
      <c r="K134" s="16"/>
      <c r="L134" s="16"/>
      <c r="M134" s="16"/>
      <c r="N134" s="16"/>
      <c r="O134" s="16"/>
      <c r="P134" s="16"/>
      <c r="Q134" s="31"/>
      <c r="R134" s="31"/>
      <c r="S134" s="31"/>
      <c r="T134" s="31"/>
    </row>
    <row r="135" spans="1:20" ht="15" thickBot="1" x14ac:dyDescent="0.4">
      <c r="A135" s="16">
        <v>122</v>
      </c>
      <c r="B135" s="49"/>
      <c r="C135" s="16"/>
      <c r="D135" s="16"/>
      <c r="E135" s="16"/>
      <c r="F135" s="16"/>
      <c r="G135" s="632"/>
      <c r="H135" s="633"/>
      <c r="I135" s="634"/>
      <c r="J135" s="16"/>
      <c r="K135" s="16"/>
      <c r="L135" s="16"/>
      <c r="M135" s="16"/>
      <c r="N135" s="16"/>
      <c r="O135" s="16"/>
      <c r="P135" s="16"/>
      <c r="Q135" s="31"/>
      <c r="R135" s="31"/>
      <c r="S135" s="31"/>
      <c r="T135" s="31"/>
    </row>
    <row r="136" spans="1:20" ht="15" thickBot="1" x14ac:dyDescent="0.4">
      <c r="A136" s="16">
        <v>123</v>
      </c>
      <c r="B136" s="49"/>
      <c r="C136" s="16"/>
      <c r="D136" s="16"/>
      <c r="E136" s="16"/>
      <c r="F136" s="16"/>
      <c r="G136" s="632"/>
      <c r="H136" s="633"/>
      <c r="I136" s="634"/>
      <c r="J136" s="16"/>
      <c r="K136" s="16"/>
      <c r="L136" s="16"/>
      <c r="M136" s="16"/>
      <c r="N136" s="16"/>
      <c r="O136" s="16"/>
      <c r="P136" s="16"/>
      <c r="Q136" s="31"/>
      <c r="R136" s="31"/>
      <c r="S136" s="31"/>
      <c r="T136" s="31"/>
    </row>
    <row r="137" spans="1:20" ht="15" thickBot="1" x14ac:dyDescent="0.4">
      <c r="A137" s="16">
        <v>124</v>
      </c>
      <c r="B137" s="49"/>
      <c r="C137" s="16"/>
      <c r="D137" s="16"/>
      <c r="E137" s="16"/>
      <c r="F137" s="16"/>
      <c r="G137" s="632"/>
      <c r="H137" s="633"/>
      <c r="I137" s="634"/>
      <c r="J137" s="16"/>
      <c r="K137" s="16"/>
      <c r="L137" s="16"/>
      <c r="M137" s="16"/>
      <c r="N137" s="16"/>
      <c r="O137" s="16"/>
      <c r="P137" s="16"/>
      <c r="Q137" s="31"/>
      <c r="R137" s="31"/>
      <c r="S137" s="31"/>
      <c r="T137" s="31"/>
    </row>
    <row r="138" spans="1:20" ht="15" thickBot="1" x14ac:dyDescent="0.4">
      <c r="A138" s="16">
        <v>125</v>
      </c>
      <c r="B138" s="49"/>
      <c r="C138" s="16"/>
      <c r="D138" s="16"/>
      <c r="E138" s="16"/>
      <c r="F138" s="16"/>
      <c r="G138" s="632"/>
      <c r="H138" s="633"/>
      <c r="I138" s="634"/>
      <c r="J138" s="16"/>
      <c r="K138" s="16"/>
      <c r="L138" s="16"/>
      <c r="M138" s="16"/>
      <c r="N138" s="16"/>
      <c r="O138" s="16"/>
      <c r="P138" s="16"/>
      <c r="Q138" s="31"/>
      <c r="R138" s="31"/>
      <c r="S138" s="31"/>
      <c r="T138" s="31"/>
    </row>
    <row r="139" spans="1:20" ht="15" thickBot="1" x14ac:dyDescent="0.4">
      <c r="A139" s="16">
        <v>126</v>
      </c>
      <c r="B139" s="49"/>
      <c r="C139" s="16"/>
      <c r="D139" s="16"/>
      <c r="E139" s="16"/>
      <c r="F139" s="16"/>
      <c r="G139" s="632"/>
      <c r="H139" s="633"/>
      <c r="I139" s="634"/>
      <c r="J139" s="16"/>
      <c r="K139" s="16"/>
      <c r="L139" s="16"/>
      <c r="M139" s="16"/>
      <c r="N139" s="16"/>
      <c r="O139" s="16"/>
      <c r="P139" s="16"/>
      <c r="Q139" s="31"/>
      <c r="R139" s="31"/>
      <c r="S139" s="31"/>
      <c r="T139" s="31"/>
    </row>
    <row r="140" spans="1:20" ht="15" thickBot="1" x14ac:dyDescent="0.4">
      <c r="A140" s="16">
        <v>127</v>
      </c>
      <c r="B140" s="49"/>
      <c r="C140" s="16"/>
      <c r="D140" s="16"/>
      <c r="E140" s="16"/>
      <c r="F140" s="16"/>
      <c r="G140" s="632"/>
      <c r="H140" s="633"/>
      <c r="I140" s="634"/>
      <c r="J140" s="16"/>
      <c r="K140" s="16"/>
      <c r="L140" s="16"/>
      <c r="M140" s="16"/>
      <c r="N140" s="16"/>
      <c r="O140" s="16"/>
      <c r="P140" s="16"/>
      <c r="Q140" s="31"/>
      <c r="R140" s="31"/>
      <c r="S140" s="31"/>
      <c r="T140" s="31"/>
    </row>
    <row r="141" spans="1:20" ht="15" thickBot="1" x14ac:dyDescent="0.4">
      <c r="A141" s="16">
        <v>128</v>
      </c>
      <c r="B141" s="49"/>
      <c r="C141" s="16"/>
      <c r="D141" s="16"/>
      <c r="E141" s="16"/>
      <c r="F141" s="16"/>
      <c r="G141" s="632"/>
      <c r="H141" s="633"/>
      <c r="I141" s="634"/>
      <c r="J141" s="16"/>
      <c r="K141" s="16"/>
      <c r="L141" s="16"/>
      <c r="M141" s="16"/>
      <c r="N141" s="16"/>
      <c r="O141" s="16"/>
      <c r="P141" s="16"/>
      <c r="Q141" s="31"/>
      <c r="R141" s="31"/>
      <c r="S141" s="31"/>
      <c r="T141" s="31"/>
    </row>
    <row r="142" spans="1:20" ht="15" thickBot="1" x14ac:dyDescent="0.4">
      <c r="A142" s="16">
        <v>129</v>
      </c>
      <c r="B142" s="49"/>
      <c r="C142" s="16"/>
      <c r="D142" s="16"/>
      <c r="E142" s="16"/>
      <c r="F142" s="16"/>
      <c r="G142" s="632"/>
      <c r="H142" s="633"/>
      <c r="I142" s="634"/>
      <c r="J142" s="16"/>
      <c r="K142" s="16"/>
      <c r="L142" s="16"/>
      <c r="M142" s="16"/>
      <c r="N142" s="16"/>
      <c r="O142" s="16"/>
      <c r="P142" s="16"/>
      <c r="Q142" s="31"/>
      <c r="R142" s="31"/>
      <c r="S142" s="31"/>
      <c r="T142" s="31"/>
    </row>
    <row r="143" spans="1:20" ht="15" thickBot="1" x14ac:dyDescent="0.4">
      <c r="A143" s="16">
        <v>130</v>
      </c>
      <c r="B143" s="49"/>
      <c r="C143" s="16"/>
      <c r="D143" s="16"/>
      <c r="E143" s="16"/>
      <c r="F143" s="16"/>
      <c r="G143" s="632"/>
      <c r="H143" s="633"/>
      <c r="I143" s="634"/>
      <c r="J143" s="16"/>
      <c r="K143" s="16"/>
      <c r="L143" s="16"/>
      <c r="M143" s="16"/>
      <c r="N143" s="16"/>
      <c r="O143" s="16"/>
      <c r="P143" s="16"/>
      <c r="Q143" s="31"/>
      <c r="R143" s="31"/>
      <c r="S143" s="31"/>
      <c r="T143" s="31"/>
    </row>
    <row r="144" spans="1:20" ht="15" thickBot="1" x14ac:dyDescent="0.4">
      <c r="A144" s="16">
        <v>131</v>
      </c>
      <c r="B144" s="49"/>
      <c r="C144" s="16"/>
      <c r="D144" s="16"/>
      <c r="E144" s="16"/>
      <c r="F144" s="16"/>
      <c r="G144" s="632"/>
      <c r="H144" s="633"/>
      <c r="I144" s="634"/>
      <c r="J144" s="16"/>
      <c r="K144" s="16"/>
      <c r="L144" s="16"/>
      <c r="M144" s="16"/>
      <c r="N144" s="16"/>
      <c r="O144" s="16"/>
      <c r="P144" s="16"/>
      <c r="Q144" s="31"/>
      <c r="R144" s="31"/>
      <c r="S144" s="31"/>
      <c r="T144" s="31"/>
    </row>
    <row r="145" spans="1:20" ht="15" thickBot="1" x14ac:dyDescent="0.4">
      <c r="A145" s="16">
        <v>132</v>
      </c>
      <c r="B145" s="49"/>
      <c r="C145" s="16"/>
      <c r="D145" s="16"/>
      <c r="E145" s="16"/>
      <c r="F145" s="16"/>
      <c r="G145" s="632"/>
      <c r="H145" s="633"/>
      <c r="I145" s="634"/>
      <c r="J145" s="16"/>
      <c r="K145" s="16"/>
      <c r="L145" s="16"/>
      <c r="M145" s="16"/>
      <c r="N145" s="16"/>
      <c r="O145" s="16"/>
      <c r="P145" s="16"/>
      <c r="Q145" s="31"/>
      <c r="R145" s="31"/>
      <c r="S145" s="31"/>
      <c r="T145" s="31"/>
    </row>
    <row r="146" spans="1:20" ht="15" thickBot="1" x14ac:dyDescent="0.4">
      <c r="A146" s="16">
        <v>133</v>
      </c>
      <c r="B146" s="49"/>
      <c r="C146" s="16"/>
      <c r="D146" s="16"/>
      <c r="E146" s="16"/>
      <c r="F146" s="16"/>
      <c r="G146" s="632"/>
      <c r="H146" s="633"/>
      <c r="I146" s="634"/>
      <c r="J146" s="16"/>
      <c r="K146" s="16"/>
      <c r="L146" s="16"/>
      <c r="M146" s="16"/>
      <c r="N146" s="16"/>
      <c r="O146" s="16"/>
      <c r="P146" s="16"/>
      <c r="Q146" s="31"/>
      <c r="R146" s="31"/>
      <c r="S146" s="31"/>
      <c r="T146" s="31"/>
    </row>
    <row r="147" spans="1:20" ht="15" thickBot="1" x14ac:dyDescent="0.4">
      <c r="A147" s="16">
        <v>134</v>
      </c>
      <c r="B147" s="49"/>
      <c r="C147" s="16"/>
      <c r="D147" s="16"/>
      <c r="E147" s="16"/>
      <c r="F147" s="16"/>
      <c r="G147" s="632"/>
      <c r="H147" s="633"/>
      <c r="I147" s="634"/>
      <c r="J147" s="16"/>
      <c r="K147" s="16"/>
      <c r="L147" s="16"/>
      <c r="M147" s="16"/>
      <c r="N147" s="16"/>
      <c r="O147" s="16"/>
      <c r="P147" s="16"/>
      <c r="Q147" s="31"/>
      <c r="R147" s="31"/>
      <c r="S147" s="31"/>
      <c r="T147" s="31"/>
    </row>
    <row r="148" spans="1:20" ht="15" thickBot="1" x14ac:dyDescent="0.4">
      <c r="A148" s="16">
        <v>135</v>
      </c>
      <c r="B148" s="49"/>
      <c r="C148" s="16"/>
      <c r="D148" s="16"/>
      <c r="E148" s="16"/>
      <c r="F148" s="16"/>
      <c r="G148" s="632"/>
      <c r="H148" s="633"/>
      <c r="I148" s="634"/>
      <c r="J148" s="16"/>
      <c r="K148" s="16"/>
      <c r="L148" s="16"/>
      <c r="M148" s="16"/>
      <c r="N148" s="16"/>
      <c r="O148" s="16"/>
      <c r="P148" s="16"/>
      <c r="Q148" s="31"/>
      <c r="R148" s="31"/>
      <c r="S148" s="31"/>
      <c r="T148" s="31"/>
    </row>
    <row r="149" spans="1:20" ht="15" thickBot="1" x14ac:dyDescent="0.4">
      <c r="A149" s="16">
        <v>136</v>
      </c>
      <c r="B149" s="49"/>
      <c r="C149" s="16"/>
      <c r="D149" s="16"/>
      <c r="E149" s="16"/>
      <c r="F149" s="16"/>
      <c r="G149" s="632"/>
      <c r="H149" s="633"/>
      <c r="I149" s="634"/>
      <c r="J149" s="16"/>
      <c r="K149" s="16"/>
      <c r="L149" s="16"/>
      <c r="M149" s="16"/>
      <c r="N149" s="16"/>
      <c r="O149" s="16"/>
      <c r="P149" s="16"/>
      <c r="Q149" s="31"/>
      <c r="R149" s="31"/>
      <c r="S149" s="31"/>
      <c r="T149" s="31"/>
    </row>
    <row r="150" spans="1:20" ht="15" thickBot="1" x14ac:dyDescent="0.4">
      <c r="A150" s="16">
        <v>137</v>
      </c>
      <c r="B150" s="49"/>
      <c r="C150" s="16"/>
      <c r="D150" s="16"/>
      <c r="E150" s="16"/>
      <c r="F150" s="16"/>
      <c r="G150" s="632"/>
      <c r="H150" s="633"/>
      <c r="I150" s="634"/>
      <c r="J150" s="16"/>
      <c r="K150" s="16"/>
      <c r="L150" s="16"/>
      <c r="M150" s="16"/>
      <c r="N150" s="16"/>
      <c r="O150" s="16"/>
      <c r="P150" s="16"/>
      <c r="Q150" s="31"/>
      <c r="R150" s="31"/>
      <c r="S150" s="31"/>
      <c r="T150" s="31"/>
    </row>
    <row r="151" spans="1:20" ht="15" thickBot="1" x14ac:dyDescent="0.4">
      <c r="A151" s="16">
        <v>138</v>
      </c>
      <c r="B151" s="49"/>
      <c r="C151" s="16"/>
      <c r="D151" s="16"/>
      <c r="E151" s="16"/>
      <c r="F151" s="16"/>
      <c r="G151" s="632"/>
      <c r="H151" s="633"/>
      <c r="I151" s="634"/>
      <c r="J151" s="16"/>
      <c r="K151" s="16"/>
      <c r="L151" s="16"/>
      <c r="M151" s="16"/>
      <c r="N151" s="16"/>
      <c r="O151" s="16"/>
      <c r="P151" s="16"/>
      <c r="Q151" s="31"/>
      <c r="R151" s="31"/>
      <c r="S151" s="31"/>
      <c r="T151" s="31"/>
    </row>
    <row r="152" spans="1:20" ht="15" thickBot="1" x14ac:dyDescent="0.4">
      <c r="A152" s="16">
        <v>139</v>
      </c>
      <c r="B152" s="49"/>
      <c r="C152" s="16"/>
      <c r="D152" s="16"/>
      <c r="E152" s="16"/>
      <c r="F152" s="16"/>
      <c r="G152" s="632"/>
      <c r="H152" s="633"/>
      <c r="I152" s="634"/>
      <c r="J152" s="16"/>
      <c r="K152" s="16"/>
      <c r="L152" s="16"/>
      <c r="M152" s="16"/>
      <c r="N152" s="16"/>
      <c r="O152" s="16"/>
      <c r="P152" s="16"/>
      <c r="Q152" s="31"/>
      <c r="R152" s="31"/>
      <c r="S152" s="31"/>
      <c r="T152" s="31"/>
    </row>
    <row r="153" spans="1:20" ht="15" thickBot="1" x14ac:dyDescent="0.4">
      <c r="A153" s="16">
        <v>140</v>
      </c>
      <c r="B153" s="49"/>
      <c r="C153" s="16"/>
      <c r="D153" s="16"/>
      <c r="E153" s="16"/>
      <c r="F153" s="16"/>
      <c r="G153" s="632"/>
      <c r="H153" s="633"/>
      <c r="I153" s="634"/>
      <c r="J153" s="16"/>
      <c r="K153" s="16"/>
      <c r="L153" s="16"/>
      <c r="M153" s="16"/>
      <c r="N153" s="16"/>
      <c r="O153" s="16"/>
      <c r="P153" s="16"/>
      <c r="Q153" s="31"/>
      <c r="R153" s="31"/>
      <c r="S153" s="31"/>
      <c r="T153" s="31"/>
    </row>
    <row r="154" spans="1:20" ht="15" thickBot="1" x14ac:dyDescent="0.4">
      <c r="A154" s="16">
        <v>141</v>
      </c>
      <c r="B154" s="49"/>
      <c r="C154" s="16"/>
      <c r="D154" s="16"/>
      <c r="E154" s="16"/>
      <c r="F154" s="16"/>
      <c r="G154" s="632"/>
      <c r="H154" s="633"/>
      <c r="I154" s="634"/>
      <c r="J154" s="16"/>
      <c r="K154" s="16"/>
      <c r="L154" s="16"/>
      <c r="M154" s="16"/>
      <c r="N154" s="16"/>
      <c r="O154" s="16"/>
      <c r="P154" s="16"/>
      <c r="Q154" s="31"/>
      <c r="R154" s="31"/>
      <c r="S154" s="31"/>
      <c r="T154" s="31"/>
    </row>
    <row r="155" spans="1:20" ht="15" thickBot="1" x14ac:dyDescent="0.4">
      <c r="A155" s="16">
        <v>142</v>
      </c>
      <c r="B155" s="49"/>
      <c r="C155" s="16"/>
      <c r="D155" s="16"/>
      <c r="E155" s="16"/>
      <c r="F155" s="16"/>
      <c r="G155" s="632"/>
      <c r="H155" s="633"/>
      <c r="I155" s="634"/>
      <c r="J155" s="16"/>
      <c r="K155" s="16"/>
      <c r="L155" s="16"/>
      <c r="M155" s="16"/>
      <c r="N155" s="16"/>
      <c r="O155" s="16"/>
      <c r="P155" s="16"/>
      <c r="Q155" s="31"/>
      <c r="R155" s="31"/>
      <c r="S155" s="31"/>
      <c r="T155" s="31"/>
    </row>
    <row r="156" spans="1:20" ht="15" thickBot="1" x14ac:dyDescent="0.4">
      <c r="A156" s="16">
        <v>143</v>
      </c>
      <c r="B156" s="49"/>
      <c r="C156" s="16"/>
      <c r="D156" s="16"/>
      <c r="E156" s="16"/>
      <c r="F156" s="16"/>
      <c r="G156" s="632"/>
      <c r="H156" s="633"/>
      <c r="I156" s="634"/>
      <c r="J156" s="16"/>
      <c r="K156" s="16"/>
      <c r="L156" s="16"/>
      <c r="M156" s="16"/>
      <c r="N156" s="16"/>
      <c r="O156" s="16"/>
      <c r="P156" s="16"/>
      <c r="Q156" s="31"/>
      <c r="R156" s="31"/>
      <c r="S156" s="31"/>
      <c r="T156" s="31"/>
    </row>
    <row r="157" spans="1:20" ht="15" thickBot="1" x14ac:dyDescent="0.4">
      <c r="A157" s="16">
        <v>144</v>
      </c>
      <c r="B157" s="49"/>
      <c r="C157" s="16"/>
      <c r="D157" s="16"/>
      <c r="E157" s="16"/>
      <c r="F157" s="16"/>
      <c r="G157" s="632"/>
      <c r="H157" s="633"/>
      <c r="I157" s="634"/>
      <c r="J157" s="16"/>
      <c r="K157" s="16"/>
      <c r="L157" s="16"/>
      <c r="M157" s="16"/>
      <c r="N157" s="16"/>
      <c r="O157" s="16"/>
      <c r="P157" s="16"/>
      <c r="Q157" s="31"/>
      <c r="R157" s="31"/>
      <c r="S157" s="31"/>
      <c r="T157" s="31"/>
    </row>
    <row r="158" spans="1:20" ht="15" thickBot="1" x14ac:dyDescent="0.4">
      <c r="A158" s="16">
        <v>145</v>
      </c>
      <c r="B158" s="49"/>
      <c r="C158" s="16"/>
      <c r="D158" s="16"/>
      <c r="E158" s="16"/>
      <c r="F158" s="16"/>
      <c r="G158" s="632"/>
      <c r="H158" s="633"/>
      <c r="I158" s="634"/>
      <c r="J158" s="16"/>
      <c r="K158" s="16"/>
      <c r="L158" s="16"/>
      <c r="M158" s="16"/>
      <c r="N158" s="16"/>
      <c r="O158" s="16"/>
      <c r="P158" s="16"/>
      <c r="Q158" s="31"/>
      <c r="R158" s="31"/>
      <c r="S158" s="31"/>
      <c r="T158" s="31"/>
    </row>
    <row r="159" spans="1:20" ht="15" thickBot="1" x14ac:dyDescent="0.4">
      <c r="A159" s="16">
        <v>146</v>
      </c>
      <c r="B159" s="49"/>
      <c r="C159" s="16"/>
      <c r="D159" s="16"/>
      <c r="E159" s="16"/>
      <c r="F159" s="16"/>
      <c r="G159" s="632"/>
      <c r="H159" s="633"/>
      <c r="I159" s="634"/>
      <c r="J159" s="16"/>
      <c r="K159" s="16"/>
      <c r="L159" s="16"/>
      <c r="M159" s="16"/>
      <c r="N159" s="16"/>
      <c r="O159" s="16"/>
      <c r="P159" s="16"/>
      <c r="Q159" s="31"/>
      <c r="R159" s="31"/>
      <c r="S159" s="31"/>
      <c r="T159" s="31"/>
    </row>
    <row r="160" spans="1:20" ht="15" thickBot="1" x14ac:dyDescent="0.4">
      <c r="A160" s="16">
        <v>147</v>
      </c>
      <c r="B160" s="49"/>
      <c r="C160" s="16"/>
      <c r="D160" s="16"/>
      <c r="E160" s="16"/>
      <c r="F160" s="16"/>
      <c r="G160" s="632"/>
      <c r="H160" s="633"/>
      <c r="I160" s="634"/>
      <c r="J160" s="16"/>
      <c r="K160" s="16"/>
      <c r="L160" s="16"/>
      <c r="M160" s="16"/>
      <c r="N160" s="16"/>
      <c r="O160" s="16"/>
      <c r="P160" s="16"/>
      <c r="Q160" s="31"/>
      <c r="R160" s="31"/>
      <c r="S160" s="31"/>
      <c r="T160" s="31"/>
    </row>
    <row r="161" spans="1:20" ht="15" thickBot="1" x14ac:dyDescent="0.4">
      <c r="A161" s="16">
        <v>148</v>
      </c>
      <c r="B161" s="49"/>
      <c r="C161" s="16"/>
      <c r="D161" s="16"/>
      <c r="E161" s="16"/>
      <c r="F161" s="16"/>
      <c r="G161" s="632"/>
      <c r="H161" s="633"/>
      <c r="I161" s="634"/>
      <c r="J161" s="16"/>
      <c r="K161" s="16"/>
      <c r="L161" s="16"/>
      <c r="M161" s="16"/>
      <c r="N161" s="16"/>
      <c r="O161" s="16"/>
      <c r="P161" s="16"/>
      <c r="Q161" s="31"/>
      <c r="R161" s="31"/>
      <c r="S161" s="31"/>
      <c r="T161" s="31"/>
    </row>
    <row r="162" spans="1:20" ht="15" thickBot="1" x14ac:dyDescent="0.4">
      <c r="A162" s="16">
        <v>149</v>
      </c>
      <c r="B162" s="49"/>
      <c r="C162" s="16"/>
      <c r="D162" s="16"/>
      <c r="E162" s="16"/>
      <c r="F162" s="16"/>
      <c r="G162" s="632"/>
      <c r="H162" s="633"/>
      <c r="I162" s="634"/>
      <c r="J162" s="16"/>
      <c r="K162" s="16"/>
      <c r="L162" s="16"/>
      <c r="M162" s="16"/>
      <c r="N162" s="16"/>
      <c r="O162" s="16"/>
      <c r="P162" s="16"/>
      <c r="Q162" s="31"/>
      <c r="R162" s="31"/>
      <c r="S162" s="31"/>
      <c r="T162" s="31"/>
    </row>
    <row r="163" spans="1:20" ht="15" thickBot="1" x14ac:dyDescent="0.4">
      <c r="A163" s="16">
        <v>150</v>
      </c>
      <c r="B163" s="49"/>
      <c r="C163" s="16"/>
      <c r="D163" s="16"/>
      <c r="E163" s="16"/>
      <c r="F163" s="16"/>
      <c r="G163" s="632"/>
      <c r="H163" s="633"/>
      <c r="I163" s="634"/>
      <c r="J163" s="16"/>
      <c r="K163" s="16"/>
      <c r="L163" s="16"/>
      <c r="M163" s="16"/>
      <c r="N163" s="16"/>
      <c r="O163" s="16"/>
      <c r="P163" s="16"/>
      <c r="Q163" s="31"/>
      <c r="R163" s="31"/>
      <c r="S163" s="31"/>
      <c r="T163" s="31"/>
    </row>
    <row r="164" spans="1:20" ht="15" thickBot="1" x14ac:dyDescent="0.4">
      <c r="A164" s="16">
        <v>151</v>
      </c>
      <c r="B164" s="49"/>
      <c r="C164" s="16"/>
      <c r="D164" s="16"/>
      <c r="E164" s="16"/>
      <c r="F164" s="16"/>
      <c r="G164" s="632"/>
      <c r="H164" s="633"/>
      <c r="I164" s="634"/>
      <c r="J164" s="16"/>
      <c r="K164" s="16"/>
      <c r="L164" s="16"/>
      <c r="M164" s="16"/>
      <c r="N164" s="16"/>
      <c r="O164" s="16"/>
      <c r="P164" s="16"/>
      <c r="Q164" s="31"/>
      <c r="R164" s="31"/>
      <c r="S164" s="31"/>
      <c r="T164" s="31"/>
    </row>
    <row r="165" spans="1:20" ht="15" thickBot="1" x14ac:dyDescent="0.4">
      <c r="A165" s="16">
        <v>152</v>
      </c>
      <c r="B165" s="49"/>
      <c r="C165" s="16"/>
      <c r="D165" s="16"/>
      <c r="E165" s="16"/>
      <c r="F165" s="16"/>
      <c r="G165" s="632"/>
      <c r="H165" s="633"/>
      <c r="I165" s="634"/>
      <c r="J165" s="16"/>
      <c r="K165" s="16"/>
      <c r="L165" s="16"/>
      <c r="M165" s="16"/>
      <c r="N165" s="16"/>
      <c r="O165" s="16"/>
      <c r="P165" s="16"/>
      <c r="Q165" s="31"/>
      <c r="R165" s="31"/>
      <c r="S165" s="31"/>
      <c r="T165" s="31"/>
    </row>
    <row r="166" spans="1:20" ht="15" thickBot="1" x14ac:dyDescent="0.4">
      <c r="A166" s="16">
        <v>153</v>
      </c>
      <c r="B166" s="49"/>
      <c r="C166" s="16"/>
      <c r="D166" s="16"/>
      <c r="E166" s="16"/>
      <c r="F166" s="16"/>
      <c r="G166" s="632"/>
      <c r="H166" s="633"/>
      <c r="I166" s="634"/>
      <c r="J166" s="16"/>
      <c r="K166" s="16"/>
      <c r="L166" s="16"/>
      <c r="M166" s="16"/>
      <c r="N166" s="16"/>
      <c r="O166" s="16"/>
      <c r="P166" s="16"/>
      <c r="Q166" s="31"/>
      <c r="R166" s="31"/>
      <c r="S166" s="31"/>
      <c r="T166" s="31"/>
    </row>
    <row r="167" spans="1:20" ht="15" thickBot="1" x14ac:dyDescent="0.4">
      <c r="A167" s="16">
        <v>154</v>
      </c>
      <c r="B167" s="49"/>
      <c r="C167" s="16"/>
      <c r="D167" s="16"/>
      <c r="E167" s="16"/>
      <c r="F167" s="16"/>
      <c r="G167" s="632"/>
      <c r="H167" s="633"/>
      <c r="I167" s="634"/>
      <c r="J167" s="16"/>
      <c r="K167" s="16"/>
      <c r="L167" s="16"/>
      <c r="M167" s="16"/>
      <c r="N167" s="16"/>
      <c r="O167" s="16"/>
      <c r="P167" s="16"/>
      <c r="Q167" s="31"/>
      <c r="R167" s="31"/>
      <c r="S167" s="31"/>
      <c r="T167" s="31"/>
    </row>
    <row r="168" spans="1:20" ht="15" thickBot="1" x14ac:dyDescent="0.4">
      <c r="A168" s="16">
        <v>155</v>
      </c>
      <c r="B168" s="49"/>
      <c r="C168" s="16"/>
      <c r="D168" s="16"/>
      <c r="E168" s="16"/>
      <c r="F168" s="16"/>
      <c r="G168" s="632"/>
      <c r="H168" s="633"/>
      <c r="I168" s="634"/>
      <c r="J168" s="16"/>
      <c r="K168" s="16"/>
      <c r="L168" s="16"/>
      <c r="M168" s="16"/>
      <c r="N168" s="16"/>
      <c r="O168" s="16"/>
      <c r="P168" s="16"/>
      <c r="Q168" s="31"/>
      <c r="R168" s="31"/>
      <c r="S168" s="31"/>
      <c r="T168" s="31"/>
    </row>
    <row r="169" spans="1:20" ht="15" thickBot="1" x14ac:dyDescent="0.4">
      <c r="A169" s="16">
        <v>156</v>
      </c>
      <c r="B169" s="49"/>
      <c r="C169" s="16"/>
      <c r="D169" s="16"/>
      <c r="E169" s="16"/>
      <c r="F169" s="16"/>
      <c r="G169" s="632"/>
      <c r="H169" s="633"/>
      <c r="I169" s="634"/>
      <c r="J169" s="16"/>
      <c r="K169" s="16"/>
      <c r="L169" s="16"/>
      <c r="M169" s="16"/>
      <c r="N169" s="16"/>
      <c r="O169" s="16"/>
      <c r="P169" s="16"/>
      <c r="Q169" s="31"/>
      <c r="R169" s="31"/>
      <c r="S169" s="31"/>
      <c r="T169" s="31"/>
    </row>
    <row r="170" spans="1:20" ht="15" thickBot="1" x14ac:dyDescent="0.4">
      <c r="A170" s="16">
        <v>157</v>
      </c>
      <c r="B170" s="49"/>
      <c r="C170" s="16"/>
      <c r="D170" s="16"/>
      <c r="E170" s="16"/>
      <c r="F170" s="16"/>
      <c r="G170" s="632"/>
      <c r="H170" s="633"/>
      <c r="I170" s="634"/>
      <c r="J170" s="16"/>
      <c r="K170" s="16"/>
      <c r="L170" s="16"/>
      <c r="M170" s="16"/>
      <c r="N170" s="16"/>
      <c r="O170" s="16"/>
      <c r="P170" s="16"/>
      <c r="Q170" s="31"/>
      <c r="R170" s="31"/>
      <c r="S170" s="31"/>
      <c r="T170" s="31"/>
    </row>
    <row r="171" spans="1:20" ht="15" thickBot="1" x14ac:dyDescent="0.4">
      <c r="A171" s="16">
        <v>158</v>
      </c>
      <c r="B171" s="49"/>
      <c r="C171" s="16"/>
      <c r="D171" s="16"/>
      <c r="E171" s="16"/>
      <c r="F171" s="16"/>
      <c r="G171" s="632"/>
      <c r="H171" s="633"/>
      <c r="I171" s="634"/>
      <c r="J171" s="16"/>
      <c r="K171" s="16"/>
      <c r="L171" s="16"/>
      <c r="M171" s="16"/>
      <c r="N171" s="16"/>
      <c r="O171" s="16"/>
      <c r="P171" s="16"/>
      <c r="Q171" s="31"/>
      <c r="R171" s="31"/>
      <c r="S171" s="31"/>
      <c r="T171" s="31"/>
    </row>
    <row r="172" spans="1:20" ht="15" thickBot="1" x14ac:dyDescent="0.4">
      <c r="A172" s="16">
        <v>159</v>
      </c>
      <c r="B172" s="49"/>
      <c r="C172" s="16"/>
      <c r="D172" s="16"/>
      <c r="E172" s="16"/>
      <c r="F172" s="16"/>
      <c r="G172" s="632"/>
      <c r="H172" s="633"/>
      <c r="I172" s="634"/>
      <c r="J172" s="16"/>
      <c r="K172" s="16"/>
      <c r="L172" s="16"/>
      <c r="M172" s="16"/>
      <c r="N172" s="16"/>
      <c r="O172" s="16"/>
      <c r="P172" s="16"/>
      <c r="Q172" s="31"/>
      <c r="R172" s="31"/>
      <c r="S172" s="31"/>
      <c r="T172" s="31"/>
    </row>
    <row r="173" spans="1:20" ht="15" thickBot="1" x14ac:dyDescent="0.4">
      <c r="A173" s="16">
        <v>160</v>
      </c>
      <c r="B173" s="49"/>
      <c r="C173" s="16"/>
      <c r="D173" s="16"/>
      <c r="E173" s="16"/>
      <c r="F173" s="16"/>
      <c r="G173" s="632"/>
      <c r="H173" s="633"/>
      <c r="I173" s="634"/>
      <c r="J173" s="16"/>
      <c r="K173" s="16"/>
      <c r="L173" s="16"/>
      <c r="M173" s="16"/>
      <c r="N173" s="16"/>
      <c r="O173" s="16"/>
      <c r="P173" s="16"/>
      <c r="Q173" s="31"/>
      <c r="R173" s="31"/>
      <c r="S173" s="31"/>
      <c r="T173" s="31"/>
    </row>
    <row r="174" spans="1:20" ht="15" thickBot="1" x14ac:dyDescent="0.4">
      <c r="A174" s="16">
        <v>161</v>
      </c>
      <c r="B174" s="49"/>
      <c r="C174" s="16"/>
      <c r="D174" s="16"/>
      <c r="E174" s="16"/>
      <c r="F174" s="16"/>
      <c r="G174" s="632"/>
      <c r="H174" s="633"/>
      <c r="I174" s="634"/>
      <c r="J174" s="16"/>
      <c r="K174" s="16"/>
      <c r="L174" s="16"/>
      <c r="M174" s="16"/>
      <c r="N174" s="16"/>
      <c r="O174" s="16"/>
      <c r="P174" s="16"/>
      <c r="Q174" s="31"/>
      <c r="R174" s="31"/>
      <c r="S174" s="31"/>
      <c r="T174" s="31"/>
    </row>
    <row r="175" spans="1:20" ht="15" thickBot="1" x14ac:dyDescent="0.4">
      <c r="A175" s="16">
        <v>162</v>
      </c>
      <c r="B175" s="49"/>
      <c r="C175" s="16"/>
      <c r="D175" s="16"/>
      <c r="E175" s="16"/>
      <c r="F175" s="16"/>
      <c r="G175" s="632"/>
      <c r="H175" s="633"/>
      <c r="I175" s="634"/>
      <c r="J175" s="16"/>
      <c r="K175" s="16"/>
      <c r="L175" s="16"/>
      <c r="M175" s="16"/>
      <c r="N175" s="16"/>
      <c r="O175" s="16"/>
      <c r="P175" s="16"/>
      <c r="Q175" s="31"/>
      <c r="R175" s="31"/>
      <c r="S175" s="31"/>
      <c r="T175" s="31"/>
    </row>
    <row r="176" spans="1:20" ht="15" thickBot="1" x14ac:dyDescent="0.4">
      <c r="A176" s="16">
        <v>163</v>
      </c>
      <c r="B176" s="49"/>
      <c r="C176" s="16"/>
      <c r="D176" s="16"/>
      <c r="E176" s="16"/>
      <c r="F176" s="16"/>
      <c r="G176" s="632"/>
      <c r="H176" s="633"/>
      <c r="I176" s="634"/>
      <c r="J176" s="16"/>
      <c r="K176" s="16"/>
      <c r="L176" s="16"/>
      <c r="M176" s="16"/>
      <c r="N176" s="16"/>
      <c r="O176" s="16"/>
      <c r="P176" s="16"/>
      <c r="Q176" s="31"/>
      <c r="R176" s="31"/>
      <c r="S176" s="31"/>
      <c r="T176" s="31"/>
    </row>
    <row r="177" spans="1:20" ht="15" thickBot="1" x14ac:dyDescent="0.4">
      <c r="A177" s="16">
        <v>164</v>
      </c>
      <c r="B177" s="49"/>
      <c r="C177" s="16"/>
      <c r="D177" s="16"/>
      <c r="E177" s="16"/>
      <c r="F177" s="16"/>
      <c r="G177" s="632"/>
      <c r="H177" s="633"/>
      <c r="I177" s="634"/>
      <c r="J177" s="16"/>
      <c r="K177" s="16"/>
      <c r="L177" s="16"/>
      <c r="M177" s="16"/>
      <c r="N177" s="16"/>
      <c r="O177" s="16"/>
      <c r="P177" s="16"/>
      <c r="Q177" s="31"/>
      <c r="R177" s="31"/>
      <c r="S177" s="31"/>
      <c r="T177" s="31"/>
    </row>
    <row r="178" spans="1:20" ht="15" thickBot="1" x14ac:dyDescent="0.4">
      <c r="A178" s="16">
        <v>165</v>
      </c>
      <c r="B178" s="49"/>
      <c r="C178" s="16"/>
      <c r="D178" s="16"/>
      <c r="E178" s="16"/>
      <c r="F178" s="16"/>
      <c r="G178" s="632"/>
      <c r="H178" s="633"/>
      <c r="I178" s="634"/>
      <c r="J178" s="16"/>
      <c r="K178" s="16"/>
      <c r="L178" s="16"/>
      <c r="M178" s="16"/>
      <c r="N178" s="16"/>
      <c r="O178" s="16"/>
      <c r="P178" s="16"/>
      <c r="Q178" s="31"/>
      <c r="R178" s="31"/>
      <c r="S178" s="31"/>
      <c r="T178" s="31"/>
    </row>
    <row r="179" spans="1:20" ht="15" thickBot="1" x14ac:dyDescent="0.4">
      <c r="A179" s="16">
        <v>166</v>
      </c>
      <c r="B179" s="49"/>
      <c r="C179" s="16"/>
      <c r="D179" s="16"/>
      <c r="E179" s="16"/>
      <c r="F179" s="16"/>
      <c r="G179" s="632"/>
      <c r="H179" s="633"/>
      <c r="I179" s="634"/>
      <c r="J179" s="16"/>
      <c r="K179" s="16"/>
      <c r="L179" s="16"/>
      <c r="M179" s="16"/>
      <c r="N179" s="16"/>
      <c r="O179" s="16"/>
      <c r="P179" s="16"/>
      <c r="Q179" s="31"/>
      <c r="R179" s="31"/>
      <c r="S179" s="31"/>
      <c r="T179" s="31"/>
    </row>
    <row r="180" spans="1:20" ht="15" thickBot="1" x14ac:dyDescent="0.4">
      <c r="A180" s="16">
        <v>167</v>
      </c>
      <c r="B180" s="49"/>
      <c r="C180" s="16"/>
      <c r="D180" s="16"/>
      <c r="E180" s="16"/>
      <c r="F180" s="16"/>
      <c r="G180" s="632"/>
      <c r="H180" s="633"/>
      <c r="I180" s="634"/>
      <c r="J180" s="16"/>
      <c r="K180" s="16"/>
      <c r="L180" s="16"/>
      <c r="M180" s="16"/>
      <c r="N180" s="16"/>
      <c r="O180" s="16"/>
      <c r="P180" s="16"/>
      <c r="Q180" s="31"/>
      <c r="R180" s="31"/>
      <c r="S180" s="31"/>
      <c r="T180" s="31"/>
    </row>
    <row r="181" spans="1:20" ht="15" thickBot="1" x14ac:dyDescent="0.4">
      <c r="A181" s="16">
        <v>168</v>
      </c>
      <c r="B181" s="49"/>
      <c r="C181" s="16"/>
      <c r="D181" s="16"/>
      <c r="E181" s="16"/>
      <c r="F181" s="16"/>
      <c r="G181" s="632"/>
      <c r="H181" s="633"/>
      <c r="I181" s="634"/>
      <c r="J181" s="16"/>
      <c r="K181" s="16"/>
      <c r="L181" s="16"/>
      <c r="M181" s="16"/>
      <c r="N181" s="16"/>
      <c r="O181" s="16"/>
      <c r="P181" s="16"/>
      <c r="Q181" s="31"/>
      <c r="R181" s="31"/>
      <c r="S181" s="31"/>
      <c r="T181" s="31"/>
    </row>
    <row r="182" spans="1:20" ht="15" thickBot="1" x14ac:dyDescent="0.4">
      <c r="A182" s="16">
        <v>169</v>
      </c>
      <c r="B182" s="49"/>
      <c r="C182" s="16"/>
      <c r="D182" s="16"/>
      <c r="E182" s="16"/>
      <c r="F182" s="16"/>
      <c r="G182" s="632"/>
      <c r="H182" s="633"/>
      <c r="I182" s="634"/>
      <c r="J182" s="16"/>
      <c r="K182" s="16"/>
      <c r="L182" s="16"/>
      <c r="M182" s="16"/>
      <c r="N182" s="16"/>
      <c r="O182" s="16"/>
      <c r="P182" s="16"/>
      <c r="Q182" s="31"/>
      <c r="R182" s="31"/>
      <c r="S182" s="31"/>
      <c r="T182" s="31"/>
    </row>
    <row r="183" spans="1:20" ht="15" thickBot="1" x14ac:dyDescent="0.4">
      <c r="A183" s="16">
        <v>170</v>
      </c>
      <c r="B183" s="49"/>
      <c r="C183" s="16"/>
      <c r="D183" s="16"/>
      <c r="E183" s="16"/>
      <c r="F183" s="16"/>
      <c r="G183" s="632"/>
      <c r="H183" s="633"/>
      <c r="I183" s="634"/>
      <c r="J183" s="16"/>
      <c r="K183" s="16"/>
      <c r="L183" s="16"/>
      <c r="M183" s="16"/>
      <c r="N183" s="16"/>
      <c r="O183" s="16"/>
      <c r="P183" s="16"/>
      <c r="Q183" s="31"/>
      <c r="R183" s="31"/>
      <c r="S183" s="31"/>
      <c r="T183" s="31"/>
    </row>
    <row r="184" spans="1:20" ht="15" thickBot="1" x14ac:dyDescent="0.4">
      <c r="A184" s="16">
        <v>171</v>
      </c>
      <c r="B184" s="49"/>
      <c r="C184" s="16"/>
      <c r="D184" s="16"/>
      <c r="E184" s="16"/>
      <c r="F184" s="16"/>
      <c r="G184" s="632"/>
      <c r="H184" s="633"/>
      <c r="I184" s="634"/>
      <c r="J184" s="16"/>
      <c r="K184" s="16"/>
      <c r="L184" s="16"/>
      <c r="M184" s="16"/>
      <c r="N184" s="16"/>
      <c r="O184" s="16"/>
      <c r="P184" s="16"/>
      <c r="Q184" s="31"/>
      <c r="R184" s="31"/>
      <c r="S184" s="31"/>
      <c r="T184" s="31"/>
    </row>
    <row r="185" spans="1:20" ht="15" thickBot="1" x14ac:dyDescent="0.4">
      <c r="A185" s="16">
        <v>172</v>
      </c>
      <c r="B185" s="49"/>
      <c r="C185" s="16"/>
      <c r="D185" s="16"/>
      <c r="E185" s="16"/>
      <c r="F185" s="16"/>
      <c r="G185" s="632"/>
      <c r="H185" s="633"/>
      <c r="I185" s="634"/>
      <c r="J185" s="16"/>
      <c r="K185" s="16"/>
      <c r="L185" s="16"/>
      <c r="M185" s="16"/>
      <c r="N185" s="16"/>
      <c r="O185" s="16"/>
      <c r="P185" s="16"/>
      <c r="Q185" s="31"/>
      <c r="R185" s="31"/>
      <c r="S185" s="31"/>
      <c r="T185" s="31"/>
    </row>
    <row r="186" spans="1:20" ht="15" thickBot="1" x14ac:dyDescent="0.4">
      <c r="A186" s="16">
        <v>173</v>
      </c>
      <c r="B186" s="49"/>
      <c r="C186" s="16"/>
      <c r="D186" s="16"/>
      <c r="E186" s="16"/>
      <c r="F186" s="16"/>
      <c r="G186" s="632"/>
      <c r="H186" s="633"/>
      <c r="I186" s="634"/>
      <c r="J186" s="16"/>
      <c r="K186" s="16"/>
      <c r="L186" s="16"/>
      <c r="M186" s="16"/>
      <c r="N186" s="16"/>
      <c r="O186" s="16"/>
      <c r="P186" s="16"/>
      <c r="Q186" s="31"/>
      <c r="R186" s="31"/>
      <c r="S186" s="31"/>
      <c r="T186" s="31"/>
    </row>
    <row r="187" spans="1:20" ht="15" thickBot="1" x14ac:dyDescent="0.4">
      <c r="A187" s="16">
        <v>174</v>
      </c>
      <c r="B187" s="49"/>
      <c r="C187" s="16"/>
      <c r="D187" s="16"/>
      <c r="E187" s="16"/>
      <c r="F187" s="16"/>
      <c r="G187" s="632"/>
      <c r="H187" s="633"/>
      <c r="I187" s="634"/>
      <c r="J187" s="16"/>
      <c r="K187" s="16"/>
      <c r="L187" s="16"/>
      <c r="M187" s="16"/>
      <c r="N187" s="16"/>
      <c r="O187" s="16"/>
      <c r="P187" s="16"/>
      <c r="Q187" s="31"/>
      <c r="R187" s="31"/>
      <c r="S187" s="31"/>
      <c r="T187" s="31"/>
    </row>
    <row r="188" spans="1:20" ht="15" thickBot="1" x14ac:dyDescent="0.4">
      <c r="A188" s="16">
        <v>175</v>
      </c>
      <c r="B188" s="49"/>
      <c r="C188" s="16"/>
      <c r="D188" s="16"/>
      <c r="E188" s="16"/>
      <c r="F188" s="16"/>
      <c r="G188" s="632"/>
      <c r="H188" s="633"/>
      <c r="I188" s="634"/>
      <c r="J188" s="16"/>
      <c r="K188" s="16"/>
      <c r="L188" s="16"/>
      <c r="M188" s="16"/>
      <c r="N188" s="16"/>
      <c r="O188" s="16"/>
      <c r="P188" s="16"/>
      <c r="Q188" s="31"/>
      <c r="R188" s="31"/>
      <c r="S188" s="31"/>
      <c r="T188" s="31"/>
    </row>
    <row r="189" spans="1:20" ht="15" thickBot="1" x14ac:dyDescent="0.4">
      <c r="A189" s="16">
        <v>176</v>
      </c>
      <c r="B189" s="49"/>
      <c r="C189" s="16"/>
      <c r="D189" s="16"/>
      <c r="E189" s="16"/>
      <c r="F189" s="16"/>
      <c r="G189" s="632"/>
      <c r="H189" s="633"/>
      <c r="I189" s="634"/>
      <c r="J189" s="16"/>
      <c r="K189" s="16"/>
      <c r="L189" s="16"/>
      <c r="M189" s="16"/>
      <c r="N189" s="16"/>
      <c r="O189" s="16"/>
      <c r="P189" s="16"/>
      <c r="Q189" s="31"/>
      <c r="R189" s="31"/>
      <c r="S189" s="31"/>
      <c r="T189" s="31"/>
    </row>
    <row r="190" spans="1:20" ht="15" thickBot="1" x14ac:dyDescent="0.4">
      <c r="A190" s="16">
        <v>177</v>
      </c>
      <c r="B190" s="49"/>
      <c r="C190" s="16"/>
      <c r="D190" s="16"/>
      <c r="E190" s="16"/>
      <c r="F190" s="16"/>
      <c r="G190" s="632"/>
      <c r="H190" s="633"/>
      <c r="I190" s="634"/>
      <c r="J190" s="16"/>
      <c r="K190" s="16"/>
      <c r="L190" s="16"/>
      <c r="M190" s="16"/>
      <c r="N190" s="16"/>
      <c r="O190" s="16"/>
      <c r="P190" s="16"/>
      <c r="Q190" s="31"/>
      <c r="R190" s="31"/>
      <c r="S190" s="31"/>
      <c r="T190" s="31"/>
    </row>
    <row r="191" spans="1:20" ht="15" thickBot="1" x14ac:dyDescent="0.4">
      <c r="A191" s="16">
        <v>178</v>
      </c>
      <c r="B191" s="49"/>
      <c r="C191" s="16"/>
      <c r="D191" s="16"/>
      <c r="E191" s="16"/>
      <c r="F191" s="16"/>
      <c r="G191" s="632"/>
      <c r="H191" s="633"/>
      <c r="I191" s="634"/>
      <c r="J191" s="16"/>
      <c r="K191" s="16"/>
      <c r="L191" s="16"/>
      <c r="M191" s="16"/>
      <c r="N191" s="16"/>
      <c r="O191" s="16"/>
      <c r="P191" s="16"/>
      <c r="Q191" s="31"/>
      <c r="R191" s="31"/>
      <c r="S191" s="31"/>
      <c r="T191" s="31"/>
    </row>
    <row r="192" spans="1:20" ht="15" thickBot="1" x14ac:dyDescent="0.4">
      <c r="A192" s="16">
        <v>179</v>
      </c>
      <c r="B192" s="49"/>
      <c r="C192" s="16"/>
      <c r="D192" s="16"/>
      <c r="E192" s="16"/>
      <c r="F192" s="16"/>
      <c r="G192" s="632"/>
      <c r="H192" s="633"/>
      <c r="I192" s="634"/>
      <c r="J192" s="16"/>
      <c r="K192" s="16"/>
      <c r="L192" s="16"/>
      <c r="M192" s="16"/>
      <c r="N192" s="16"/>
      <c r="O192" s="16"/>
      <c r="P192" s="16"/>
      <c r="Q192" s="31"/>
      <c r="R192" s="31"/>
      <c r="S192" s="31"/>
      <c r="T192" s="31"/>
    </row>
    <row r="193" spans="1:20" ht="15" thickBot="1" x14ac:dyDescent="0.4">
      <c r="A193" s="16">
        <v>180</v>
      </c>
      <c r="B193" s="49"/>
      <c r="C193" s="16"/>
      <c r="D193" s="16"/>
      <c r="E193" s="16"/>
      <c r="F193" s="16"/>
      <c r="G193" s="632"/>
      <c r="H193" s="633"/>
      <c r="I193" s="634"/>
      <c r="J193" s="16"/>
      <c r="K193" s="16"/>
      <c r="L193" s="16"/>
      <c r="M193" s="16"/>
      <c r="N193" s="16"/>
      <c r="O193" s="16"/>
      <c r="P193" s="16"/>
      <c r="Q193" s="31"/>
      <c r="R193" s="31"/>
      <c r="S193" s="31"/>
      <c r="T193" s="31"/>
    </row>
    <row r="194" spans="1:20" ht="15" thickBot="1" x14ac:dyDescent="0.4">
      <c r="A194" s="16">
        <v>181</v>
      </c>
      <c r="B194" s="49"/>
      <c r="C194" s="16"/>
      <c r="D194" s="16"/>
      <c r="E194" s="16"/>
      <c r="F194" s="16"/>
      <c r="G194" s="632"/>
      <c r="H194" s="633"/>
      <c r="I194" s="634"/>
      <c r="J194" s="16"/>
      <c r="K194" s="16"/>
      <c r="L194" s="16"/>
      <c r="M194" s="16"/>
      <c r="N194" s="16"/>
      <c r="O194" s="16"/>
      <c r="P194" s="16"/>
      <c r="Q194" s="31"/>
      <c r="R194" s="31"/>
      <c r="S194" s="31"/>
      <c r="T194" s="31"/>
    </row>
    <row r="195" spans="1:20" ht="15" thickBot="1" x14ac:dyDescent="0.4">
      <c r="A195" s="16">
        <v>182</v>
      </c>
      <c r="B195" s="49"/>
      <c r="C195" s="16"/>
      <c r="D195" s="16"/>
      <c r="E195" s="16"/>
      <c r="F195" s="16"/>
      <c r="G195" s="632"/>
      <c r="H195" s="633"/>
      <c r="I195" s="634"/>
      <c r="J195" s="16"/>
      <c r="K195" s="16"/>
      <c r="L195" s="16"/>
      <c r="M195" s="16"/>
      <c r="N195" s="16"/>
      <c r="O195" s="16"/>
      <c r="P195" s="16"/>
      <c r="Q195" s="31"/>
      <c r="R195" s="31"/>
      <c r="S195" s="31"/>
      <c r="T195" s="31"/>
    </row>
    <row r="196" spans="1:20" ht="15" thickBot="1" x14ac:dyDescent="0.4">
      <c r="A196" s="16">
        <v>183</v>
      </c>
      <c r="B196" s="49"/>
      <c r="C196" s="16"/>
      <c r="D196" s="16"/>
      <c r="E196" s="16"/>
      <c r="F196" s="16"/>
      <c r="G196" s="632"/>
      <c r="H196" s="633"/>
      <c r="I196" s="634"/>
      <c r="J196" s="16"/>
      <c r="K196" s="16"/>
      <c r="L196" s="16"/>
      <c r="M196" s="16"/>
      <c r="N196" s="16"/>
      <c r="O196" s="16"/>
      <c r="P196" s="16"/>
      <c r="Q196" s="31"/>
      <c r="R196" s="31"/>
      <c r="S196" s="31"/>
      <c r="T196" s="31"/>
    </row>
    <row r="197" spans="1:20" ht="15" thickBot="1" x14ac:dyDescent="0.4">
      <c r="A197" s="16">
        <v>184</v>
      </c>
      <c r="B197" s="49"/>
      <c r="C197" s="16"/>
      <c r="D197" s="16"/>
      <c r="E197" s="16"/>
      <c r="F197" s="16"/>
      <c r="G197" s="632"/>
      <c r="H197" s="633"/>
      <c r="I197" s="634"/>
      <c r="J197" s="16"/>
      <c r="K197" s="16"/>
      <c r="L197" s="16"/>
      <c r="M197" s="16"/>
      <c r="N197" s="16"/>
      <c r="O197" s="16"/>
      <c r="P197" s="16"/>
      <c r="Q197" s="31"/>
      <c r="R197" s="31"/>
      <c r="S197" s="31"/>
      <c r="T197" s="31"/>
    </row>
    <row r="198" spans="1:20" ht="15" thickBot="1" x14ac:dyDescent="0.4">
      <c r="A198" s="16">
        <v>185</v>
      </c>
      <c r="B198" s="49"/>
      <c r="C198" s="16"/>
      <c r="D198" s="16"/>
      <c r="E198" s="16"/>
      <c r="F198" s="16"/>
      <c r="G198" s="632"/>
      <c r="H198" s="633"/>
      <c r="I198" s="634"/>
      <c r="J198" s="16"/>
      <c r="K198" s="16"/>
      <c r="L198" s="16"/>
      <c r="M198" s="16"/>
      <c r="N198" s="16"/>
      <c r="O198" s="16"/>
      <c r="P198" s="16"/>
      <c r="Q198" s="31"/>
      <c r="R198" s="31"/>
      <c r="S198" s="31"/>
      <c r="T198" s="31"/>
    </row>
    <row r="199" spans="1:20" ht="15" thickBot="1" x14ac:dyDescent="0.4">
      <c r="A199" s="16">
        <v>186</v>
      </c>
      <c r="B199" s="49"/>
      <c r="C199" s="16"/>
      <c r="D199" s="16"/>
      <c r="E199" s="16"/>
      <c r="F199" s="16"/>
      <c r="G199" s="632"/>
      <c r="H199" s="633"/>
      <c r="I199" s="634"/>
      <c r="J199" s="16"/>
      <c r="K199" s="16"/>
      <c r="L199" s="16"/>
      <c r="M199" s="16"/>
      <c r="N199" s="16"/>
      <c r="O199" s="16"/>
      <c r="P199" s="16"/>
      <c r="Q199" s="31"/>
      <c r="R199" s="31"/>
      <c r="S199" s="31"/>
      <c r="T199" s="31"/>
    </row>
    <row r="200" spans="1:20" ht="15" thickBot="1" x14ac:dyDescent="0.4">
      <c r="A200" s="16">
        <v>187</v>
      </c>
      <c r="B200" s="49"/>
      <c r="C200" s="16"/>
      <c r="D200" s="16"/>
      <c r="E200" s="16"/>
      <c r="F200" s="16"/>
      <c r="G200" s="632"/>
      <c r="H200" s="633"/>
      <c r="I200" s="634"/>
      <c r="J200" s="16"/>
      <c r="K200" s="16"/>
      <c r="L200" s="16"/>
      <c r="M200" s="16"/>
      <c r="N200" s="16"/>
      <c r="O200" s="16"/>
      <c r="P200" s="16"/>
      <c r="Q200" s="31"/>
      <c r="R200" s="31"/>
      <c r="S200" s="31"/>
      <c r="T200" s="31"/>
    </row>
    <row r="201" spans="1:20" ht="15" thickBot="1" x14ac:dyDescent="0.4">
      <c r="A201" s="16">
        <v>188</v>
      </c>
      <c r="B201" s="49"/>
      <c r="C201" s="16"/>
      <c r="D201" s="16"/>
      <c r="E201" s="16"/>
      <c r="F201" s="16"/>
      <c r="G201" s="632"/>
      <c r="H201" s="633"/>
      <c r="I201" s="634"/>
      <c r="J201" s="16"/>
      <c r="K201" s="16"/>
      <c r="L201" s="16"/>
      <c r="M201" s="16"/>
      <c r="N201" s="16"/>
      <c r="O201" s="16"/>
      <c r="P201" s="16"/>
      <c r="Q201" s="31"/>
      <c r="R201" s="31"/>
      <c r="S201" s="31"/>
      <c r="T201" s="31"/>
    </row>
    <row r="202" spans="1:20" ht="15" thickBot="1" x14ac:dyDescent="0.4">
      <c r="A202" s="16">
        <v>189</v>
      </c>
      <c r="B202" s="49"/>
      <c r="C202" s="16"/>
      <c r="D202" s="16"/>
      <c r="E202" s="16"/>
      <c r="F202" s="16"/>
      <c r="G202" s="632"/>
      <c r="H202" s="633"/>
      <c r="I202" s="634"/>
      <c r="J202" s="16"/>
      <c r="K202" s="16"/>
      <c r="L202" s="16"/>
      <c r="M202" s="16"/>
      <c r="N202" s="16"/>
      <c r="O202" s="16"/>
      <c r="P202" s="16"/>
      <c r="Q202" s="31"/>
      <c r="R202" s="31"/>
      <c r="S202" s="31"/>
      <c r="T202" s="31"/>
    </row>
    <row r="203" spans="1:20" ht="15" thickBot="1" x14ac:dyDescent="0.4">
      <c r="A203" s="16">
        <v>190</v>
      </c>
      <c r="B203" s="49"/>
      <c r="C203" s="16"/>
      <c r="D203" s="16"/>
      <c r="E203" s="16"/>
      <c r="F203" s="16"/>
      <c r="G203" s="632"/>
      <c r="H203" s="633"/>
      <c r="I203" s="634"/>
      <c r="J203" s="16"/>
      <c r="K203" s="16"/>
      <c r="L203" s="16"/>
      <c r="M203" s="16"/>
      <c r="N203" s="16"/>
      <c r="O203" s="16"/>
      <c r="P203" s="16"/>
      <c r="Q203" s="31"/>
      <c r="R203" s="31"/>
      <c r="S203" s="31"/>
      <c r="T203" s="31"/>
    </row>
    <row r="204" spans="1:20" ht="15" thickBot="1" x14ac:dyDescent="0.4">
      <c r="A204" s="16">
        <v>191</v>
      </c>
      <c r="B204" s="49"/>
      <c r="C204" s="16"/>
      <c r="D204" s="16"/>
      <c r="E204" s="16"/>
      <c r="F204" s="16"/>
      <c r="G204" s="632"/>
      <c r="H204" s="633"/>
      <c r="I204" s="634"/>
      <c r="J204" s="16"/>
      <c r="K204" s="16"/>
      <c r="L204" s="16"/>
      <c r="M204" s="16"/>
      <c r="N204" s="16"/>
      <c r="O204" s="16"/>
      <c r="P204" s="16"/>
      <c r="Q204" s="31"/>
      <c r="R204" s="31"/>
      <c r="S204" s="31"/>
      <c r="T204" s="31"/>
    </row>
    <row r="205" spans="1:20" ht="15" thickBot="1" x14ac:dyDescent="0.4">
      <c r="A205" s="16">
        <v>192</v>
      </c>
      <c r="B205" s="49"/>
      <c r="C205" s="16"/>
      <c r="D205" s="16"/>
      <c r="E205" s="16"/>
      <c r="F205" s="16"/>
      <c r="G205" s="632"/>
      <c r="H205" s="633"/>
      <c r="I205" s="634"/>
      <c r="J205" s="16"/>
      <c r="K205" s="16"/>
      <c r="L205" s="16"/>
      <c r="M205" s="16"/>
      <c r="N205" s="16"/>
      <c r="O205" s="16"/>
      <c r="P205" s="16"/>
      <c r="Q205" s="31"/>
      <c r="R205" s="31"/>
      <c r="S205" s="31"/>
      <c r="T205" s="31"/>
    </row>
    <row r="206" spans="1:20" ht="15" thickBot="1" x14ac:dyDescent="0.4">
      <c r="A206" s="16">
        <v>193</v>
      </c>
      <c r="B206" s="49"/>
      <c r="C206" s="16"/>
      <c r="D206" s="16"/>
      <c r="E206" s="16"/>
      <c r="F206" s="16"/>
      <c r="G206" s="632"/>
      <c r="H206" s="633"/>
      <c r="I206" s="634"/>
      <c r="J206" s="16"/>
      <c r="K206" s="16"/>
      <c r="L206" s="16"/>
      <c r="M206" s="16"/>
      <c r="N206" s="16"/>
      <c r="O206" s="16"/>
      <c r="P206" s="16"/>
      <c r="Q206" s="31"/>
      <c r="R206" s="31"/>
      <c r="S206" s="31"/>
      <c r="T206" s="31"/>
    </row>
    <row r="207" spans="1:20" ht="15" thickBot="1" x14ac:dyDescent="0.4">
      <c r="A207" s="16">
        <v>194</v>
      </c>
      <c r="B207" s="49"/>
      <c r="C207" s="16"/>
      <c r="D207" s="16"/>
      <c r="E207" s="16"/>
      <c r="F207" s="16"/>
      <c r="G207" s="632"/>
      <c r="H207" s="633"/>
      <c r="I207" s="634"/>
      <c r="J207" s="16"/>
      <c r="K207" s="16"/>
      <c r="L207" s="16"/>
      <c r="M207" s="16"/>
      <c r="N207" s="16"/>
      <c r="O207" s="16"/>
      <c r="P207" s="16"/>
      <c r="Q207" s="31"/>
      <c r="R207" s="31"/>
      <c r="S207" s="31"/>
      <c r="T207" s="31"/>
    </row>
    <row r="208" spans="1:20" ht="15" thickBot="1" x14ac:dyDescent="0.4">
      <c r="A208" s="16">
        <v>195</v>
      </c>
      <c r="B208" s="49"/>
      <c r="C208" s="16"/>
      <c r="D208" s="16"/>
      <c r="E208" s="16"/>
      <c r="F208" s="16"/>
      <c r="G208" s="632"/>
      <c r="H208" s="633"/>
      <c r="I208" s="634"/>
      <c r="J208" s="16"/>
      <c r="K208" s="16"/>
      <c r="L208" s="16"/>
      <c r="M208" s="16"/>
      <c r="N208" s="16"/>
      <c r="O208" s="16"/>
      <c r="P208" s="16"/>
      <c r="Q208" s="31"/>
      <c r="R208" s="31"/>
      <c r="S208" s="31"/>
      <c r="T208" s="31"/>
    </row>
    <row r="209" spans="1:20" ht="15" thickBot="1" x14ac:dyDescent="0.4">
      <c r="A209" s="16">
        <v>196</v>
      </c>
      <c r="B209" s="49"/>
      <c r="C209" s="16"/>
      <c r="D209" s="16"/>
      <c r="E209" s="16"/>
      <c r="F209" s="16"/>
      <c r="G209" s="632"/>
      <c r="H209" s="633"/>
      <c r="I209" s="634"/>
      <c r="J209" s="16"/>
      <c r="K209" s="16"/>
      <c r="L209" s="16"/>
      <c r="M209" s="16"/>
      <c r="N209" s="16"/>
      <c r="O209" s="16"/>
      <c r="P209" s="16"/>
      <c r="Q209" s="31"/>
      <c r="R209" s="31"/>
      <c r="S209" s="31"/>
      <c r="T209" s="31"/>
    </row>
    <row r="210" spans="1:20" ht="15" thickBot="1" x14ac:dyDescent="0.4">
      <c r="A210" s="16">
        <v>197</v>
      </c>
      <c r="B210" s="49"/>
      <c r="C210" s="16"/>
      <c r="D210" s="16"/>
      <c r="E210" s="16"/>
      <c r="F210" s="16"/>
      <c r="G210" s="632"/>
      <c r="H210" s="633"/>
      <c r="I210" s="634"/>
      <c r="J210" s="16"/>
      <c r="K210" s="16"/>
      <c r="L210" s="16"/>
      <c r="M210" s="16"/>
      <c r="N210" s="16"/>
      <c r="O210" s="16"/>
      <c r="P210" s="16"/>
      <c r="Q210" s="31"/>
      <c r="R210" s="31"/>
      <c r="S210" s="31"/>
      <c r="T210" s="31"/>
    </row>
    <row r="211" spans="1:20" ht="15" thickBot="1" x14ac:dyDescent="0.4">
      <c r="A211" s="16">
        <v>198</v>
      </c>
      <c r="B211" s="49"/>
      <c r="C211" s="16"/>
      <c r="D211" s="16"/>
      <c r="E211" s="16"/>
      <c r="F211" s="16"/>
      <c r="G211" s="632"/>
      <c r="H211" s="633"/>
      <c r="I211" s="634"/>
      <c r="J211" s="16"/>
      <c r="K211" s="16"/>
      <c r="L211" s="16"/>
      <c r="M211" s="16"/>
      <c r="N211" s="16"/>
      <c r="O211" s="16"/>
      <c r="P211" s="16"/>
      <c r="Q211" s="31"/>
      <c r="R211" s="31"/>
      <c r="S211" s="31"/>
      <c r="T211" s="31"/>
    </row>
    <row r="212" spans="1:20" ht="15" thickBot="1" x14ac:dyDescent="0.4">
      <c r="A212" s="16">
        <v>199</v>
      </c>
      <c r="B212" s="49"/>
      <c r="C212" s="16"/>
      <c r="D212" s="16"/>
      <c r="E212" s="16"/>
      <c r="F212" s="16"/>
      <c r="G212" s="632"/>
      <c r="H212" s="633"/>
      <c r="I212" s="634"/>
      <c r="J212" s="16"/>
      <c r="K212" s="16"/>
      <c r="L212" s="16"/>
      <c r="M212" s="16"/>
      <c r="N212" s="16"/>
      <c r="O212" s="16"/>
      <c r="P212" s="16"/>
      <c r="Q212" s="31"/>
      <c r="R212" s="31"/>
      <c r="S212" s="31"/>
      <c r="T212" s="31"/>
    </row>
    <row r="213" spans="1:20" ht="15" thickBot="1" x14ac:dyDescent="0.4">
      <c r="A213" s="16">
        <v>200</v>
      </c>
      <c r="B213" s="49"/>
      <c r="C213" s="16"/>
      <c r="D213" s="16"/>
      <c r="E213" s="16"/>
      <c r="F213" s="16"/>
      <c r="G213" s="632"/>
      <c r="H213" s="633"/>
      <c r="I213" s="634"/>
      <c r="J213" s="16"/>
      <c r="K213" s="16"/>
      <c r="L213" s="16"/>
      <c r="M213" s="16"/>
      <c r="N213" s="16"/>
      <c r="O213" s="16"/>
      <c r="P213" s="16"/>
      <c r="Q213" s="31"/>
      <c r="R213" s="31"/>
      <c r="S213" s="31"/>
      <c r="T213" s="31"/>
    </row>
    <row r="214" spans="1:20" ht="15" thickBot="1" x14ac:dyDescent="0.4">
      <c r="A214" s="16">
        <v>201</v>
      </c>
      <c r="B214" s="49"/>
      <c r="C214" s="16"/>
      <c r="D214" s="16"/>
      <c r="E214" s="16"/>
      <c r="F214" s="16"/>
      <c r="G214" s="632"/>
      <c r="H214" s="633"/>
      <c r="I214" s="634"/>
      <c r="J214" s="16"/>
      <c r="K214" s="16"/>
      <c r="L214" s="16"/>
      <c r="M214" s="16"/>
      <c r="N214" s="16"/>
      <c r="O214" s="16"/>
      <c r="P214" s="16"/>
      <c r="Q214" s="31"/>
      <c r="R214" s="31"/>
      <c r="S214" s="31"/>
      <c r="T214" s="31"/>
    </row>
    <row r="215" spans="1:20" ht="15" thickBot="1" x14ac:dyDescent="0.4">
      <c r="A215" s="16">
        <v>202</v>
      </c>
      <c r="B215" s="49"/>
      <c r="C215" s="16"/>
      <c r="D215" s="16"/>
      <c r="E215" s="16"/>
      <c r="F215" s="16"/>
      <c r="G215" s="632"/>
      <c r="H215" s="633"/>
      <c r="I215" s="634"/>
      <c r="J215" s="16"/>
      <c r="K215" s="16"/>
      <c r="L215" s="16"/>
      <c r="M215" s="16"/>
      <c r="N215" s="16"/>
      <c r="O215" s="16"/>
      <c r="P215" s="16"/>
      <c r="Q215" s="31"/>
      <c r="R215" s="31"/>
      <c r="S215" s="31"/>
      <c r="T215" s="31"/>
    </row>
    <row r="216" spans="1:20" ht="15" thickBot="1" x14ac:dyDescent="0.4">
      <c r="A216" s="16">
        <v>203</v>
      </c>
      <c r="B216" s="49"/>
      <c r="C216" s="16"/>
      <c r="D216" s="16"/>
      <c r="E216" s="16"/>
      <c r="F216" s="16"/>
      <c r="G216" s="632"/>
      <c r="H216" s="633"/>
      <c r="I216" s="634"/>
      <c r="J216" s="16"/>
      <c r="K216" s="16"/>
      <c r="L216" s="16"/>
      <c r="M216" s="16"/>
      <c r="N216" s="16"/>
      <c r="O216" s="16"/>
      <c r="P216" s="16"/>
      <c r="Q216" s="31"/>
      <c r="R216" s="31"/>
      <c r="S216" s="31"/>
      <c r="T216" s="31"/>
    </row>
    <row r="217" spans="1:20" ht="15" thickBot="1" x14ac:dyDescent="0.4">
      <c r="A217" s="16">
        <v>204</v>
      </c>
      <c r="B217" s="49"/>
      <c r="C217" s="16"/>
      <c r="D217" s="16"/>
      <c r="E217" s="16"/>
      <c r="F217" s="16"/>
      <c r="G217" s="632"/>
      <c r="H217" s="633"/>
      <c r="I217" s="634"/>
      <c r="J217" s="16"/>
      <c r="K217" s="16"/>
      <c r="L217" s="16"/>
      <c r="M217" s="16"/>
      <c r="N217" s="16"/>
      <c r="O217" s="16"/>
      <c r="P217" s="16"/>
      <c r="Q217" s="31"/>
      <c r="R217" s="31"/>
      <c r="S217" s="31"/>
      <c r="T217" s="31"/>
    </row>
    <row r="218" spans="1:20" ht="15" thickBot="1" x14ac:dyDescent="0.4">
      <c r="A218" s="16">
        <v>205</v>
      </c>
      <c r="B218" s="49"/>
      <c r="C218" s="16"/>
      <c r="D218" s="16"/>
      <c r="E218" s="16"/>
      <c r="F218" s="16"/>
      <c r="G218" s="632"/>
      <c r="H218" s="633"/>
      <c r="I218" s="634"/>
      <c r="J218" s="16"/>
      <c r="K218" s="16"/>
      <c r="L218" s="16"/>
      <c r="M218" s="16"/>
      <c r="N218" s="16"/>
      <c r="O218" s="16"/>
      <c r="P218" s="16"/>
      <c r="Q218" s="31"/>
      <c r="R218" s="31"/>
      <c r="S218" s="31"/>
      <c r="T218" s="31"/>
    </row>
    <row r="219" spans="1:20" ht="15" thickBot="1" x14ac:dyDescent="0.4">
      <c r="A219" s="16">
        <v>206</v>
      </c>
      <c r="B219" s="49"/>
      <c r="C219" s="16"/>
      <c r="D219" s="16"/>
      <c r="E219" s="16"/>
      <c r="F219" s="16"/>
      <c r="G219" s="632"/>
      <c r="H219" s="633"/>
      <c r="I219" s="634"/>
      <c r="J219" s="16"/>
      <c r="K219" s="16"/>
      <c r="L219" s="16"/>
      <c r="M219" s="16"/>
      <c r="N219" s="16"/>
      <c r="O219" s="16"/>
      <c r="P219" s="16"/>
      <c r="Q219" s="31"/>
      <c r="R219" s="31"/>
      <c r="S219" s="31"/>
      <c r="T219" s="31"/>
    </row>
    <row r="220" spans="1:20" ht="15" thickBot="1" x14ac:dyDescent="0.4">
      <c r="A220" s="16">
        <v>207</v>
      </c>
      <c r="B220" s="49"/>
      <c r="C220" s="16"/>
      <c r="D220" s="16"/>
      <c r="E220" s="16"/>
      <c r="F220" s="16"/>
      <c r="G220" s="632"/>
      <c r="H220" s="633"/>
      <c r="I220" s="634"/>
      <c r="J220" s="16"/>
      <c r="K220" s="16"/>
      <c r="L220" s="16"/>
      <c r="M220" s="16"/>
      <c r="N220" s="16"/>
      <c r="O220" s="16"/>
      <c r="P220" s="16"/>
      <c r="Q220" s="31"/>
      <c r="R220" s="31"/>
      <c r="S220" s="31"/>
      <c r="T220" s="31"/>
    </row>
    <row r="221" spans="1:20" ht="15" thickBot="1" x14ac:dyDescent="0.4">
      <c r="A221" s="16">
        <v>208</v>
      </c>
      <c r="B221" s="49"/>
      <c r="C221" s="16"/>
      <c r="D221" s="16"/>
      <c r="E221" s="16"/>
      <c r="F221" s="16"/>
      <c r="G221" s="632"/>
      <c r="H221" s="633"/>
      <c r="I221" s="634"/>
      <c r="J221" s="16"/>
      <c r="K221" s="16"/>
      <c r="L221" s="16"/>
      <c r="M221" s="16"/>
      <c r="N221" s="16"/>
      <c r="O221" s="16"/>
      <c r="P221" s="16"/>
      <c r="Q221" s="31"/>
      <c r="R221" s="31"/>
      <c r="S221" s="31"/>
      <c r="T221" s="31"/>
    </row>
    <row r="222" spans="1:20" ht="15" thickBot="1" x14ac:dyDescent="0.4">
      <c r="A222" s="16">
        <v>209</v>
      </c>
      <c r="B222" s="49"/>
      <c r="C222" s="16"/>
      <c r="D222" s="16"/>
      <c r="E222" s="16"/>
      <c r="F222" s="16"/>
      <c r="G222" s="632"/>
      <c r="H222" s="633"/>
      <c r="I222" s="634"/>
      <c r="J222" s="16"/>
      <c r="K222" s="16"/>
      <c r="L222" s="16"/>
      <c r="M222" s="16"/>
      <c r="N222" s="16"/>
      <c r="O222" s="16"/>
      <c r="P222" s="16"/>
      <c r="Q222" s="31"/>
      <c r="R222" s="31"/>
      <c r="S222" s="31"/>
      <c r="T222" s="31"/>
    </row>
    <row r="223" spans="1:20" ht="15" thickBot="1" x14ac:dyDescent="0.4">
      <c r="A223" s="16">
        <v>210</v>
      </c>
      <c r="B223" s="49"/>
      <c r="C223" s="16"/>
      <c r="D223" s="16"/>
      <c r="E223" s="16"/>
      <c r="F223" s="16"/>
      <c r="G223" s="632"/>
      <c r="H223" s="633"/>
      <c r="I223" s="634"/>
      <c r="J223" s="16"/>
      <c r="K223" s="16"/>
      <c r="L223" s="16"/>
      <c r="M223" s="16"/>
      <c r="N223" s="16"/>
      <c r="O223" s="16"/>
      <c r="P223" s="16"/>
      <c r="Q223" s="31"/>
      <c r="R223" s="31"/>
      <c r="S223" s="31"/>
      <c r="T223" s="31"/>
    </row>
    <row r="224" spans="1:20" ht="15" thickBot="1" x14ac:dyDescent="0.4">
      <c r="A224" s="16">
        <v>211</v>
      </c>
      <c r="B224" s="49"/>
      <c r="C224" s="16"/>
      <c r="D224" s="16"/>
      <c r="E224" s="16"/>
      <c r="F224" s="16"/>
      <c r="G224" s="632"/>
      <c r="H224" s="633"/>
      <c r="I224" s="634"/>
      <c r="J224" s="16"/>
      <c r="K224" s="16"/>
      <c r="L224" s="16"/>
      <c r="M224" s="16"/>
      <c r="N224" s="16"/>
      <c r="O224" s="16"/>
      <c r="P224" s="16"/>
      <c r="Q224" s="31"/>
      <c r="R224" s="31"/>
      <c r="S224" s="31"/>
      <c r="T224" s="31"/>
    </row>
    <row r="225" spans="1:20" ht="15" thickBot="1" x14ac:dyDescent="0.4">
      <c r="A225" s="16">
        <v>212</v>
      </c>
      <c r="B225" s="49"/>
      <c r="C225" s="16"/>
      <c r="D225" s="16"/>
      <c r="E225" s="16"/>
      <c r="F225" s="16"/>
      <c r="G225" s="632"/>
      <c r="H225" s="633"/>
      <c r="I225" s="634"/>
      <c r="J225" s="16"/>
      <c r="K225" s="16"/>
      <c r="L225" s="16"/>
      <c r="M225" s="16"/>
      <c r="N225" s="16"/>
      <c r="O225" s="16"/>
      <c r="P225" s="16"/>
      <c r="Q225" s="31"/>
      <c r="R225" s="31"/>
      <c r="S225" s="31"/>
      <c r="T225" s="31"/>
    </row>
    <row r="226" spans="1:20" ht="15" thickBot="1" x14ac:dyDescent="0.4">
      <c r="A226" s="16">
        <v>213</v>
      </c>
      <c r="B226" s="49"/>
      <c r="C226" s="16"/>
      <c r="D226" s="16"/>
      <c r="E226" s="16"/>
      <c r="F226" s="16"/>
      <c r="G226" s="632"/>
      <c r="H226" s="633"/>
      <c r="I226" s="634"/>
      <c r="J226" s="16"/>
      <c r="K226" s="16"/>
      <c r="L226" s="16"/>
      <c r="M226" s="16"/>
      <c r="N226" s="16"/>
      <c r="O226" s="16"/>
      <c r="P226" s="16"/>
      <c r="Q226" s="31"/>
      <c r="R226" s="31"/>
      <c r="S226" s="31"/>
      <c r="T226" s="31"/>
    </row>
    <row r="227" spans="1:20" ht="15" thickBot="1" x14ac:dyDescent="0.4">
      <c r="A227" s="16">
        <v>214</v>
      </c>
      <c r="B227" s="49"/>
      <c r="C227" s="16"/>
      <c r="D227" s="16"/>
      <c r="E227" s="16"/>
      <c r="F227" s="16"/>
      <c r="G227" s="632"/>
      <c r="H227" s="633"/>
      <c r="I227" s="634"/>
      <c r="J227" s="16"/>
      <c r="K227" s="16"/>
      <c r="L227" s="16"/>
      <c r="M227" s="16"/>
      <c r="N227" s="16"/>
      <c r="O227" s="16"/>
      <c r="P227" s="16"/>
      <c r="Q227" s="31"/>
      <c r="R227" s="31"/>
      <c r="S227" s="31"/>
      <c r="T227" s="31"/>
    </row>
    <row r="228" spans="1:20" ht="15" thickBot="1" x14ac:dyDescent="0.4">
      <c r="A228" s="16">
        <v>215</v>
      </c>
      <c r="B228" s="49"/>
      <c r="C228" s="16"/>
      <c r="D228" s="16"/>
      <c r="E228" s="16"/>
      <c r="F228" s="16"/>
      <c r="G228" s="632"/>
      <c r="H228" s="633"/>
      <c r="I228" s="634"/>
      <c r="J228" s="16"/>
      <c r="K228" s="16"/>
      <c r="L228" s="16"/>
      <c r="M228" s="16"/>
      <c r="N228" s="16"/>
      <c r="O228" s="16"/>
      <c r="P228" s="16"/>
      <c r="Q228" s="31"/>
      <c r="R228" s="31"/>
      <c r="S228" s="31"/>
      <c r="T228" s="31"/>
    </row>
    <row r="229" spans="1:20" ht="15" thickBot="1" x14ac:dyDescent="0.4">
      <c r="A229" s="16">
        <v>216</v>
      </c>
      <c r="B229" s="49"/>
      <c r="C229" s="16"/>
      <c r="D229" s="16"/>
      <c r="E229" s="16"/>
      <c r="F229" s="16"/>
      <c r="G229" s="632"/>
      <c r="H229" s="633"/>
      <c r="I229" s="634"/>
      <c r="J229" s="16"/>
      <c r="K229" s="16"/>
      <c r="L229" s="16"/>
      <c r="M229" s="16"/>
      <c r="N229" s="16"/>
      <c r="O229" s="16"/>
      <c r="P229" s="16"/>
      <c r="Q229" s="31"/>
      <c r="R229" s="31"/>
      <c r="S229" s="31"/>
      <c r="T229" s="31"/>
    </row>
    <row r="230" spans="1:20" ht="15" thickBot="1" x14ac:dyDescent="0.4">
      <c r="A230" s="16">
        <v>217</v>
      </c>
      <c r="B230" s="49"/>
      <c r="C230" s="16"/>
      <c r="D230" s="16"/>
      <c r="E230" s="16"/>
      <c r="F230" s="16"/>
      <c r="G230" s="632"/>
      <c r="H230" s="633"/>
      <c r="I230" s="634"/>
      <c r="J230" s="16"/>
      <c r="K230" s="16"/>
      <c r="L230" s="16"/>
      <c r="M230" s="16"/>
      <c r="N230" s="16"/>
      <c r="O230" s="16"/>
      <c r="P230" s="16"/>
      <c r="Q230" s="31"/>
      <c r="R230" s="31"/>
      <c r="S230" s="31"/>
      <c r="T230" s="31"/>
    </row>
    <row r="231" spans="1:20" ht="15" thickBot="1" x14ac:dyDescent="0.4">
      <c r="A231" s="16">
        <v>218</v>
      </c>
      <c r="B231" s="49"/>
      <c r="C231" s="16"/>
      <c r="D231" s="16"/>
      <c r="E231" s="16"/>
      <c r="F231" s="16"/>
      <c r="G231" s="632"/>
      <c r="H231" s="633"/>
      <c r="I231" s="634"/>
      <c r="J231" s="16"/>
      <c r="K231" s="16"/>
      <c r="L231" s="16"/>
      <c r="M231" s="16"/>
      <c r="N231" s="16"/>
      <c r="O231" s="16"/>
      <c r="P231" s="16"/>
      <c r="Q231" s="31"/>
      <c r="R231" s="31"/>
      <c r="S231" s="31"/>
      <c r="T231" s="31"/>
    </row>
    <row r="232" spans="1:20" ht="15" thickBot="1" x14ac:dyDescent="0.4">
      <c r="A232" s="16">
        <v>219</v>
      </c>
      <c r="B232" s="49"/>
      <c r="C232" s="16"/>
      <c r="D232" s="16"/>
      <c r="E232" s="16"/>
      <c r="F232" s="16"/>
      <c r="G232" s="632"/>
      <c r="H232" s="633"/>
      <c r="I232" s="634"/>
      <c r="J232" s="16"/>
      <c r="K232" s="16"/>
      <c r="L232" s="16"/>
      <c r="M232" s="16"/>
      <c r="N232" s="16"/>
      <c r="O232" s="16"/>
      <c r="P232" s="16"/>
      <c r="Q232" s="31"/>
      <c r="R232" s="31"/>
      <c r="S232" s="31"/>
      <c r="T232" s="31"/>
    </row>
    <row r="233" spans="1:20" ht="15" thickBot="1" x14ac:dyDescent="0.4">
      <c r="A233" s="16">
        <v>220</v>
      </c>
      <c r="B233" s="49"/>
      <c r="C233" s="16"/>
      <c r="D233" s="16"/>
      <c r="E233" s="16"/>
      <c r="F233" s="16"/>
      <c r="G233" s="632"/>
      <c r="H233" s="633"/>
      <c r="I233" s="634"/>
      <c r="J233" s="16"/>
      <c r="K233" s="16"/>
      <c r="L233" s="16"/>
      <c r="M233" s="16"/>
      <c r="N233" s="16"/>
      <c r="O233" s="16"/>
      <c r="P233" s="16"/>
      <c r="Q233" s="31"/>
      <c r="R233" s="31"/>
      <c r="S233" s="31"/>
      <c r="T233" s="31"/>
    </row>
    <row r="234" spans="1:20" ht="15" thickBot="1" x14ac:dyDescent="0.4">
      <c r="A234" s="16">
        <v>221</v>
      </c>
      <c r="B234" s="49"/>
      <c r="C234" s="16"/>
      <c r="D234" s="16"/>
      <c r="E234" s="16"/>
      <c r="F234" s="16"/>
      <c r="G234" s="632"/>
      <c r="H234" s="633"/>
      <c r="I234" s="634"/>
      <c r="J234" s="16"/>
      <c r="K234" s="16"/>
      <c r="L234" s="16"/>
      <c r="M234" s="16"/>
      <c r="N234" s="16"/>
      <c r="O234" s="16"/>
      <c r="P234" s="16"/>
      <c r="Q234" s="31"/>
      <c r="R234" s="31"/>
      <c r="S234" s="31"/>
      <c r="T234" s="31"/>
    </row>
    <row r="235" spans="1:20" ht="15" thickBot="1" x14ac:dyDescent="0.4">
      <c r="A235" s="16">
        <v>222</v>
      </c>
      <c r="B235" s="49"/>
      <c r="C235" s="16"/>
      <c r="D235" s="16"/>
      <c r="E235" s="16"/>
      <c r="F235" s="16"/>
      <c r="G235" s="632"/>
      <c r="H235" s="633"/>
      <c r="I235" s="634"/>
      <c r="J235" s="16"/>
      <c r="K235" s="16"/>
      <c r="L235" s="16"/>
      <c r="M235" s="16"/>
      <c r="N235" s="16"/>
      <c r="O235" s="16"/>
      <c r="P235" s="16"/>
      <c r="Q235" s="31"/>
      <c r="R235" s="31"/>
      <c r="S235" s="31"/>
      <c r="T235" s="31"/>
    </row>
    <row r="236" spans="1:20" ht="15" thickBot="1" x14ac:dyDescent="0.4">
      <c r="A236" s="16">
        <v>223</v>
      </c>
      <c r="B236" s="49"/>
      <c r="C236" s="16"/>
      <c r="D236" s="16"/>
      <c r="E236" s="16"/>
      <c r="F236" s="16"/>
      <c r="G236" s="632"/>
      <c r="H236" s="633"/>
      <c r="I236" s="634"/>
      <c r="J236" s="16"/>
      <c r="K236" s="16"/>
      <c r="L236" s="16"/>
      <c r="M236" s="16"/>
      <c r="N236" s="16"/>
      <c r="O236" s="16"/>
      <c r="P236" s="16"/>
      <c r="Q236" s="31"/>
      <c r="R236" s="31"/>
      <c r="S236" s="31"/>
      <c r="T236" s="31"/>
    </row>
    <row r="237" spans="1:20" ht="15" thickBot="1" x14ac:dyDescent="0.4">
      <c r="A237" s="16">
        <v>224</v>
      </c>
      <c r="B237" s="49"/>
      <c r="C237" s="16"/>
      <c r="D237" s="16"/>
      <c r="E237" s="16"/>
      <c r="F237" s="16"/>
      <c r="G237" s="632"/>
      <c r="H237" s="633"/>
      <c r="I237" s="634"/>
      <c r="J237" s="16"/>
      <c r="K237" s="16"/>
      <c r="L237" s="16"/>
      <c r="M237" s="16"/>
      <c r="N237" s="16"/>
      <c r="O237" s="16"/>
      <c r="P237" s="16"/>
      <c r="Q237" s="31"/>
      <c r="R237" s="31"/>
      <c r="S237" s="31"/>
      <c r="T237" s="31"/>
    </row>
    <row r="238" spans="1:20" ht="15" thickBot="1" x14ac:dyDescent="0.4">
      <c r="A238" s="16">
        <v>225</v>
      </c>
      <c r="B238" s="49"/>
      <c r="C238" s="16"/>
      <c r="D238" s="16"/>
      <c r="E238" s="16"/>
      <c r="F238" s="16"/>
      <c r="G238" s="632"/>
      <c r="H238" s="633"/>
      <c r="I238" s="634"/>
      <c r="J238" s="16"/>
      <c r="K238" s="16"/>
      <c r="L238" s="16"/>
      <c r="M238" s="16"/>
      <c r="N238" s="16"/>
      <c r="O238" s="16"/>
      <c r="P238" s="16"/>
      <c r="Q238" s="31"/>
      <c r="R238" s="31"/>
      <c r="S238" s="31"/>
      <c r="T238" s="31"/>
    </row>
    <row r="239" spans="1:20" ht="15" thickBot="1" x14ac:dyDescent="0.4">
      <c r="A239" s="16">
        <v>226</v>
      </c>
      <c r="B239" s="49"/>
      <c r="C239" s="16"/>
      <c r="D239" s="16"/>
      <c r="E239" s="16"/>
      <c r="F239" s="16"/>
      <c r="G239" s="632"/>
      <c r="H239" s="633"/>
      <c r="I239" s="634"/>
      <c r="J239" s="16"/>
      <c r="K239" s="16"/>
      <c r="L239" s="16"/>
      <c r="M239" s="16"/>
      <c r="N239" s="16"/>
      <c r="O239" s="16"/>
      <c r="P239" s="16"/>
      <c r="Q239" s="31"/>
      <c r="R239" s="31"/>
      <c r="S239" s="31"/>
      <c r="T239" s="31"/>
    </row>
    <row r="240" spans="1:20" ht="15" thickBot="1" x14ac:dyDescent="0.4">
      <c r="A240" s="16">
        <v>227</v>
      </c>
      <c r="B240" s="49"/>
      <c r="C240" s="16"/>
      <c r="D240" s="16"/>
      <c r="E240" s="16"/>
      <c r="F240" s="16"/>
      <c r="G240" s="632"/>
      <c r="H240" s="633"/>
      <c r="I240" s="634"/>
      <c r="J240" s="16"/>
      <c r="K240" s="16"/>
      <c r="L240" s="16"/>
      <c r="M240" s="16"/>
      <c r="N240" s="16"/>
      <c r="O240" s="16"/>
      <c r="P240" s="16"/>
      <c r="Q240" s="31"/>
      <c r="R240" s="31"/>
      <c r="S240" s="31"/>
      <c r="T240" s="31"/>
    </row>
    <row r="241" spans="1:20" ht="15" thickBot="1" x14ac:dyDescent="0.4">
      <c r="A241" s="16">
        <v>228</v>
      </c>
      <c r="B241" s="49"/>
      <c r="C241" s="16"/>
      <c r="D241" s="16"/>
      <c r="E241" s="16"/>
      <c r="F241" s="16"/>
      <c r="G241" s="632"/>
      <c r="H241" s="633"/>
      <c r="I241" s="634"/>
      <c r="J241" s="16"/>
      <c r="K241" s="16"/>
      <c r="L241" s="16"/>
      <c r="M241" s="16"/>
      <c r="N241" s="16"/>
      <c r="O241" s="16"/>
      <c r="P241" s="16"/>
      <c r="Q241" s="31"/>
      <c r="R241" s="31"/>
      <c r="S241" s="31"/>
      <c r="T241" s="31"/>
    </row>
    <row r="242" spans="1:20" ht="15" thickBot="1" x14ac:dyDescent="0.4">
      <c r="A242" s="16">
        <v>229</v>
      </c>
      <c r="B242" s="49"/>
      <c r="C242" s="16"/>
      <c r="D242" s="16"/>
      <c r="E242" s="16"/>
      <c r="F242" s="16"/>
      <c r="G242" s="632"/>
      <c r="H242" s="633"/>
      <c r="I242" s="634"/>
      <c r="J242" s="16"/>
      <c r="K242" s="16"/>
      <c r="L242" s="16"/>
      <c r="M242" s="16"/>
      <c r="N242" s="16"/>
      <c r="O242" s="16"/>
      <c r="P242" s="16"/>
      <c r="Q242" s="31"/>
      <c r="R242" s="31"/>
      <c r="S242" s="31"/>
      <c r="T242" s="31"/>
    </row>
    <row r="243" spans="1:20" ht="15" thickBot="1" x14ac:dyDescent="0.4">
      <c r="A243" s="16">
        <v>230</v>
      </c>
      <c r="B243" s="49"/>
      <c r="C243" s="16"/>
      <c r="D243" s="16"/>
      <c r="E243" s="16"/>
      <c r="F243" s="16"/>
      <c r="G243" s="632"/>
      <c r="H243" s="633"/>
      <c r="I243" s="634"/>
      <c r="J243" s="16"/>
      <c r="K243" s="16"/>
      <c r="L243" s="16"/>
      <c r="M243" s="16"/>
      <c r="N243" s="16"/>
      <c r="O243" s="16"/>
      <c r="P243" s="16"/>
      <c r="Q243" s="31"/>
      <c r="R243" s="31"/>
      <c r="S243" s="31"/>
      <c r="T243" s="31"/>
    </row>
    <row r="244" spans="1:20" ht="15" thickBot="1" x14ac:dyDescent="0.4">
      <c r="A244" s="16">
        <v>231</v>
      </c>
      <c r="B244" s="49"/>
      <c r="C244" s="16"/>
      <c r="D244" s="16"/>
      <c r="E244" s="16"/>
      <c r="F244" s="16"/>
      <c r="G244" s="632"/>
      <c r="H244" s="633"/>
      <c r="I244" s="634"/>
      <c r="J244" s="16"/>
      <c r="K244" s="16"/>
      <c r="L244" s="16"/>
      <c r="M244" s="16"/>
      <c r="N244" s="16"/>
      <c r="O244" s="16"/>
      <c r="P244" s="16"/>
      <c r="Q244" s="31"/>
      <c r="R244" s="31"/>
      <c r="S244" s="31"/>
      <c r="T244" s="31"/>
    </row>
    <row r="245" spans="1:20" ht="15" thickBot="1" x14ac:dyDescent="0.4">
      <c r="A245" s="16">
        <v>232</v>
      </c>
      <c r="B245" s="49"/>
      <c r="C245" s="16"/>
      <c r="D245" s="16"/>
      <c r="E245" s="16"/>
      <c r="F245" s="16"/>
      <c r="G245" s="632"/>
      <c r="H245" s="633"/>
      <c r="I245" s="634"/>
      <c r="J245" s="16"/>
      <c r="K245" s="16"/>
      <c r="L245" s="16"/>
      <c r="M245" s="16"/>
      <c r="N245" s="16"/>
      <c r="O245" s="16"/>
      <c r="P245" s="16"/>
      <c r="Q245" s="31"/>
      <c r="R245" s="31"/>
      <c r="S245" s="31"/>
      <c r="T245" s="31"/>
    </row>
    <row r="246" spans="1:20" ht="15" thickBot="1" x14ac:dyDescent="0.4">
      <c r="A246" s="16">
        <v>233</v>
      </c>
      <c r="B246" s="49"/>
      <c r="C246" s="16"/>
      <c r="D246" s="16"/>
      <c r="E246" s="16"/>
      <c r="F246" s="16"/>
      <c r="G246" s="632"/>
      <c r="H246" s="633"/>
      <c r="I246" s="634"/>
      <c r="J246" s="16"/>
      <c r="K246" s="16"/>
      <c r="L246" s="16"/>
      <c r="M246" s="16"/>
      <c r="N246" s="16"/>
      <c r="O246" s="16"/>
      <c r="P246" s="16"/>
      <c r="Q246" s="31"/>
      <c r="R246" s="31"/>
      <c r="S246" s="31"/>
      <c r="T246" s="31"/>
    </row>
    <row r="247" spans="1:20" ht="15" thickBot="1" x14ac:dyDescent="0.4">
      <c r="A247" s="16">
        <v>234</v>
      </c>
      <c r="B247" s="49"/>
      <c r="C247" s="16"/>
      <c r="D247" s="16"/>
      <c r="E247" s="16"/>
      <c r="F247" s="16"/>
      <c r="G247" s="632"/>
      <c r="H247" s="633"/>
      <c r="I247" s="634"/>
      <c r="J247" s="16"/>
      <c r="K247" s="16"/>
      <c r="L247" s="16"/>
      <c r="M247" s="16"/>
      <c r="N247" s="16"/>
      <c r="O247" s="16"/>
      <c r="P247" s="16"/>
      <c r="Q247" s="31"/>
      <c r="R247" s="31"/>
      <c r="S247" s="31"/>
      <c r="T247" s="31"/>
    </row>
    <row r="248" spans="1:20" ht="15" thickBot="1" x14ac:dyDescent="0.4">
      <c r="A248" s="16">
        <v>235</v>
      </c>
      <c r="B248" s="49"/>
      <c r="C248" s="16"/>
      <c r="D248" s="16"/>
      <c r="E248" s="16"/>
      <c r="F248" s="16"/>
      <c r="G248" s="632"/>
      <c r="H248" s="633"/>
      <c r="I248" s="634"/>
      <c r="J248" s="16"/>
      <c r="K248" s="16"/>
      <c r="L248" s="16"/>
      <c r="M248" s="16"/>
      <c r="N248" s="16"/>
      <c r="O248" s="16"/>
      <c r="P248" s="16"/>
      <c r="Q248" s="31"/>
      <c r="R248" s="31"/>
      <c r="S248" s="31"/>
      <c r="T248" s="31"/>
    </row>
    <row r="249" spans="1:20" ht="15" thickBot="1" x14ac:dyDescent="0.4">
      <c r="A249" s="16">
        <v>236</v>
      </c>
      <c r="B249" s="49"/>
      <c r="C249" s="16"/>
      <c r="D249" s="16"/>
      <c r="E249" s="16"/>
      <c r="F249" s="16"/>
      <c r="G249" s="632"/>
      <c r="H249" s="633"/>
      <c r="I249" s="634"/>
      <c r="J249" s="16"/>
      <c r="K249" s="16"/>
      <c r="L249" s="16"/>
      <c r="M249" s="16"/>
      <c r="N249" s="16"/>
      <c r="O249" s="16"/>
      <c r="P249" s="16"/>
      <c r="Q249" s="31"/>
      <c r="R249" s="31"/>
      <c r="S249" s="31"/>
      <c r="T249" s="31"/>
    </row>
    <row r="250" spans="1:20" ht="15" thickBot="1" x14ac:dyDescent="0.4">
      <c r="A250" s="16">
        <v>237</v>
      </c>
      <c r="B250" s="49"/>
      <c r="C250" s="16"/>
      <c r="D250" s="16"/>
      <c r="E250" s="16"/>
      <c r="F250" s="16"/>
      <c r="G250" s="632"/>
      <c r="H250" s="633"/>
      <c r="I250" s="634"/>
      <c r="J250" s="16"/>
      <c r="K250" s="16"/>
      <c r="L250" s="16"/>
      <c r="M250" s="16"/>
      <c r="N250" s="16"/>
      <c r="O250" s="16"/>
      <c r="P250" s="16"/>
      <c r="Q250" s="31"/>
      <c r="R250" s="31"/>
      <c r="S250" s="31"/>
      <c r="T250" s="31"/>
    </row>
    <row r="251" spans="1:20" ht="15" thickBot="1" x14ac:dyDescent="0.4">
      <c r="A251" s="16">
        <v>238</v>
      </c>
      <c r="B251" s="49"/>
      <c r="C251" s="16"/>
      <c r="D251" s="16"/>
      <c r="E251" s="16"/>
      <c r="F251" s="16"/>
      <c r="G251" s="632"/>
      <c r="H251" s="633"/>
      <c r="I251" s="634"/>
      <c r="J251" s="16"/>
      <c r="K251" s="16"/>
      <c r="L251" s="16"/>
      <c r="M251" s="16"/>
      <c r="N251" s="16"/>
      <c r="O251" s="16"/>
      <c r="P251" s="16"/>
      <c r="Q251" s="31"/>
      <c r="R251" s="31"/>
      <c r="S251" s="31"/>
      <c r="T251" s="31"/>
    </row>
    <row r="252" spans="1:20" ht="15" thickBot="1" x14ac:dyDescent="0.4">
      <c r="A252" s="16">
        <v>239</v>
      </c>
      <c r="B252" s="49"/>
      <c r="C252" s="16"/>
      <c r="D252" s="16"/>
      <c r="E252" s="16"/>
      <c r="F252" s="16"/>
      <c r="G252" s="632"/>
      <c r="H252" s="633"/>
      <c r="I252" s="634"/>
      <c r="J252" s="16"/>
      <c r="K252" s="16"/>
      <c r="L252" s="16"/>
      <c r="M252" s="16"/>
      <c r="N252" s="16"/>
      <c r="O252" s="16"/>
      <c r="P252" s="16"/>
      <c r="Q252" s="31"/>
      <c r="R252" s="31"/>
      <c r="S252" s="31"/>
      <c r="T252" s="31"/>
    </row>
    <row r="253" spans="1:20" ht="15" thickBot="1" x14ac:dyDescent="0.4">
      <c r="A253" s="16">
        <v>240</v>
      </c>
      <c r="B253" s="49"/>
      <c r="C253" s="16"/>
      <c r="D253" s="16"/>
      <c r="E253" s="16"/>
      <c r="F253" s="16"/>
      <c r="G253" s="632"/>
      <c r="H253" s="633"/>
      <c r="I253" s="634"/>
      <c r="J253" s="16"/>
      <c r="K253" s="16"/>
      <c r="L253" s="16"/>
      <c r="M253" s="16"/>
      <c r="N253" s="16"/>
      <c r="O253" s="16"/>
      <c r="P253" s="16"/>
      <c r="Q253" s="31"/>
      <c r="R253" s="31"/>
      <c r="S253" s="31"/>
      <c r="T253" s="31"/>
    </row>
    <row r="254" spans="1:20" ht="15" thickBot="1" x14ac:dyDescent="0.4">
      <c r="A254" s="16">
        <v>241</v>
      </c>
      <c r="B254" s="49"/>
      <c r="C254" s="16"/>
      <c r="D254" s="16"/>
      <c r="E254" s="16"/>
      <c r="F254" s="16"/>
      <c r="G254" s="632"/>
      <c r="H254" s="633"/>
      <c r="I254" s="634"/>
      <c r="J254" s="16"/>
      <c r="K254" s="16"/>
      <c r="L254" s="16"/>
      <c r="M254" s="16"/>
      <c r="N254" s="16"/>
      <c r="O254" s="16"/>
      <c r="P254" s="16"/>
      <c r="Q254" s="31"/>
      <c r="R254" s="31"/>
      <c r="S254" s="31"/>
      <c r="T254" s="31"/>
    </row>
    <row r="255" spans="1:20" ht="15" thickBot="1" x14ac:dyDescent="0.4">
      <c r="A255" s="16">
        <v>242</v>
      </c>
      <c r="B255" s="49"/>
      <c r="C255" s="16"/>
      <c r="D255" s="16"/>
      <c r="E255" s="16"/>
      <c r="F255" s="16"/>
      <c r="G255" s="632"/>
      <c r="H255" s="633"/>
      <c r="I255" s="634"/>
      <c r="J255" s="16"/>
      <c r="K255" s="16"/>
      <c r="L255" s="16"/>
      <c r="M255" s="16"/>
      <c r="N255" s="16"/>
      <c r="O255" s="16"/>
      <c r="P255" s="16"/>
      <c r="Q255" s="31"/>
      <c r="R255" s="31"/>
      <c r="S255" s="31"/>
      <c r="T255" s="31"/>
    </row>
    <row r="256" spans="1:20" ht="15" thickBot="1" x14ac:dyDescent="0.4">
      <c r="A256" s="16">
        <v>243</v>
      </c>
      <c r="B256" s="49"/>
      <c r="C256" s="16"/>
      <c r="D256" s="16"/>
      <c r="E256" s="16"/>
      <c r="F256" s="16"/>
      <c r="G256" s="632"/>
      <c r="H256" s="633"/>
      <c r="I256" s="634"/>
      <c r="J256" s="16"/>
      <c r="K256" s="16"/>
      <c r="L256" s="16"/>
      <c r="M256" s="16"/>
      <c r="N256" s="16"/>
      <c r="O256" s="16"/>
      <c r="P256" s="16"/>
      <c r="Q256" s="31"/>
      <c r="R256" s="31"/>
      <c r="S256" s="31"/>
      <c r="T256" s="31"/>
    </row>
    <row r="257" spans="1:20" ht="15" thickBot="1" x14ac:dyDescent="0.4">
      <c r="A257" s="16">
        <v>244</v>
      </c>
      <c r="B257" s="49"/>
      <c r="C257" s="16"/>
      <c r="D257" s="16"/>
      <c r="E257" s="16"/>
      <c r="F257" s="16"/>
      <c r="G257" s="632"/>
      <c r="H257" s="633"/>
      <c r="I257" s="634"/>
      <c r="J257" s="16"/>
      <c r="K257" s="16"/>
      <c r="L257" s="16"/>
      <c r="M257" s="16"/>
      <c r="N257" s="16"/>
      <c r="O257" s="16"/>
      <c r="P257" s="16"/>
      <c r="Q257" s="31"/>
      <c r="R257" s="31"/>
      <c r="S257" s="31"/>
      <c r="T257" s="31"/>
    </row>
    <row r="258" spans="1:20" ht="15" thickBot="1" x14ac:dyDescent="0.4">
      <c r="A258" s="16">
        <v>245</v>
      </c>
      <c r="B258" s="49"/>
      <c r="C258" s="16"/>
      <c r="D258" s="16"/>
      <c r="E258" s="16"/>
      <c r="F258" s="16"/>
      <c r="G258" s="632"/>
      <c r="H258" s="633"/>
      <c r="I258" s="634"/>
      <c r="J258" s="16"/>
      <c r="K258" s="16"/>
      <c r="L258" s="16"/>
      <c r="M258" s="16"/>
      <c r="N258" s="16"/>
      <c r="O258" s="16"/>
      <c r="P258" s="16"/>
      <c r="Q258" s="31"/>
      <c r="R258" s="31"/>
      <c r="S258" s="31"/>
      <c r="T258" s="31"/>
    </row>
    <row r="259" spans="1:20" ht="15" thickBot="1" x14ac:dyDescent="0.4">
      <c r="A259" s="16">
        <v>246</v>
      </c>
      <c r="B259" s="49"/>
      <c r="C259" s="16"/>
      <c r="D259" s="16"/>
      <c r="E259" s="16"/>
      <c r="F259" s="16"/>
      <c r="G259" s="632"/>
      <c r="H259" s="633"/>
      <c r="I259" s="634"/>
      <c r="J259" s="16"/>
      <c r="K259" s="16"/>
      <c r="L259" s="16"/>
      <c r="M259" s="16"/>
      <c r="N259" s="16"/>
      <c r="O259" s="16"/>
      <c r="P259" s="16"/>
      <c r="Q259" s="31"/>
      <c r="R259" s="31"/>
      <c r="S259" s="31"/>
      <c r="T259" s="31"/>
    </row>
    <row r="260" spans="1:20" ht="15" thickBot="1" x14ac:dyDescent="0.4">
      <c r="A260" s="16">
        <v>247</v>
      </c>
      <c r="B260" s="49"/>
      <c r="C260" s="16"/>
      <c r="D260" s="16"/>
      <c r="E260" s="16"/>
      <c r="F260" s="16"/>
      <c r="G260" s="632"/>
      <c r="H260" s="633"/>
      <c r="I260" s="634"/>
      <c r="J260" s="16"/>
      <c r="K260" s="16"/>
      <c r="L260" s="16"/>
      <c r="M260" s="16"/>
      <c r="N260" s="16"/>
      <c r="O260" s="16"/>
      <c r="P260" s="16"/>
      <c r="Q260" s="31"/>
      <c r="R260" s="31"/>
      <c r="S260" s="31"/>
      <c r="T260" s="31"/>
    </row>
    <row r="261" spans="1:20" ht="15" thickBot="1" x14ac:dyDescent="0.4">
      <c r="A261" s="16">
        <v>248</v>
      </c>
      <c r="B261" s="49"/>
      <c r="C261" s="16"/>
      <c r="D261" s="16"/>
      <c r="E261" s="16"/>
      <c r="F261" s="16"/>
      <c r="G261" s="632"/>
      <c r="H261" s="633"/>
      <c r="I261" s="634"/>
      <c r="J261" s="16"/>
      <c r="K261" s="16"/>
      <c r="L261" s="16"/>
      <c r="M261" s="16"/>
      <c r="N261" s="16"/>
      <c r="O261" s="16"/>
      <c r="P261" s="16"/>
      <c r="Q261" s="31"/>
      <c r="R261" s="31"/>
      <c r="S261" s="31"/>
      <c r="T261" s="31"/>
    </row>
    <row r="262" spans="1:20" ht="15" thickBot="1" x14ac:dyDescent="0.4">
      <c r="A262" s="16">
        <v>249</v>
      </c>
      <c r="B262" s="49"/>
      <c r="C262" s="16"/>
      <c r="D262" s="16"/>
      <c r="E262" s="16"/>
      <c r="F262" s="16"/>
      <c r="G262" s="632"/>
      <c r="H262" s="633"/>
      <c r="I262" s="634"/>
      <c r="J262" s="16"/>
      <c r="K262" s="16"/>
      <c r="L262" s="16"/>
      <c r="M262" s="16"/>
      <c r="N262" s="16"/>
      <c r="O262" s="16"/>
      <c r="P262" s="16"/>
      <c r="Q262" s="31"/>
      <c r="R262" s="31"/>
      <c r="S262" s="31"/>
      <c r="T262" s="31"/>
    </row>
    <row r="263" spans="1:20" ht="15" thickBot="1" x14ac:dyDescent="0.4">
      <c r="A263" s="16">
        <v>250</v>
      </c>
      <c r="B263" s="49"/>
      <c r="C263" s="16"/>
      <c r="D263" s="16"/>
      <c r="E263" s="16"/>
      <c r="F263" s="16"/>
      <c r="G263" s="632"/>
      <c r="H263" s="633"/>
      <c r="I263" s="634"/>
      <c r="J263" s="16"/>
      <c r="K263" s="16"/>
      <c r="L263" s="16"/>
      <c r="M263" s="16"/>
      <c r="N263" s="16"/>
      <c r="O263" s="16"/>
      <c r="P263" s="16"/>
      <c r="Q263" s="31"/>
      <c r="R263" s="31"/>
      <c r="S263" s="31"/>
      <c r="T263" s="31"/>
    </row>
    <row r="264" spans="1:20" ht="15" thickBot="1" x14ac:dyDescent="0.4">
      <c r="A264" s="16">
        <v>251</v>
      </c>
      <c r="B264" s="49"/>
      <c r="C264" s="16"/>
      <c r="D264" s="16"/>
      <c r="E264" s="16"/>
      <c r="F264" s="16"/>
      <c r="G264" s="632"/>
      <c r="H264" s="633"/>
      <c r="I264" s="634"/>
      <c r="J264" s="16"/>
      <c r="K264" s="16"/>
      <c r="L264" s="16"/>
      <c r="M264" s="16"/>
      <c r="N264" s="16"/>
      <c r="O264" s="16"/>
      <c r="P264" s="16"/>
      <c r="Q264" s="31"/>
      <c r="R264" s="31"/>
      <c r="S264" s="31"/>
      <c r="T264" s="31"/>
    </row>
    <row r="265" spans="1:20" ht="15" thickBot="1" x14ac:dyDescent="0.4">
      <c r="A265" s="16">
        <v>252</v>
      </c>
      <c r="B265" s="49"/>
      <c r="C265" s="16"/>
      <c r="D265" s="16"/>
      <c r="E265" s="16"/>
      <c r="F265" s="16"/>
      <c r="G265" s="632"/>
      <c r="H265" s="633"/>
      <c r="I265" s="634"/>
      <c r="J265" s="16"/>
      <c r="K265" s="16"/>
      <c r="L265" s="16"/>
      <c r="M265" s="16"/>
      <c r="N265" s="16"/>
      <c r="O265" s="16"/>
      <c r="P265" s="16"/>
      <c r="Q265" s="31"/>
      <c r="R265" s="31"/>
      <c r="S265" s="31"/>
      <c r="T265" s="31"/>
    </row>
    <row r="266" spans="1:20" ht="15" thickBot="1" x14ac:dyDescent="0.4">
      <c r="A266" s="16">
        <v>253</v>
      </c>
      <c r="B266" s="49"/>
      <c r="C266" s="16"/>
      <c r="D266" s="16"/>
      <c r="E266" s="16"/>
      <c r="F266" s="16"/>
      <c r="G266" s="632"/>
      <c r="H266" s="633"/>
      <c r="I266" s="634"/>
      <c r="J266" s="16"/>
      <c r="K266" s="16"/>
      <c r="L266" s="16"/>
      <c r="M266" s="16"/>
      <c r="N266" s="16"/>
      <c r="O266" s="16"/>
      <c r="P266" s="16"/>
      <c r="Q266" s="31"/>
      <c r="R266" s="31"/>
      <c r="S266" s="31"/>
      <c r="T266" s="31"/>
    </row>
    <row r="267" spans="1:20" ht="15" thickBot="1" x14ac:dyDescent="0.4">
      <c r="A267" s="16">
        <v>254</v>
      </c>
      <c r="B267" s="49"/>
      <c r="C267" s="16"/>
      <c r="D267" s="16"/>
      <c r="E267" s="16"/>
      <c r="F267" s="16"/>
      <c r="G267" s="632"/>
      <c r="H267" s="633"/>
      <c r="I267" s="634"/>
      <c r="J267" s="16"/>
      <c r="K267" s="16"/>
      <c r="L267" s="16"/>
      <c r="M267" s="16"/>
      <c r="N267" s="16"/>
      <c r="O267" s="16"/>
      <c r="P267" s="16"/>
      <c r="Q267" s="31"/>
      <c r="R267" s="31"/>
      <c r="S267" s="31"/>
      <c r="T267" s="31"/>
    </row>
    <row r="268" spans="1:20" ht="15" thickBot="1" x14ac:dyDescent="0.4">
      <c r="A268" s="16">
        <v>255</v>
      </c>
      <c r="B268" s="49"/>
      <c r="C268" s="16"/>
      <c r="D268" s="16"/>
      <c r="E268" s="16"/>
      <c r="F268" s="16"/>
      <c r="G268" s="632"/>
      <c r="H268" s="633"/>
      <c r="I268" s="634"/>
      <c r="J268" s="16"/>
      <c r="K268" s="16"/>
      <c r="L268" s="16"/>
      <c r="M268" s="16"/>
      <c r="N268" s="16"/>
      <c r="O268" s="16"/>
      <c r="P268" s="16"/>
      <c r="Q268" s="31"/>
      <c r="R268" s="31"/>
      <c r="S268" s="31"/>
      <c r="T268" s="31"/>
    </row>
    <row r="269" spans="1:20" ht="15" thickBot="1" x14ac:dyDescent="0.4">
      <c r="A269" s="16">
        <v>256</v>
      </c>
      <c r="B269" s="49"/>
      <c r="C269" s="16"/>
      <c r="D269" s="16"/>
      <c r="E269" s="16"/>
      <c r="F269" s="16"/>
      <c r="J269" s="16"/>
      <c r="K269" s="16"/>
      <c r="L269" s="16"/>
      <c r="M269" s="16"/>
      <c r="N269" s="16"/>
      <c r="O269" s="16"/>
      <c r="P269" s="16"/>
      <c r="Q269" s="31"/>
      <c r="R269" s="31"/>
      <c r="S269" s="31"/>
      <c r="T269" s="31"/>
    </row>
    <row r="270" spans="1:20" ht="15" thickBot="1" x14ac:dyDescent="0.4">
      <c r="A270" s="16">
        <v>257</v>
      </c>
      <c r="B270" s="49"/>
      <c r="C270" s="16"/>
      <c r="D270" s="16"/>
      <c r="E270" s="16"/>
      <c r="F270" s="16"/>
      <c r="J270" s="16"/>
      <c r="K270" s="16"/>
      <c r="L270" s="16"/>
      <c r="M270" s="16"/>
      <c r="N270" s="16"/>
      <c r="O270" s="16"/>
      <c r="P270" s="16"/>
      <c r="Q270" s="31"/>
      <c r="R270" s="31"/>
      <c r="S270" s="31"/>
      <c r="T270" s="31"/>
    </row>
    <row r="271" spans="1:20" ht="15" thickBot="1" x14ac:dyDescent="0.4">
      <c r="A271" s="16">
        <v>258</v>
      </c>
      <c r="B271" s="49"/>
      <c r="C271" s="16"/>
      <c r="D271" s="16"/>
      <c r="E271" s="16"/>
      <c r="F271" s="16"/>
      <c r="J271" s="16"/>
      <c r="K271" s="16"/>
      <c r="L271" s="16"/>
      <c r="M271" s="16"/>
      <c r="N271" s="16"/>
      <c r="O271" s="16"/>
      <c r="P271" s="16"/>
      <c r="Q271" s="31"/>
      <c r="R271" s="31"/>
      <c r="S271" s="31"/>
      <c r="T271" s="31"/>
    </row>
    <row r="272" spans="1:20" ht="15" thickBot="1" x14ac:dyDescent="0.4">
      <c r="A272" s="16">
        <v>259</v>
      </c>
      <c r="B272" s="49"/>
      <c r="C272" s="16"/>
      <c r="D272" s="16"/>
      <c r="E272" s="16"/>
      <c r="F272" s="16"/>
      <c r="J272" s="16"/>
      <c r="K272" s="16"/>
      <c r="L272" s="16"/>
      <c r="M272" s="16"/>
      <c r="N272" s="16"/>
      <c r="O272" s="16"/>
      <c r="P272" s="16"/>
      <c r="Q272" s="31"/>
      <c r="R272" s="31"/>
      <c r="S272" s="31"/>
      <c r="T272" s="31"/>
    </row>
    <row r="273" spans="1:20" ht="15" thickBot="1" x14ac:dyDescent="0.4">
      <c r="A273" s="16">
        <v>260</v>
      </c>
      <c r="B273" s="49"/>
      <c r="C273" s="16"/>
      <c r="D273" s="16"/>
      <c r="E273" s="16"/>
      <c r="F273" s="16"/>
      <c r="J273" s="16"/>
      <c r="K273" s="16"/>
      <c r="L273" s="16"/>
      <c r="M273" s="16"/>
      <c r="N273" s="16"/>
      <c r="O273" s="16"/>
      <c r="P273" s="16"/>
      <c r="Q273" s="31"/>
      <c r="R273" s="31"/>
      <c r="S273" s="31"/>
      <c r="T273" s="31"/>
    </row>
    <row r="274" spans="1:20" ht="15" thickBot="1" x14ac:dyDescent="0.4">
      <c r="A274" s="16">
        <v>261</v>
      </c>
      <c r="B274" s="49"/>
      <c r="C274" s="16"/>
      <c r="D274" s="16"/>
      <c r="E274" s="16"/>
      <c r="F274" s="16"/>
      <c r="J274" s="16"/>
      <c r="K274" s="16"/>
      <c r="L274" s="16"/>
      <c r="M274" s="16"/>
      <c r="N274" s="16"/>
      <c r="O274" s="16"/>
      <c r="P274" s="16"/>
      <c r="Q274" s="31"/>
      <c r="R274" s="31"/>
      <c r="S274" s="31"/>
      <c r="T274" s="31"/>
    </row>
    <row r="275" spans="1:20" ht="15" thickBot="1" x14ac:dyDescent="0.4">
      <c r="A275" s="16">
        <v>262</v>
      </c>
      <c r="B275" s="49"/>
      <c r="C275" s="16"/>
      <c r="D275" s="16"/>
      <c r="E275" s="16"/>
      <c r="F275" s="16"/>
      <c r="J275" s="16"/>
      <c r="K275" s="16"/>
      <c r="L275" s="16"/>
      <c r="M275" s="16"/>
      <c r="N275" s="16"/>
      <c r="O275" s="16"/>
      <c r="P275" s="16"/>
      <c r="Q275" s="31"/>
      <c r="R275" s="31"/>
      <c r="S275" s="31"/>
      <c r="T275" s="31"/>
    </row>
    <row r="276" spans="1:20" ht="15" thickBot="1" x14ac:dyDescent="0.4">
      <c r="A276" s="16">
        <v>263</v>
      </c>
      <c r="B276" s="49"/>
      <c r="C276" s="16"/>
      <c r="D276" s="16"/>
      <c r="E276" s="16"/>
      <c r="F276" s="16"/>
      <c r="J276" s="16"/>
      <c r="K276" s="16"/>
      <c r="L276" s="16"/>
      <c r="M276" s="16"/>
      <c r="N276" s="16"/>
      <c r="O276" s="16"/>
      <c r="P276" s="16"/>
      <c r="Q276" s="31"/>
      <c r="R276" s="31"/>
      <c r="S276" s="31"/>
      <c r="T276" s="31"/>
    </row>
    <row r="277" spans="1:20" ht="15" thickBot="1" x14ac:dyDescent="0.4">
      <c r="A277" s="16">
        <v>264</v>
      </c>
      <c r="B277" s="49"/>
      <c r="C277" s="16"/>
      <c r="D277" s="16"/>
      <c r="E277" s="16"/>
      <c r="F277" s="16"/>
      <c r="G277" s="632"/>
      <c r="H277" s="633"/>
      <c r="I277" s="634"/>
      <c r="J277" s="16"/>
      <c r="K277" s="16"/>
      <c r="L277" s="16"/>
      <c r="M277" s="16"/>
      <c r="N277" s="16"/>
      <c r="O277" s="16"/>
      <c r="P277" s="16"/>
      <c r="Q277" s="31"/>
      <c r="R277" s="31"/>
      <c r="S277" s="31"/>
      <c r="T277" s="31"/>
    </row>
    <row r="278" spans="1:20" ht="15" thickBot="1" x14ac:dyDescent="0.4">
      <c r="A278" s="16">
        <v>265</v>
      </c>
      <c r="B278" s="49"/>
      <c r="C278" s="16"/>
      <c r="D278" s="16"/>
      <c r="E278" s="16"/>
      <c r="F278" s="16"/>
      <c r="G278" s="632"/>
      <c r="H278" s="633"/>
      <c r="I278" s="634"/>
      <c r="J278" s="16"/>
      <c r="K278" s="16"/>
      <c r="L278" s="16"/>
      <c r="M278" s="16"/>
      <c r="N278" s="16"/>
      <c r="O278" s="16"/>
      <c r="P278" s="16"/>
      <c r="Q278" s="31"/>
      <c r="R278" s="31"/>
      <c r="S278" s="31"/>
      <c r="T278" s="31"/>
    </row>
    <row r="279" spans="1:20" ht="15" thickBot="1" x14ac:dyDescent="0.4">
      <c r="A279" s="16">
        <v>266</v>
      </c>
      <c r="B279" s="49"/>
      <c r="C279" s="16"/>
      <c r="D279" s="16"/>
      <c r="E279" s="16"/>
      <c r="F279" s="16"/>
      <c r="G279" s="632"/>
      <c r="H279" s="633"/>
      <c r="I279" s="634"/>
      <c r="J279" s="16"/>
      <c r="K279" s="16"/>
      <c r="L279" s="16"/>
      <c r="M279" s="16"/>
      <c r="N279" s="16"/>
      <c r="O279" s="16"/>
      <c r="P279" s="16"/>
      <c r="Q279" s="31"/>
      <c r="R279" s="31"/>
      <c r="S279" s="31"/>
      <c r="T279" s="31"/>
    </row>
    <row r="280" spans="1:20" ht="15" thickBot="1" x14ac:dyDescent="0.4">
      <c r="A280" s="16">
        <v>267</v>
      </c>
      <c r="B280" s="49"/>
      <c r="C280" s="16"/>
      <c r="D280" s="16"/>
      <c r="E280" s="16"/>
      <c r="F280" s="16"/>
      <c r="G280" s="632"/>
      <c r="H280" s="633"/>
      <c r="I280" s="634"/>
      <c r="J280" s="16"/>
      <c r="K280" s="16"/>
      <c r="L280" s="16"/>
      <c r="M280" s="16"/>
      <c r="N280" s="16"/>
      <c r="O280" s="16"/>
      <c r="P280" s="16"/>
      <c r="Q280" s="31"/>
      <c r="R280" s="31"/>
      <c r="S280" s="31"/>
      <c r="T280" s="31"/>
    </row>
    <row r="281" spans="1:20" ht="15" thickBot="1" x14ac:dyDescent="0.4">
      <c r="A281" s="16">
        <v>268</v>
      </c>
      <c r="B281" s="49"/>
      <c r="C281" s="16"/>
      <c r="D281" s="16"/>
      <c r="E281" s="16"/>
      <c r="F281" s="16"/>
      <c r="G281" s="632"/>
      <c r="H281" s="633"/>
      <c r="I281" s="634"/>
      <c r="J281" s="16"/>
      <c r="K281" s="16"/>
      <c r="L281" s="16"/>
      <c r="M281" s="16"/>
      <c r="N281" s="16"/>
      <c r="O281" s="16"/>
      <c r="P281" s="16"/>
      <c r="Q281" s="31"/>
      <c r="R281" s="31"/>
      <c r="S281" s="31"/>
      <c r="T281" s="31"/>
    </row>
    <row r="282" spans="1:20" ht="15" thickBot="1" x14ac:dyDescent="0.4">
      <c r="A282" s="16">
        <v>269</v>
      </c>
      <c r="B282" s="49"/>
      <c r="C282" s="16"/>
      <c r="D282" s="16"/>
      <c r="E282" s="16"/>
      <c r="F282" s="16"/>
      <c r="G282" s="632"/>
      <c r="H282" s="633"/>
      <c r="I282" s="634"/>
      <c r="J282" s="16"/>
      <c r="K282" s="16"/>
      <c r="L282" s="16"/>
      <c r="M282" s="16"/>
      <c r="N282" s="16"/>
      <c r="O282" s="16"/>
      <c r="P282" s="16"/>
      <c r="Q282" s="31"/>
      <c r="R282" s="31"/>
      <c r="S282" s="31"/>
      <c r="T282" s="31"/>
    </row>
    <row r="283" spans="1:20" ht="15" thickBot="1" x14ac:dyDescent="0.4">
      <c r="A283" s="16">
        <v>270</v>
      </c>
      <c r="B283" s="49"/>
      <c r="C283" s="16"/>
      <c r="D283" s="16"/>
      <c r="E283" s="16"/>
      <c r="F283" s="16"/>
      <c r="G283" s="632"/>
      <c r="H283" s="633"/>
      <c r="I283" s="634"/>
      <c r="J283" s="16"/>
      <c r="K283" s="16"/>
      <c r="L283" s="16"/>
      <c r="M283" s="16"/>
      <c r="N283" s="16"/>
      <c r="O283" s="16"/>
      <c r="P283" s="16"/>
      <c r="Q283" s="31"/>
      <c r="R283" s="31"/>
      <c r="S283" s="31"/>
      <c r="T283" s="31"/>
    </row>
    <row r="284" spans="1:20" ht="15" thickBot="1" x14ac:dyDescent="0.4">
      <c r="A284" s="16">
        <v>271</v>
      </c>
      <c r="B284" s="49"/>
      <c r="C284" s="16"/>
      <c r="D284" s="16"/>
      <c r="E284" s="16"/>
      <c r="F284" s="16"/>
      <c r="G284" s="632"/>
      <c r="H284" s="633"/>
      <c r="I284" s="634"/>
      <c r="J284" s="16"/>
      <c r="K284" s="16"/>
      <c r="L284" s="16"/>
      <c r="M284" s="16"/>
      <c r="N284" s="16"/>
      <c r="O284" s="16"/>
      <c r="P284" s="16"/>
      <c r="Q284" s="31"/>
      <c r="R284" s="31"/>
      <c r="S284" s="31"/>
      <c r="T284" s="31"/>
    </row>
    <row r="285" spans="1:20" ht="15" thickBot="1" x14ac:dyDescent="0.4">
      <c r="A285" s="16">
        <v>272</v>
      </c>
      <c r="B285" s="49"/>
      <c r="C285" s="16"/>
      <c r="D285" s="16"/>
      <c r="E285" s="16"/>
      <c r="F285" s="16"/>
      <c r="G285" s="632"/>
      <c r="H285" s="633"/>
      <c r="I285" s="634"/>
      <c r="J285" s="16"/>
      <c r="K285" s="16"/>
      <c r="L285" s="16"/>
      <c r="M285" s="16"/>
      <c r="N285" s="16"/>
      <c r="O285" s="16"/>
      <c r="P285" s="16"/>
      <c r="Q285" s="31"/>
      <c r="R285" s="31"/>
      <c r="S285" s="31"/>
      <c r="T285" s="31"/>
    </row>
    <row r="286" spans="1:20" ht="15" thickBot="1" x14ac:dyDescent="0.4">
      <c r="A286" s="16">
        <v>273</v>
      </c>
      <c r="B286" s="49"/>
      <c r="C286" s="16"/>
      <c r="D286" s="16"/>
      <c r="E286" s="16"/>
      <c r="F286" s="16"/>
      <c r="G286" s="632"/>
      <c r="H286" s="633"/>
      <c r="I286" s="634"/>
      <c r="J286" s="16"/>
      <c r="K286" s="16"/>
      <c r="L286" s="16"/>
      <c r="M286" s="16"/>
      <c r="N286" s="16"/>
      <c r="O286" s="16"/>
      <c r="P286" s="16"/>
      <c r="Q286" s="31"/>
      <c r="R286" s="31"/>
      <c r="S286" s="31"/>
      <c r="T286" s="31"/>
    </row>
    <row r="287" spans="1:20" ht="15" thickBot="1" x14ac:dyDescent="0.4">
      <c r="A287" s="16">
        <v>274</v>
      </c>
      <c r="B287" s="49"/>
      <c r="C287" s="16"/>
      <c r="D287" s="16"/>
      <c r="E287" s="16"/>
      <c r="F287" s="16"/>
      <c r="G287" s="632"/>
      <c r="H287" s="633"/>
      <c r="I287" s="634"/>
      <c r="J287" s="16"/>
      <c r="K287" s="16"/>
      <c r="L287" s="16"/>
      <c r="M287" s="16"/>
      <c r="N287" s="16"/>
      <c r="O287" s="16"/>
      <c r="P287" s="16"/>
      <c r="Q287" s="31"/>
      <c r="R287" s="31"/>
      <c r="S287" s="31"/>
      <c r="T287" s="31"/>
    </row>
    <row r="288" spans="1:20" ht="15" thickBot="1" x14ac:dyDescent="0.4">
      <c r="A288" s="16">
        <v>275</v>
      </c>
      <c r="B288" s="49"/>
      <c r="C288" s="16"/>
      <c r="D288" s="16"/>
      <c r="E288" s="16"/>
      <c r="F288" s="16"/>
      <c r="G288" s="632"/>
      <c r="H288" s="633"/>
      <c r="I288" s="634"/>
      <c r="J288" s="16"/>
      <c r="K288" s="16"/>
      <c r="L288" s="16"/>
      <c r="M288" s="16"/>
      <c r="N288" s="16"/>
      <c r="O288" s="16"/>
      <c r="P288" s="16"/>
      <c r="Q288" s="31"/>
      <c r="R288" s="31"/>
      <c r="S288" s="31"/>
      <c r="T288" s="31"/>
    </row>
    <row r="289" spans="1:20" ht="15" thickBot="1" x14ac:dyDescent="0.4">
      <c r="A289" s="16">
        <v>276</v>
      </c>
      <c r="B289" s="49"/>
      <c r="C289" s="16"/>
      <c r="D289" s="16"/>
      <c r="E289" s="16"/>
      <c r="F289" s="16"/>
      <c r="G289" s="632"/>
      <c r="H289" s="633"/>
      <c r="I289" s="634"/>
      <c r="J289" s="16"/>
      <c r="K289" s="16"/>
      <c r="L289" s="16"/>
      <c r="M289" s="16"/>
      <c r="N289" s="16"/>
      <c r="O289" s="16"/>
      <c r="P289" s="16"/>
      <c r="Q289" s="31"/>
      <c r="R289" s="31"/>
      <c r="S289" s="31"/>
      <c r="T289" s="31"/>
    </row>
    <row r="290" spans="1:20" ht="15" thickBot="1" x14ac:dyDescent="0.4">
      <c r="A290" s="16">
        <v>277</v>
      </c>
      <c r="B290" s="49"/>
      <c r="C290" s="16"/>
      <c r="D290" s="16"/>
      <c r="E290" s="16"/>
      <c r="F290" s="16"/>
      <c r="G290" s="632"/>
      <c r="H290" s="633"/>
      <c r="I290" s="634"/>
      <c r="J290" s="16"/>
      <c r="K290" s="16"/>
      <c r="L290" s="16"/>
      <c r="M290" s="16"/>
      <c r="N290" s="16"/>
      <c r="O290" s="16"/>
      <c r="P290" s="16"/>
      <c r="Q290" s="31"/>
      <c r="R290" s="31"/>
      <c r="S290" s="31"/>
      <c r="T290" s="31"/>
    </row>
    <row r="291" spans="1:20" ht="15" thickBot="1" x14ac:dyDescent="0.4">
      <c r="A291" s="16">
        <v>278</v>
      </c>
      <c r="B291" s="49"/>
      <c r="C291" s="16"/>
      <c r="D291" s="16"/>
      <c r="E291" s="16"/>
      <c r="F291" s="16"/>
      <c r="G291" s="632"/>
      <c r="H291" s="633"/>
      <c r="I291" s="634"/>
      <c r="J291" s="16"/>
      <c r="K291" s="16"/>
      <c r="L291" s="16"/>
      <c r="M291" s="16"/>
      <c r="N291" s="16"/>
      <c r="O291" s="16"/>
      <c r="P291" s="16"/>
      <c r="Q291" s="31"/>
      <c r="R291" s="31"/>
      <c r="S291" s="31"/>
      <c r="T291" s="31"/>
    </row>
    <row r="292" spans="1:20" ht="15" thickBot="1" x14ac:dyDescent="0.4">
      <c r="A292" s="16">
        <v>279</v>
      </c>
      <c r="B292" s="49"/>
      <c r="C292" s="16"/>
      <c r="D292" s="16"/>
      <c r="E292" s="16"/>
      <c r="F292" s="16"/>
      <c r="G292" s="632"/>
      <c r="H292" s="633"/>
      <c r="I292" s="634"/>
      <c r="J292" s="16"/>
      <c r="K292" s="16"/>
      <c r="L292" s="16"/>
      <c r="M292" s="16"/>
      <c r="N292" s="16"/>
      <c r="O292" s="16"/>
      <c r="P292" s="16"/>
      <c r="Q292" s="31"/>
      <c r="R292" s="31"/>
      <c r="S292" s="31"/>
      <c r="T292" s="31"/>
    </row>
    <row r="293" spans="1:20" ht="15" thickBot="1" x14ac:dyDescent="0.4">
      <c r="A293" s="16">
        <v>280</v>
      </c>
      <c r="B293" s="49"/>
      <c r="C293" s="16"/>
      <c r="D293" s="16"/>
      <c r="E293" s="16"/>
      <c r="F293" s="16"/>
      <c r="G293" s="632"/>
      <c r="H293" s="633"/>
      <c r="I293" s="634"/>
      <c r="J293" s="16"/>
      <c r="K293" s="16"/>
      <c r="L293" s="16"/>
      <c r="M293" s="16"/>
      <c r="N293" s="16"/>
      <c r="O293" s="16"/>
      <c r="P293" s="16"/>
      <c r="Q293" s="31"/>
      <c r="R293" s="31"/>
      <c r="S293" s="31"/>
      <c r="T293" s="31"/>
    </row>
    <row r="294" spans="1:20" ht="15" thickBot="1" x14ac:dyDescent="0.4">
      <c r="A294" s="16">
        <v>281</v>
      </c>
      <c r="B294" s="49"/>
      <c r="C294" s="16"/>
      <c r="D294" s="16"/>
      <c r="E294" s="16"/>
      <c r="F294" s="16"/>
      <c r="G294" s="632"/>
      <c r="H294" s="633"/>
      <c r="I294" s="634"/>
      <c r="J294" s="16"/>
      <c r="K294" s="16"/>
      <c r="L294" s="16"/>
      <c r="M294" s="16"/>
      <c r="N294" s="16"/>
      <c r="O294" s="16"/>
      <c r="P294" s="16"/>
      <c r="Q294" s="31"/>
      <c r="R294" s="31"/>
      <c r="S294" s="31"/>
      <c r="T294" s="31"/>
    </row>
    <row r="295" spans="1:20" ht="15" thickBot="1" x14ac:dyDescent="0.4">
      <c r="A295" s="16">
        <v>282</v>
      </c>
      <c r="B295" s="49"/>
      <c r="C295" s="16"/>
      <c r="D295" s="16"/>
      <c r="E295" s="16"/>
      <c r="F295" s="16"/>
      <c r="G295" s="632"/>
      <c r="H295" s="633"/>
      <c r="I295" s="634"/>
      <c r="J295" s="16"/>
      <c r="K295" s="16"/>
      <c r="L295" s="16"/>
      <c r="M295" s="16"/>
      <c r="N295" s="16"/>
      <c r="O295" s="16"/>
      <c r="P295" s="16"/>
      <c r="Q295" s="31"/>
      <c r="R295" s="31"/>
      <c r="S295" s="31"/>
      <c r="T295" s="31"/>
    </row>
    <row r="296" spans="1:20" ht="15" thickBot="1" x14ac:dyDescent="0.4">
      <c r="A296" s="16">
        <v>283</v>
      </c>
      <c r="B296" s="49"/>
      <c r="C296" s="16"/>
      <c r="D296" s="16"/>
      <c r="E296" s="16"/>
      <c r="F296" s="16"/>
      <c r="G296" s="632"/>
      <c r="H296" s="633"/>
      <c r="I296" s="634"/>
      <c r="J296" s="16"/>
      <c r="K296" s="16"/>
      <c r="L296" s="16"/>
      <c r="M296" s="16"/>
      <c r="N296" s="16"/>
      <c r="O296" s="16"/>
      <c r="P296" s="16"/>
      <c r="Q296" s="31"/>
      <c r="R296" s="31"/>
      <c r="S296" s="31"/>
      <c r="T296" s="31"/>
    </row>
    <row r="297" spans="1:20" ht="15" thickBot="1" x14ac:dyDescent="0.4">
      <c r="A297" s="16">
        <v>284</v>
      </c>
      <c r="B297" s="49"/>
      <c r="C297" s="16"/>
      <c r="D297" s="16"/>
      <c r="E297" s="16"/>
      <c r="F297" s="16"/>
      <c r="G297" s="632"/>
      <c r="H297" s="633"/>
      <c r="I297" s="634"/>
      <c r="J297" s="16"/>
      <c r="K297" s="16"/>
      <c r="L297" s="16"/>
      <c r="M297" s="16"/>
      <c r="N297" s="16"/>
      <c r="O297" s="16"/>
      <c r="P297" s="16"/>
      <c r="Q297" s="31"/>
      <c r="R297" s="31"/>
      <c r="S297" s="31"/>
      <c r="T297" s="31"/>
    </row>
    <row r="298" spans="1:20" ht="15" thickBot="1" x14ac:dyDescent="0.4">
      <c r="A298" s="16">
        <v>285</v>
      </c>
      <c r="B298" s="49"/>
      <c r="C298" s="16"/>
      <c r="D298" s="16"/>
      <c r="E298" s="16"/>
      <c r="F298" s="16"/>
      <c r="G298" s="632"/>
      <c r="H298" s="633"/>
      <c r="I298" s="634"/>
      <c r="J298" s="16"/>
      <c r="K298" s="16"/>
      <c r="L298" s="16"/>
      <c r="M298" s="16"/>
      <c r="N298" s="16"/>
      <c r="O298" s="16"/>
      <c r="P298" s="16"/>
      <c r="Q298" s="31"/>
      <c r="R298" s="31"/>
      <c r="S298" s="31"/>
      <c r="T298" s="31"/>
    </row>
    <row r="299" spans="1:20" ht="15" thickBot="1" x14ac:dyDescent="0.4">
      <c r="A299" s="16">
        <v>286</v>
      </c>
      <c r="B299" s="49"/>
      <c r="C299" s="16"/>
      <c r="D299" s="16"/>
      <c r="E299" s="16"/>
      <c r="F299" s="16"/>
      <c r="G299" s="632"/>
      <c r="H299" s="633"/>
      <c r="I299" s="634"/>
      <c r="J299" s="16"/>
      <c r="K299" s="16"/>
      <c r="L299" s="16"/>
      <c r="M299" s="16"/>
      <c r="N299" s="16"/>
      <c r="O299" s="16"/>
      <c r="P299" s="16"/>
      <c r="Q299" s="31"/>
      <c r="R299" s="31"/>
      <c r="S299" s="31"/>
      <c r="T299" s="31"/>
    </row>
    <row r="300" spans="1:20" ht="15" thickBot="1" x14ac:dyDescent="0.4">
      <c r="A300" s="16">
        <v>287</v>
      </c>
      <c r="B300" s="49"/>
      <c r="C300" s="16"/>
      <c r="D300" s="16"/>
      <c r="E300" s="16"/>
      <c r="F300" s="16"/>
      <c r="G300" s="632"/>
      <c r="H300" s="633"/>
      <c r="I300" s="634"/>
      <c r="J300" s="16"/>
      <c r="K300" s="16"/>
      <c r="L300" s="16"/>
      <c r="M300" s="16"/>
      <c r="N300" s="16"/>
      <c r="O300" s="16"/>
      <c r="P300" s="16"/>
      <c r="Q300" s="31"/>
      <c r="R300" s="31"/>
      <c r="S300" s="31"/>
      <c r="T300" s="31"/>
    </row>
    <row r="301" spans="1:20" ht="15" thickBot="1" x14ac:dyDescent="0.4">
      <c r="A301" s="16">
        <v>288</v>
      </c>
      <c r="B301" s="49"/>
      <c r="C301" s="16"/>
      <c r="D301" s="16"/>
      <c r="E301" s="16"/>
      <c r="F301" s="16"/>
      <c r="G301" s="632"/>
      <c r="H301" s="633"/>
      <c r="I301" s="634"/>
      <c r="J301" s="16"/>
      <c r="K301" s="16"/>
      <c r="L301" s="16"/>
      <c r="M301" s="16"/>
      <c r="N301" s="16"/>
      <c r="O301" s="16"/>
      <c r="P301" s="16"/>
      <c r="Q301" s="31"/>
      <c r="R301" s="31"/>
      <c r="S301" s="31"/>
      <c r="T301" s="31"/>
    </row>
    <row r="302" spans="1:20" ht="15" thickBot="1" x14ac:dyDescent="0.4">
      <c r="A302" s="16">
        <v>289</v>
      </c>
      <c r="B302" s="49"/>
      <c r="C302" s="16"/>
      <c r="D302" s="16"/>
      <c r="E302" s="16"/>
      <c r="F302" s="16"/>
      <c r="G302" s="632"/>
      <c r="H302" s="633"/>
      <c r="I302" s="634"/>
      <c r="J302" s="16"/>
      <c r="K302" s="16"/>
      <c r="L302" s="16"/>
      <c r="M302" s="16"/>
      <c r="N302" s="16"/>
      <c r="O302" s="16"/>
      <c r="P302" s="16"/>
      <c r="Q302" s="31"/>
      <c r="R302" s="31"/>
      <c r="S302" s="31"/>
      <c r="T302" s="31"/>
    </row>
    <row r="303" spans="1:20" ht="15" thickBot="1" x14ac:dyDescent="0.4">
      <c r="A303" s="16">
        <v>290</v>
      </c>
      <c r="B303" s="49"/>
      <c r="C303" s="16"/>
      <c r="D303" s="16"/>
      <c r="E303" s="16"/>
      <c r="F303" s="16"/>
      <c r="G303" s="632"/>
      <c r="H303" s="633"/>
      <c r="I303" s="634"/>
      <c r="J303" s="16"/>
      <c r="K303" s="16"/>
      <c r="L303" s="16"/>
      <c r="M303" s="16"/>
      <c r="N303" s="16"/>
      <c r="O303" s="16"/>
      <c r="P303" s="16"/>
      <c r="Q303" s="31"/>
      <c r="R303" s="31"/>
      <c r="S303" s="31"/>
      <c r="T303" s="31"/>
    </row>
    <row r="304" spans="1:20" ht="15" thickBot="1" x14ac:dyDescent="0.4">
      <c r="A304" s="16">
        <v>291</v>
      </c>
      <c r="B304" s="49"/>
      <c r="C304" s="16"/>
      <c r="D304" s="16"/>
      <c r="E304" s="16"/>
      <c r="F304" s="16"/>
      <c r="G304" s="632"/>
      <c r="H304" s="633"/>
      <c r="I304" s="634"/>
      <c r="J304" s="16"/>
      <c r="K304" s="16"/>
      <c r="L304" s="16"/>
      <c r="M304" s="16"/>
      <c r="N304" s="16"/>
      <c r="O304" s="16"/>
      <c r="P304" s="16"/>
      <c r="Q304" s="31"/>
      <c r="R304" s="31"/>
      <c r="S304" s="31"/>
      <c r="T304" s="31"/>
    </row>
    <row r="305" spans="1:20" ht="15" thickBot="1" x14ac:dyDescent="0.4">
      <c r="A305" s="16">
        <v>292</v>
      </c>
      <c r="B305" s="49"/>
      <c r="C305" s="16"/>
      <c r="D305" s="16"/>
      <c r="E305" s="16"/>
      <c r="F305" s="16"/>
      <c r="G305" s="632"/>
      <c r="H305" s="633"/>
      <c r="I305" s="634"/>
      <c r="J305" s="16"/>
      <c r="K305" s="16"/>
      <c r="L305" s="16"/>
      <c r="M305" s="16"/>
      <c r="N305" s="16"/>
      <c r="O305" s="16"/>
      <c r="P305" s="16"/>
      <c r="Q305" s="31"/>
      <c r="R305" s="31"/>
      <c r="S305" s="31"/>
      <c r="T305" s="31"/>
    </row>
    <row r="306" spans="1:20" ht="15" thickBot="1" x14ac:dyDescent="0.4">
      <c r="A306" s="16">
        <v>293</v>
      </c>
      <c r="B306" s="49"/>
      <c r="C306" s="16"/>
      <c r="D306" s="16"/>
      <c r="E306" s="16"/>
      <c r="F306" s="16"/>
      <c r="G306" s="632"/>
      <c r="H306" s="633"/>
      <c r="I306" s="634"/>
      <c r="J306" s="16"/>
      <c r="K306" s="16"/>
      <c r="L306" s="16"/>
      <c r="M306" s="16"/>
      <c r="N306" s="16"/>
      <c r="O306" s="16"/>
      <c r="P306" s="16"/>
      <c r="Q306" s="31"/>
      <c r="R306" s="31"/>
      <c r="S306" s="31"/>
      <c r="T306" s="31"/>
    </row>
    <row r="307" spans="1:20" ht="15" thickBot="1" x14ac:dyDescent="0.4">
      <c r="A307" s="16">
        <v>294</v>
      </c>
      <c r="B307" s="49"/>
      <c r="C307" s="16"/>
      <c r="D307" s="16"/>
      <c r="E307" s="16"/>
      <c r="F307" s="16"/>
      <c r="G307" s="632"/>
      <c r="H307" s="633"/>
      <c r="I307" s="634"/>
      <c r="J307" s="16"/>
      <c r="K307" s="16"/>
      <c r="L307" s="16"/>
      <c r="M307" s="16"/>
      <c r="N307" s="16"/>
      <c r="O307" s="16"/>
      <c r="P307" s="16"/>
      <c r="Q307" s="31"/>
      <c r="R307" s="31"/>
      <c r="S307" s="31"/>
      <c r="T307" s="31"/>
    </row>
    <row r="308" spans="1:20" ht="15" thickBot="1" x14ac:dyDescent="0.4">
      <c r="A308" s="16">
        <v>295</v>
      </c>
      <c r="B308" s="49"/>
      <c r="C308" s="16"/>
      <c r="D308" s="16"/>
      <c r="E308" s="16"/>
      <c r="F308" s="16"/>
      <c r="G308" s="632"/>
      <c r="H308" s="633"/>
      <c r="I308" s="634"/>
      <c r="J308" s="16"/>
      <c r="K308" s="16"/>
      <c r="L308" s="16"/>
      <c r="M308" s="16"/>
      <c r="N308" s="16"/>
      <c r="O308" s="16"/>
      <c r="P308" s="16"/>
      <c r="Q308" s="31"/>
      <c r="R308" s="31"/>
      <c r="S308" s="31"/>
      <c r="T308" s="31"/>
    </row>
    <row r="309" spans="1:20" ht="15" thickBot="1" x14ac:dyDescent="0.4">
      <c r="A309" s="16">
        <v>296</v>
      </c>
      <c r="B309" s="49"/>
      <c r="C309" s="16"/>
      <c r="D309" s="16"/>
      <c r="E309" s="16"/>
      <c r="F309" s="16"/>
      <c r="G309" s="632"/>
      <c r="H309" s="633"/>
      <c r="I309" s="634"/>
      <c r="J309" s="16"/>
      <c r="K309" s="16"/>
      <c r="L309" s="16"/>
      <c r="M309" s="16"/>
      <c r="N309" s="16"/>
      <c r="O309" s="16"/>
      <c r="P309" s="16"/>
      <c r="Q309" s="31"/>
      <c r="R309" s="31"/>
      <c r="S309" s="31"/>
      <c r="T309" s="31"/>
    </row>
    <row r="310" spans="1:20" ht="15" thickBot="1" x14ac:dyDescent="0.4">
      <c r="A310" s="16">
        <v>297</v>
      </c>
      <c r="B310" s="49"/>
      <c r="C310" s="16"/>
      <c r="D310" s="16"/>
      <c r="E310" s="16"/>
      <c r="F310" s="16"/>
      <c r="G310" s="632"/>
      <c r="H310" s="633"/>
      <c r="I310" s="634"/>
      <c r="J310" s="16"/>
      <c r="K310" s="16"/>
      <c r="L310" s="16"/>
      <c r="M310" s="16"/>
      <c r="N310" s="16"/>
      <c r="O310" s="16"/>
      <c r="P310" s="16"/>
      <c r="Q310" s="31"/>
      <c r="R310" s="31"/>
      <c r="S310" s="31"/>
      <c r="T310" s="31"/>
    </row>
    <row r="311" spans="1:20" ht="15" thickBot="1" x14ac:dyDescent="0.4">
      <c r="A311" s="16">
        <v>298</v>
      </c>
      <c r="B311" s="49"/>
      <c r="C311" s="16"/>
      <c r="D311" s="16"/>
      <c r="E311" s="16"/>
      <c r="F311" s="16"/>
      <c r="G311" s="632"/>
      <c r="H311" s="633"/>
      <c r="I311" s="634"/>
      <c r="J311" s="16"/>
      <c r="K311" s="16"/>
      <c r="L311" s="16"/>
      <c r="M311" s="16"/>
      <c r="N311" s="16"/>
      <c r="O311" s="16"/>
      <c r="P311" s="16"/>
      <c r="Q311" s="31"/>
      <c r="R311" s="31"/>
      <c r="S311" s="31"/>
      <c r="T311" s="31"/>
    </row>
    <row r="312" spans="1:20" ht="15" thickBot="1" x14ac:dyDescent="0.4">
      <c r="A312" s="16">
        <v>299</v>
      </c>
      <c r="B312" s="49"/>
      <c r="C312" s="16"/>
      <c r="D312" s="16"/>
      <c r="E312" s="16"/>
      <c r="F312" s="16"/>
      <c r="G312" s="632"/>
      <c r="H312" s="633"/>
      <c r="I312" s="634"/>
      <c r="J312" s="16"/>
      <c r="K312" s="16"/>
      <c r="L312" s="16"/>
      <c r="M312" s="16"/>
      <c r="N312" s="16"/>
      <c r="O312" s="16"/>
      <c r="P312" s="16"/>
      <c r="Q312" s="31"/>
      <c r="R312" s="31"/>
      <c r="S312" s="31"/>
      <c r="T312" s="31"/>
    </row>
    <row r="313" spans="1:20" ht="15" thickBot="1" x14ac:dyDescent="0.4">
      <c r="A313" s="16">
        <v>300</v>
      </c>
      <c r="B313" s="49"/>
      <c r="C313" s="16"/>
      <c r="D313" s="16"/>
      <c r="E313" s="16"/>
      <c r="F313" s="16"/>
      <c r="G313" s="632"/>
      <c r="H313" s="633"/>
      <c r="I313" s="634"/>
      <c r="J313" s="16"/>
      <c r="K313" s="16"/>
      <c r="L313" s="16"/>
      <c r="M313" s="16"/>
      <c r="N313" s="16"/>
      <c r="O313" s="16"/>
      <c r="P313" s="16"/>
      <c r="Q313" s="31"/>
      <c r="R313" s="31"/>
      <c r="S313" s="31"/>
      <c r="T313" s="31"/>
    </row>
    <row r="314" spans="1:20" ht="15" thickBot="1" x14ac:dyDescent="0.4">
      <c r="A314" s="16">
        <v>301</v>
      </c>
      <c r="B314" s="49"/>
      <c r="C314" s="16"/>
      <c r="D314" s="16"/>
      <c r="E314" s="16"/>
      <c r="F314" s="16"/>
      <c r="G314" s="632"/>
      <c r="H314" s="633"/>
      <c r="I314" s="634"/>
      <c r="J314" s="16"/>
      <c r="K314" s="16"/>
      <c r="L314" s="16"/>
      <c r="M314" s="16"/>
      <c r="N314" s="16"/>
      <c r="O314" s="16"/>
      <c r="P314" s="16"/>
      <c r="Q314" s="31"/>
      <c r="R314" s="31"/>
      <c r="S314" s="31"/>
      <c r="T314" s="31"/>
    </row>
    <row r="315" spans="1:20" ht="15" thickBot="1" x14ac:dyDescent="0.4">
      <c r="A315" s="16">
        <v>302</v>
      </c>
      <c r="B315" s="49"/>
      <c r="C315" s="16"/>
      <c r="D315" s="16"/>
      <c r="E315" s="16"/>
      <c r="F315" s="16"/>
      <c r="G315" s="632"/>
      <c r="H315" s="633"/>
      <c r="I315" s="634"/>
      <c r="J315" s="16"/>
      <c r="K315" s="16"/>
      <c r="L315" s="16"/>
      <c r="M315" s="16"/>
      <c r="N315" s="16"/>
      <c r="O315" s="16"/>
      <c r="P315" s="16"/>
      <c r="Q315" s="31"/>
      <c r="R315" s="31"/>
      <c r="S315" s="31"/>
      <c r="T315" s="31"/>
    </row>
    <row r="316" spans="1:20" ht="15" thickBot="1" x14ac:dyDescent="0.4">
      <c r="A316" s="16">
        <v>303</v>
      </c>
      <c r="B316" s="49"/>
      <c r="C316" s="16"/>
      <c r="D316" s="16"/>
      <c r="E316" s="16"/>
      <c r="F316" s="16"/>
      <c r="G316" s="632"/>
      <c r="H316" s="633"/>
      <c r="I316" s="634"/>
      <c r="J316" s="16"/>
      <c r="K316" s="16"/>
      <c r="L316" s="16"/>
      <c r="M316" s="16"/>
      <c r="N316" s="16"/>
      <c r="O316" s="16"/>
      <c r="P316" s="16"/>
      <c r="Q316" s="31"/>
      <c r="R316" s="31"/>
      <c r="S316" s="31"/>
      <c r="T316" s="31"/>
    </row>
    <row r="317" spans="1:20" ht="15" thickBot="1" x14ac:dyDescent="0.4">
      <c r="A317" s="16">
        <v>304</v>
      </c>
      <c r="B317" s="49"/>
      <c r="C317" s="16"/>
      <c r="D317" s="16"/>
      <c r="E317" s="16"/>
      <c r="F317" s="16"/>
      <c r="G317" s="632"/>
      <c r="H317" s="633"/>
      <c r="I317" s="634"/>
      <c r="J317" s="16"/>
      <c r="K317" s="16"/>
      <c r="L317" s="16"/>
      <c r="M317" s="16"/>
      <c r="N317" s="16"/>
      <c r="O317" s="16"/>
      <c r="P317" s="16"/>
      <c r="Q317" s="31"/>
      <c r="R317" s="31"/>
      <c r="S317" s="31"/>
      <c r="T317" s="31"/>
    </row>
    <row r="318" spans="1:20" ht="15" thickBot="1" x14ac:dyDescent="0.4">
      <c r="A318" s="16">
        <v>305</v>
      </c>
      <c r="B318" s="49"/>
      <c r="C318" s="16"/>
      <c r="D318" s="16"/>
      <c r="E318" s="16"/>
      <c r="F318" s="16"/>
      <c r="G318" s="632"/>
      <c r="H318" s="633"/>
      <c r="I318" s="634"/>
      <c r="J318" s="16"/>
      <c r="K318" s="16"/>
      <c r="L318" s="16"/>
      <c r="M318" s="16"/>
      <c r="N318" s="16"/>
      <c r="O318" s="16"/>
      <c r="P318" s="16"/>
      <c r="Q318" s="31"/>
      <c r="R318" s="31"/>
      <c r="S318" s="31"/>
      <c r="T318" s="31"/>
    </row>
    <row r="319" spans="1:20" ht="15" thickBot="1" x14ac:dyDescent="0.4">
      <c r="A319" s="16">
        <v>306</v>
      </c>
      <c r="B319" s="49"/>
      <c r="C319" s="16"/>
      <c r="D319" s="16"/>
      <c r="E319" s="16"/>
      <c r="F319" s="16"/>
      <c r="G319" s="632"/>
      <c r="H319" s="633"/>
      <c r="I319" s="634"/>
      <c r="J319" s="16"/>
      <c r="K319" s="16"/>
      <c r="L319" s="16"/>
      <c r="M319" s="16"/>
      <c r="N319" s="16"/>
      <c r="O319" s="16"/>
      <c r="P319" s="16"/>
      <c r="Q319" s="31"/>
      <c r="R319" s="31"/>
      <c r="S319" s="31"/>
      <c r="T319" s="31"/>
    </row>
    <row r="320" spans="1:20" ht="15" thickBot="1" x14ac:dyDescent="0.4">
      <c r="A320" s="16">
        <v>307</v>
      </c>
      <c r="B320" s="49"/>
      <c r="C320" s="16"/>
      <c r="D320" s="16"/>
      <c r="E320" s="16"/>
      <c r="F320" s="16"/>
      <c r="G320" s="632"/>
      <c r="H320" s="633"/>
      <c r="I320" s="634"/>
      <c r="J320" s="16"/>
      <c r="K320" s="16"/>
      <c r="L320" s="16"/>
      <c r="M320" s="16"/>
      <c r="N320" s="16"/>
      <c r="O320" s="16"/>
      <c r="P320" s="16"/>
      <c r="Q320" s="31"/>
      <c r="R320" s="31"/>
      <c r="S320" s="31"/>
      <c r="T320" s="31"/>
    </row>
    <row r="321" spans="1:20" ht="15" thickBot="1" x14ac:dyDescent="0.4">
      <c r="A321" s="16">
        <v>308</v>
      </c>
      <c r="B321" s="49"/>
      <c r="C321" s="16"/>
      <c r="D321" s="16"/>
      <c r="E321" s="16"/>
      <c r="F321" s="16"/>
      <c r="G321" s="632"/>
      <c r="H321" s="633"/>
      <c r="I321" s="634"/>
      <c r="J321" s="16"/>
      <c r="K321" s="16"/>
      <c r="L321" s="16"/>
      <c r="M321" s="16"/>
      <c r="N321" s="16"/>
      <c r="O321" s="16"/>
      <c r="P321" s="16"/>
      <c r="Q321" s="31"/>
      <c r="R321" s="31"/>
      <c r="S321" s="31"/>
      <c r="T321" s="31"/>
    </row>
    <row r="322" spans="1:20" ht="15" thickBot="1" x14ac:dyDescent="0.4">
      <c r="A322" s="16">
        <v>309</v>
      </c>
      <c r="B322" s="49"/>
      <c r="C322" s="16"/>
      <c r="D322" s="16"/>
      <c r="E322" s="16"/>
      <c r="F322" s="16"/>
      <c r="G322" s="632"/>
      <c r="H322" s="633"/>
      <c r="I322" s="634"/>
      <c r="J322" s="16"/>
      <c r="K322" s="16"/>
      <c r="L322" s="16"/>
      <c r="M322" s="16"/>
      <c r="N322" s="16"/>
      <c r="O322" s="16"/>
      <c r="P322" s="16"/>
      <c r="Q322" s="31"/>
      <c r="R322" s="31"/>
      <c r="S322" s="31"/>
      <c r="T322" s="31"/>
    </row>
    <row r="323" spans="1:20" ht="15" thickBot="1" x14ac:dyDescent="0.4">
      <c r="A323" s="16">
        <v>310</v>
      </c>
      <c r="B323" s="49"/>
      <c r="C323" s="16"/>
      <c r="D323" s="16"/>
      <c r="E323" s="16"/>
      <c r="F323" s="16"/>
      <c r="G323" s="632"/>
      <c r="H323" s="633"/>
      <c r="I323" s="634"/>
      <c r="J323" s="16"/>
      <c r="K323" s="16"/>
      <c r="L323" s="16"/>
      <c r="M323" s="16"/>
      <c r="N323" s="16"/>
      <c r="O323" s="16"/>
      <c r="P323" s="16"/>
      <c r="Q323" s="31"/>
      <c r="R323" s="31"/>
      <c r="S323" s="31"/>
      <c r="T323" s="31"/>
    </row>
    <row r="324" spans="1:20" ht="15" thickBot="1" x14ac:dyDescent="0.4">
      <c r="A324" s="16">
        <v>311</v>
      </c>
      <c r="B324" s="49"/>
      <c r="C324" s="16"/>
      <c r="D324" s="16"/>
      <c r="E324" s="16"/>
      <c r="F324" s="16"/>
      <c r="G324" s="632"/>
      <c r="H324" s="633"/>
      <c r="I324" s="634"/>
      <c r="J324" s="16"/>
      <c r="K324" s="16"/>
      <c r="L324" s="16"/>
      <c r="M324" s="16"/>
      <c r="N324" s="16"/>
      <c r="O324" s="16"/>
      <c r="P324" s="16"/>
      <c r="Q324" s="31"/>
      <c r="R324" s="31"/>
      <c r="S324" s="31"/>
      <c r="T324" s="31"/>
    </row>
    <row r="325" spans="1:20" ht="15" thickBot="1" x14ac:dyDescent="0.4">
      <c r="A325" s="16">
        <v>312</v>
      </c>
      <c r="B325" s="49"/>
      <c r="C325" s="16"/>
      <c r="D325" s="16"/>
      <c r="E325" s="16"/>
      <c r="F325" s="16"/>
      <c r="G325" s="632"/>
      <c r="H325" s="633"/>
      <c r="I325" s="634"/>
      <c r="J325" s="16"/>
      <c r="K325" s="16"/>
      <c r="L325" s="16"/>
      <c r="M325" s="16"/>
      <c r="N325" s="16"/>
      <c r="O325" s="16"/>
      <c r="P325" s="16"/>
      <c r="Q325" s="31"/>
      <c r="R325" s="31"/>
      <c r="S325" s="31"/>
      <c r="T325" s="31"/>
    </row>
    <row r="326" spans="1:20" ht="15" thickBot="1" x14ac:dyDescent="0.4">
      <c r="A326" s="16">
        <v>313</v>
      </c>
      <c r="B326" s="49"/>
      <c r="C326" s="16"/>
      <c r="D326" s="16"/>
      <c r="E326" s="16"/>
      <c r="F326" s="16"/>
      <c r="G326" s="632"/>
      <c r="H326" s="633"/>
      <c r="I326" s="634"/>
      <c r="J326" s="16"/>
      <c r="K326" s="16"/>
      <c r="L326" s="16"/>
      <c r="M326" s="16"/>
      <c r="N326" s="16"/>
      <c r="O326" s="16"/>
      <c r="P326" s="16"/>
      <c r="Q326" s="31"/>
      <c r="R326" s="31"/>
      <c r="S326" s="31"/>
      <c r="T326" s="31"/>
    </row>
    <row r="327" spans="1:20" ht="15" thickBot="1" x14ac:dyDescent="0.4">
      <c r="A327" s="16">
        <v>314</v>
      </c>
      <c r="B327" s="49"/>
      <c r="C327" s="16"/>
      <c r="D327" s="16"/>
      <c r="E327" s="16"/>
      <c r="F327" s="16"/>
      <c r="G327" s="632"/>
      <c r="H327" s="633"/>
      <c r="I327" s="634"/>
      <c r="J327" s="16"/>
      <c r="K327" s="16"/>
      <c r="L327" s="16"/>
      <c r="M327" s="16"/>
      <c r="N327" s="16"/>
      <c r="O327" s="16"/>
      <c r="P327" s="16"/>
      <c r="Q327" s="31"/>
      <c r="R327" s="31"/>
      <c r="S327" s="31"/>
      <c r="T327" s="31"/>
    </row>
    <row r="328" spans="1:20" ht="15" thickBot="1" x14ac:dyDescent="0.4">
      <c r="A328" s="16">
        <v>315</v>
      </c>
      <c r="B328" s="49"/>
      <c r="C328" s="16"/>
      <c r="D328" s="16"/>
      <c r="E328" s="16"/>
      <c r="F328" s="16"/>
      <c r="G328" s="632"/>
      <c r="H328" s="633"/>
      <c r="I328" s="634"/>
      <c r="J328" s="16"/>
      <c r="K328" s="16"/>
      <c r="L328" s="16"/>
      <c r="M328" s="16"/>
      <c r="N328" s="16"/>
      <c r="O328" s="16"/>
      <c r="P328" s="16"/>
      <c r="Q328" s="31"/>
      <c r="R328" s="31"/>
      <c r="S328" s="31"/>
      <c r="T328" s="31"/>
    </row>
    <row r="329" spans="1:20" ht="15" thickBot="1" x14ac:dyDescent="0.4">
      <c r="A329" s="16">
        <v>316</v>
      </c>
      <c r="B329" s="49"/>
      <c r="C329" s="16"/>
      <c r="D329" s="16"/>
      <c r="E329" s="16"/>
      <c r="F329" s="16"/>
      <c r="G329" s="632"/>
      <c r="H329" s="633"/>
      <c r="I329" s="634"/>
      <c r="J329" s="16"/>
      <c r="K329" s="16"/>
      <c r="L329" s="16"/>
      <c r="M329" s="16"/>
      <c r="N329" s="16"/>
      <c r="O329" s="16"/>
      <c r="P329" s="16"/>
      <c r="Q329" s="31"/>
      <c r="R329" s="31"/>
      <c r="S329" s="31"/>
      <c r="T329" s="31"/>
    </row>
    <row r="330" spans="1:20" ht="15" thickBot="1" x14ac:dyDescent="0.4">
      <c r="A330" s="16">
        <v>317</v>
      </c>
      <c r="B330" s="49"/>
      <c r="C330" s="16"/>
      <c r="D330" s="16"/>
      <c r="E330" s="16"/>
      <c r="F330" s="16"/>
      <c r="G330" s="632"/>
      <c r="H330" s="633"/>
      <c r="I330" s="634"/>
      <c r="J330" s="16"/>
      <c r="K330" s="16"/>
      <c r="L330" s="16"/>
      <c r="M330" s="16"/>
      <c r="N330" s="16"/>
      <c r="O330" s="16"/>
      <c r="P330" s="16"/>
      <c r="Q330" s="31"/>
      <c r="R330" s="31"/>
      <c r="S330" s="31"/>
      <c r="T330" s="31"/>
    </row>
    <row r="331" spans="1:20" ht="15" thickBot="1" x14ac:dyDescent="0.4">
      <c r="A331" s="16">
        <v>318</v>
      </c>
      <c r="B331" s="49"/>
      <c r="C331" s="16"/>
      <c r="D331" s="16"/>
      <c r="E331" s="16"/>
      <c r="F331" s="16"/>
      <c r="G331" s="632"/>
      <c r="H331" s="633"/>
      <c r="I331" s="634"/>
      <c r="J331" s="16"/>
      <c r="K331" s="16"/>
      <c r="L331" s="16"/>
      <c r="M331" s="16"/>
      <c r="N331" s="16"/>
      <c r="O331" s="16"/>
      <c r="P331" s="16"/>
      <c r="Q331" s="31"/>
      <c r="R331" s="31"/>
      <c r="S331" s="31"/>
      <c r="T331" s="31"/>
    </row>
    <row r="332" spans="1:20" ht="15" thickBot="1" x14ac:dyDescent="0.4">
      <c r="A332" s="16">
        <v>319</v>
      </c>
      <c r="B332" s="49"/>
      <c r="C332" s="16"/>
      <c r="D332" s="16"/>
      <c r="E332" s="16"/>
      <c r="F332" s="16"/>
      <c r="G332" s="632"/>
      <c r="H332" s="633"/>
      <c r="I332" s="634"/>
      <c r="J332" s="16"/>
      <c r="K332" s="16"/>
      <c r="L332" s="16"/>
      <c r="M332" s="16"/>
      <c r="N332" s="16"/>
      <c r="O332" s="16"/>
      <c r="P332" s="16"/>
      <c r="Q332" s="31"/>
      <c r="R332" s="31"/>
      <c r="S332" s="31"/>
      <c r="T332" s="31"/>
    </row>
    <row r="333" spans="1:20" ht="15" thickBot="1" x14ac:dyDescent="0.4">
      <c r="A333" s="16">
        <v>320</v>
      </c>
      <c r="B333" s="49"/>
      <c r="C333" s="16"/>
      <c r="D333" s="16"/>
      <c r="E333" s="16"/>
      <c r="F333" s="16"/>
      <c r="G333" s="632"/>
      <c r="H333" s="633"/>
      <c r="I333" s="634"/>
      <c r="J333" s="16"/>
      <c r="K333" s="16"/>
      <c r="L333" s="16"/>
      <c r="M333" s="16"/>
      <c r="N333" s="16"/>
      <c r="O333" s="16"/>
      <c r="P333" s="16"/>
      <c r="Q333" s="31"/>
      <c r="R333" s="31"/>
      <c r="S333" s="31"/>
      <c r="T333" s="31"/>
    </row>
    <row r="334" spans="1:20" ht="15" thickBot="1" x14ac:dyDescent="0.4">
      <c r="A334" s="16">
        <v>321</v>
      </c>
      <c r="B334" s="49"/>
      <c r="C334" s="16"/>
      <c r="D334" s="16"/>
      <c r="E334" s="16"/>
      <c r="F334" s="16"/>
      <c r="G334" s="632"/>
      <c r="H334" s="633"/>
      <c r="I334" s="634"/>
      <c r="J334" s="16"/>
      <c r="K334" s="16"/>
      <c r="L334" s="16"/>
      <c r="M334" s="16"/>
      <c r="N334" s="16"/>
      <c r="O334" s="16"/>
      <c r="P334" s="16"/>
      <c r="Q334" s="31"/>
      <c r="R334" s="31"/>
      <c r="S334" s="31"/>
      <c r="T334" s="31"/>
    </row>
    <row r="335" spans="1:20" ht="15" thickBot="1" x14ac:dyDescent="0.4">
      <c r="A335" s="16">
        <v>322</v>
      </c>
      <c r="B335" s="49"/>
      <c r="C335" s="16"/>
      <c r="D335" s="16"/>
      <c r="E335" s="16"/>
      <c r="F335" s="16"/>
      <c r="G335" s="632"/>
      <c r="H335" s="633"/>
      <c r="I335" s="634"/>
      <c r="J335" s="16"/>
      <c r="K335" s="16"/>
      <c r="L335" s="16"/>
      <c r="M335" s="16"/>
      <c r="N335" s="16"/>
      <c r="O335" s="16"/>
      <c r="P335" s="16"/>
      <c r="Q335" s="31"/>
      <c r="R335" s="31"/>
      <c r="S335" s="31"/>
      <c r="T335" s="31"/>
    </row>
    <row r="336" spans="1:20" ht="15" thickBot="1" x14ac:dyDescent="0.4">
      <c r="A336" s="16">
        <v>323</v>
      </c>
      <c r="B336" s="49"/>
      <c r="C336" s="16"/>
      <c r="D336" s="16"/>
      <c r="E336" s="16"/>
      <c r="F336" s="16"/>
      <c r="G336" s="632"/>
      <c r="H336" s="633"/>
      <c r="I336" s="634"/>
      <c r="J336" s="16"/>
      <c r="K336" s="16"/>
      <c r="L336" s="16"/>
      <c r="M336" s="16"/>
      <c r="N336" s="16"/>
      <c r="O336" s="16"/>
      <c r="P336" s="16"/>
      <c r="Q336" s="31"/>
      <c r="R336" s="31"/>
      <c r="S336" s="31"/>
      <c r="T336" s="31"/>
    </row>
    <row r="337" spans="1:20" ht="15" thickBot="1" x14ac:dyDescent="0.4">
      <c r="A337" s="16">
        <v>324</v>
      </c>
      <c r="B337" s="49"/>
      <c r="C337" s="16"/>
      <c r="D337" s="16"/>
      <c r="E337" s="16"/>
      <c r="F337" s="16"/>
      <c r="G337" s="632"/>
      <c r="H337" s="633"/>
      <c r="I337" s="634"/>
      <c r="J337" s="16"/>
      <c r="K337" s="16"/>
      <c r="L337" s="16"/>
      <c r="M337" s="16"/>
      <c r="N337" s="16"/>
      <c r="O337" s="16"/>
      <c r="P337" s="16"/>
      <c r="Q337" s="31"/>
      <c r="R337" s="31"/>
      <c r="S337" s="31"/>
      <c r="T337" s="31"/>
    </row>
    <row r="338" spans="1:20" ht="15" thickBot="1" x14ac:dyDescent="0.4">
      <c r="A338" s="16">
        <v>325</v>
      </c>
      <c r="B338" s="49"/>
      <c r="C338" s="16"/>
      <c r="D338" s="16"/>
      <c r="E338" s="16"/>
      <c r="F338" s="16"/>
      <c r="G338" s="632"/>
      <c r="H338" s="633"/>
      <c r="I338" s="634"/>
      <c r="J338" s="16"/>
      <c r="K338" s="16"/>
      <c r="L338" s="16"/>
      <c r="M338" s="16"/>
      <c r="N338" s="16"/>
      <c r="O338" s="16"/>
      <c r="P338" s="16"/>
      <c r="Q338" s="31"/>
      <c r="R338" s="31"/>
      <c r="S338" s="31"/>
      <c r="T338" s="31"/>
    </row>
    <row r="339" spans="1:20" ht="15" thickBot="1" x14ac:dyDescent="0.4">
      <c r="A339" s="16">
        <v>326</v>
      </c>
      <c r="B339" s="49"/>
      <c r="C339" s="16"/>
      <c r="D339" s="16"/>
      <c r="E339" s="16"/>
      <c r="F339" s="16"/>
      <c r="G339" s="632"/>
      <c r="H339" s="633"/>
      <c r="I339" s="634"/>
      <c r="J339" s="16"/>
      <c r="K339" s="16"/>
      <c r="L339" s="16"/>
      <c r="M339" s="16"/>
      <c r="N339" s="16"/>
      <c r="O339" s="16"/>
      <c r="P339" s="16"/>
      <c r="Q339" s="31"/>
      <c r="R339" s="31"/>
      <c r="S339" s="31"/>
      <c r="T339" s="31"/>
    </row>
    <row r="340" spans="1:20" ht="15" thickBot="1" x14ac:dyDescent="0.4">
      <c r="A340" s="16">
        <v>327</v>
      </c>
      <c r="B340" s="49"/>
      <c r="C340" s="16"/>
      <c r="D340" s="16"/>
      <c r="E340" s="16"/>
      <c r="F340" s="16"/>
      <c r="G340" s="632"/>
      <c r="H340" s="633"/>
      <c r="I340" s="634"/>
      <c r="J340" s="16"/>
      <c r="K340" s="16"/>
      <c r="L340" s="16"/>
      <c r="M340" s="16"/>
      <c r="N340" s="16"/>
      <c r="O340" s="16"/>
      <c r="P340" s="16"/>
      <c r="Q340" s="31"/>
      <c r="R340" s="31"/>
      <c r="S340" s="31"/>
      <c r="T340" s="31"/>
    </row>
    <row r="341" spans="1:20" ht="15" thickBot="1" x14ac:dyDescent="0.4">
      <c r="A341" s="16">
        <v>328</v>
      </c>
      <c r="B341" s="49"/>
      <c r="C341" s="16"/>
      <c r="D341" s="16"/>
      <c r="E341" s="16"/>
      <c r="F341" s="16"/>
      <c r="G341" s="632"/>
      <c r="H341" s="633"/>
      <c r="I341" s="634"/>
      <c r="J341" s="16"/>
      <c r="K341" s="16"/>
      <c r="L341" s="16"/>
      <c r="M341" s="16"/>
      <c r="N341" s="16"/>
      <c r="O341" s="16"/>
      <c r="P341" s="16"/>
      <c r="Q341" s="31"/>
      <c r="R341" s="31"/>
      <c r="S341" s="31"/>
      <c r="T341" s="31"/>
    </row>
    <row r="342" spans="1:20" ht="15" thickBot="1" x14ac:dyDescent="0.4">
      <c r="A342" s="16">
        <v>329</v>
      </c>
      <c r="B342" s="49"/>
      <c r="C342" s="16"/>
      <c r="D342" s="16"/>
      <c r="E342" s="16"/>
      <c r="F342" s="16"/>
      <c r="G342" s="632"/>
      <c r="H342" s="633"/>
      <c r="I342" s="634"/>
      <c r="J342" s="16"/>
      <c r="K342" s="16"/>
      <c r="L342" s="16"/>
      <c r="M342" s="16"/>
      <c r="N342" s="16"/>
      <c r="O342" s="16"/>
      <c r="P342" s="16"/>
      <c r="Q342" s="31"/>
      <c r="R342" s="31"/>
      <c r="S342" s="31"/>
      <c r="T342" s="31"/>
    </row>
    <row r="343" spans="1:20" ht="15" thickBot="1" x14ac:dyDescent="0.4">
      <c r="A343" s="16">
        <v>330</v>
      </c>
      <c r="B343" s="49"/>
      <c r="C343" s="16"/>
      <c r="D343" s="16"/>
      <c r="E343" s="16"/>
      <c r="F343" s="16"/>
      <c r="G343" s="632"/>
      <c r="H343" s="633"/>
      <c r="I343" s="634"/>
      <c r="J343" s="16"/>
      <c r="K343" s="16"/>
      <c r="L343" s="16"/>
      <c r="M343" s="16"/>
      <c r="N343" s="16"/>
      <c r="O343" s="16"/>
      <c r="P343" s="16"/>
      <c r="Q343" s="31"/>
      <c r="R343" s="31"/>
      <c r="S343" s="31"/>
      <c r="T343" s="31"/>
    </row>
    <row r="344" spans="1:20" ht="15" thickBot="1" x14ac:dyDescent="0.4">
      <c r="A344" s="16">
        <v>331</v>
      </c>
      <c r="B344" s="49"/>
      <c r="C344" s="16"/>
      <c r="D344" s="16"/>
      <c r="E344" s="16"/>
      <c r="F344" s="16"/>
      <c r="G344" s="632"/>
      <c r="H344" s="633"/>
      <c r="I344" s="634"/>
      <c r="J344" s="16"/>
      <c r="K344" s="16"/>
      <c r="L344" s="16"/>
      <c r="M344" s="16"/>
      <c r="N344" s="16"/>
      <c r="O344" s="16"/>
      <c r="P344" s="16"/>
      <c r="Q344" s="31"/>
      <c r="R344" s="31"/>
      <c r="S344" s="31"/>
      <c r="T344" s="31"/>
    </row>
    <row r="345" spans="1:20" ht="15" thickBot="1" x14ac:dyDescent="0.4">
      <c r="A345" s="16">
        <v>332</v>
      </c>
      <c r="B345" s="49"/>
      <c r="C345" s="16"/>
      <c r="D345" s="16"/>
      <c r="E345" s="16"/>
      <c r="F345" s="16"/>
      <c r="G345" s="632"/>
      <c r="H345" s="633"/>
      <c r="I345" s="634"/>
      <c r="J345" s="16"/>
      <c r="K345" s="16"/>
      <c r="L345" s="16"/>
      <c r="M345" s="16"/>
      <c r="N345" s="16"/>
      <c r="O345" s="16"/>
      <c r="P345" s="16"/>
      <c r="Q345" s="31"/>
      <c r="R345" s="31"/>
      <c r="S345" s="31"/>
      <c r="T345" s="31"/>
    </row>
    <row r="346" spans="1:20" ht="15" thickBot="1" x14ac:dyDescent="0.4">
      <c r="A346" s="16">
        <v>333</v>
      </c>
      <c r="B346" s="49"/>
      <c r="C346" s="16"/>
      <c r="D346" s="16"/>
      <c r="E346" s="16"/>
      <c r="F346" s="16"/>
      <c r="G346" s="632"/>
      <c r="H346" s="633"/>
      <c r="I346" s="634"/>
      <c r="J346" s="16"/>
      <c r="K346" s="16"/>
      <c r="L346" s="16"/>
      <c r="M346" s="16"/>
      <c r="N346" s="16"/>
      <c r="O346" s="16"/>
      <c r="P346" s="16"/>
      <c r="Q346" s="31"/>
      <c r="R346" s="31"/>
      <c r="S346" s="31"/>
      <c r="T346" s="31"/>
    </row>
    <row r="347" spans="1:20" ht="15" thickBot="1" x14ac:dyDescent="0.4">
      <c r="A347" s="16">
        <v>334</v>
      </c>
      <c r="B347" s="49"/>
      <c r="C347" s="16"/>
      <c r="D347" s="16"/>
      <c r="E347" s="16"/>
      <c r="F347" s="16"/>
      <c r="G347" s="632"/>
      <c r="H347" s="633"/>
      <c r="I347" s="634"/>
      <c r="J347" s="16"/>
      <c r="K347" s="16"/>
      <c r="L347" s="16"/>
      <c r="M347" s="16"/>
      <c r="N347" s="16"/>
      <c r="O347" s="16"/>
      <c r="P347" s="16"/>
      <c r="Q347" s="31"/>
      <c r="R347" s="31"/>
      <c r="S347" s="31"/>
      <c r="T347" s="31"/>
    </row>
    <row r="348" spans="1:20" ht="15" thickBot="1" x14ac:dyDescent="0.4">
      <c r="A348" s="16">
        <v>335</v>
      </c>
      <c r="B348" s="49"/>
      <c r="C348" s="16"/>
      <c r="D348" s="16"/>
      <c r="E348" s="16"/>
      <c r="F348" s="16"/>
      <c r="G348" s="632"/>
      <c r="H348" s="633"/>
      <c r="I348" s="634"/>
      <c r="J348" s="16"/>
      <c r="K348" s="16"/>
      <c r="L348" s="16"/>
      <c r="M348" s="16"/>
      <c r="N348" s="16"/>
      <c r="O348" s="16"/>
      <c r="P348" s="16"/>
      <c r="Q348" s="31"/>
      <c r="R348" s="31"/>
      <c r="S348" s="31"/>
      <c r="T348" s="31"/>
    </row>
    <row r="349" spans="1:20" ht="15" thickBot="1" x14ac:dyDescent="0.4">
      <c r="A349" s="16">
        <v>336</v>
      </c>
      <c r="B349" s="49"/>
      <c r="C349" s="16"/>
      <c r="D349" s="16"/>
      <c r="E349" s="16"/>
      <c r="F349" s="16"/>
      <c r="G349" s="632"/>
      <c r="H349" s="633"/>
      <c r="I349" s="634"/>
      <c r="J349" s="16"/>
      <c r="K349" s="16"/>
      <c r="L349" s="16"/>
      <c r="M349" s="16"/>
      <c r="N349" s="16"/>
      <c r="O349" s="16"/>
      <c r="P349" s="16"/>
      <c r="Q349" s="31"/>
      <c r="R349" s="31"/>
      <c r="S349" s="31"/>
      <c r="T349" s="31"/>
    </row>
    <row r="350" spans="1:20" ht="15" thickBot="1" x14ac:dyDescent="0.4">
      <c r="A350" s="16">
        <v>337</v>
      </c>
      <c r="B350" s="49"/>
      <c r="C350" s="16"/>
      <c r="D350" s="16"/>
      <c r="E350" s="16"/>
      <c r="F350" s="16"/>
      <c r="G350" s="632"/>
      <c r="H350" s="633"/>
      <c r="I350" s="634"/>
      <c r="J350" s="16"/>
      <c r="K350" s="16"/>
      <c r="L350" s="16"/>
      <c r="M350" s="16"/>
      <c r="N350" s="16"/>
      <c r="O350" s="16"/>
      <c r="P350" s="16"/>
      <c r="Q350" s="31"/>
      <c r="R350" s="31"/>
      <c r="S350" s="31"/>
      <c r="T350" s="31"/>
    </row>
    <row r="351" spans="1:20" ht="15" thickBot="1" x14ac:dyDescent="0.4">
      <c r="A351" s="16">
        <v>338</v>
      </c>
      <c r="B351" s="49"/>
      <c r="C351" s="16"/>
      <c r="D351" s="16"/>
      <c r="E351" s="16"/>
      <c r="F351" s="16"/>
      <c r="G351" s="632"/>
      <c r="H351" s="633"/>
      <c r="I351" s="634"/>
      <c r="J351" s="16"/>
      <c r="K351" s="16"/>
      <c r="L351" s="16"/>
      <c r="M351" s="16"/>
      <c r="N351" s="16"/>
      <c r="O351" s="16"/>
      <c r="P351" s="16"/>
      <c r="Q351" s="31"/>
      <c r="R351" s="31"/>
      <c r="S351" s="31"/>
      <c r="T351" s="31"/>
    </row>
    <row r="352" spans="1:20" ht="15" thickBot="1" x14ac:dyDescent="0.4">
      <c r="A352" s="16">
        <v>339</v>
      </c>
      <c r="B352" s="49"/>
      <c r="C352" s="16"/>
      <c r="D352" s="16"/>
      <c r="E352" s="16"/>
      <c r="F352" s="16"/>
      <c r="G352" s="632"/>
      <c r="H352" s="633"/>
      <c r="I352" s="634"/>
      <c r="J352" s="16"/>
      <c r="K352" s="16"/>
      <c r="L352" s="16"/>
      <c r="M352" s="16"/>
      <c r="N352" s="16"/>
      <c r="O352" s="16"/>
      <c r="P352" s="16"/>
      <c r="Q352" s="31"/>
      <c r="R352" s="31"/>
      <c r="S352" s="31"/>
      <c r="T352" s="31"/>
    </row>
    <row r="353" spans="1:20" ht="15" thickBot="1" x14ac:dyDescent="0.4">
      <c r="A353" s="16">
        <v>340</v>
      </c>
      <c r="B353" s="49"/>
      <c r="C353" s="16"/>
      <c r="D353" s="16"/>
      <c r="E353" s="16"/>
      <c r="F353" s="16"/>
      <c r="G353" s="632"/>
      <c r="H353" s="633"/>
      <c r="I353" s="634"/>
      <c r="J353" s="16"/>
      <c r="K353" s="16"/>
      <c r="L353" s="16"/>
      <c r="M353" s="16"/>
      <c r="N353" s="16"/>
      <c r="O353" s="16"/>
      <c r="P353" s="16"/>
      <c r="Q353" s="31"/>
      <c r="R353" s="31"/>
      <c r="S353" s="31"/>
      <c r="T353" s="31"/>
    </row>
    <row r="354" spans="1:20" ht="15" thickBot="1" x14ac:dyDescent="0.4">
      <c r="A354" s="16">
        <v>341</v>
      </c>
      <c r="B354" s="49"/>
      <c r="C354" s="16"/>
      <c r="D354" s="16"/>
      <c r="E354" s="16"/>
      <c r="F354" s="16"/>
      <c r="G354" s="632"/>
      <c r="H354" s="633"/>
      <c r="I354" s="634"/>
      <c r="J354" s="16"/>
      <c r="K354" s="16"/>
      <c r="L354" s="16"/>
      <c r="M354" s="16"/>
      <c r="N354" s="16"/>
      <c r="O354" s="16"/>
      <c r="P354" s="16"/>
      <c r="Q354" s="31"/>
      <c r="R354" s="31"/>
      <c r="S354" s="31"/>
      <c r="T354" s="31"/>
    </row>
    <row r="355" spans="1:20" ht="15" thickBot="1" x14ac:dyDescent="0.4">
      <c r="A355" s="16">
        <v>342</v>
      </c>
      <c r="B355" s="49"/>
      <c r="C355" s="16"/>
      <c r="D355" s="16"/>
      <c r="E355" s="16"/>
      <c r="F355" s="16"/>
      <c r="G355" s="632"/>
      <c r="H355" s="633"/>
      <c r="I355" s="634"/>
      <c r="J355" s="16"/>
      <c r="K355" s="16"/>
      <c r="L355" s="16"/>
      <c r="M355" s="16"/>
      <c r="N355" s="16"/>
      <c r="O355" s="16"/>
      <c r="P355" s="16"/>
      <c r="Q355" s="31"/>
      <c r="R355" s="31"/>
      <c r="S355" s="31"/>
      <c r="T355" s="31"/>
    </row>
    <row r="356" spans="1:20" ht="15" thickBot="1" x14ac:dyDescent="0.4">
      <c r="A356" s="16">
        <v>343</v>
      </c>
      <c r="B356" s="49"/>
      <c r="C356" s="16"/>
      <c r="D356" s="16"/>
      <c r="E356" s="16"/>
      <c r="F356" s="16"/>
      <c r="G356" s="632"/>
      <c r="H356" s="633"/>
      <c r="I356" s="634"/>
      <c r="J356" s="16"/>
      <c r="K356" s="16"/>
      <c r="L356" s="16"/>
      <c r="M356" s="16"/>
      <c r="N356" s="16"/>
      <c r="O356" s="16"/>
      <c r="P356" s="16"/>
      <c r="Q356" s="31"/>
      <c r="R356" s="31"/>
      <c r="S356" s="31"/>
      <c r="T356" s="31"/>
    </row>
    <row r="357" spans="1:20" ht="15" thickBot="1" x14ac:dyDescent="0.4">
      <c r="A357" s="16">
        <v>344</v>
      </c>
      <c r="B357" s="49"/>
      <c r="C357" s="16"/>
      <c r="D357" s="16"/>
      <c r="E357" s="16"/>
      <c r="F357" s="16"/>
      <c r="G357" s="632"/>
      <c r="H357" s="633"/>
      <c r="I357" s="634"/>
      <c r="J357" s="16"/>
      <c r="K357" s="16"/>
      <c r="L357" s="16"/>
      <c r="M357" s="16"/>
      <c r="N357" s="16"/>
      <c r="O357" s="16"/>
      <c r="P357" s="16"/>
      <c r="Q357" s="31"/>
      <c r="R357" s="31"/>
      <c r="S357" s="31"/>
      <c r="T357" s="31"/>
    </row>
    <row r="358" spans="1:20" ht="15" thickBot="1" x14ac:dyDescent="0.4">
      <c r="A358" s="16">
        <v>345</v>
      </c>
      <c r="B358" s="49"/>
      <c r="C358" s="16"/>
      <c r="D358" s="16"/>
      <c r="E358" s="16"/>
      <c r="F358" s="16"/>
      <c r="G358" s="632"/>
      <c r="H358" s="633"/>
      <c r="I358" s="634"/>
      <c r="J358" s="16"/>
      <c r="K358" s="16"/>
      <c r="L358" s="16"/>
      <c r="M358" s="16"/>
      <c r="N358" s="16"/>
      <c r="O358" s="16"/>
      <c r="P358" s="16"/>
      <c r="Q358" s="31"/>
      <c r="R358" s="31"/>
      <c r="S358" s="31"/>
      <c r="T358" s="31"/>
    </row>
    <row r="359" spans="1:20" ht="15" thickBot="1" x14ac:dyDescent="0.4">
      <c r="A359" s="16">
        <v>346</v>
      </c>
      <c r="B359" s="49"/>
      <c r="C359" s="16"/>
      <c r="D359" s="16"/>
      <c r="E359" s="16"/>
      <c r="F359" s="16"/>
      <c r="G359" s="632"/>
      <c r="H359" s="633"/>
      <c r="I359" s="634"/>
      <c r="J359" s="16"/>
      <c r="K359" s="16"/>
      <c r="L359" s="16"/>
      <c r="M359" s="16"/>
      <c r="N359" s="16"/>
      <c r="O359" s="16"/>
      <c r="P359" s="16"/>
      <c r="Q359" s="31"/>
      <c r="R359" s="31"/>
      <c r="S359" s="31"/>
      <c r="T359" s="31"/>
    </row>
    <row r="360" spans="1:20" ht="15" thickBot="1" x14ac:dyDescent="0.4">
      <c r="A360" s="16">
        <v>347</v>
      </c>
      <c r="B360" s="49"/>
      <c r="C360" s="16"/>
      <c r="D360" s="16"/>
      <c r="E360" s="16"/>
      <c r="F360" s="16"/>
      <c r="G360" s="632"/>
      <c r="H360" s="633"/>
      <c r="I360" s="634"/>
      <c r="J360" s="16"/>
      <c r="K360" s="16"/>
      <c r="L360" s="16"/>
      <c r="M360" s="16"/>
      <c r="N360" s="16"/>
      <c r="O360" s="16"/>
      <c r="P360" s="16"/>
      <c r="Q360" s="31"/>
      <c r="R360" s="31"/>
      <c r="S360" s="31"/>
      <c r="T360" s="31"/>
    </row>
    <row r="361" spans="1:20" ht="15" thickBot="1" x14ac:dyDescent="0.4">
      <c r="A361" s="16">
        <v>348</v>
      </c>
      <c r="B361" s="49"/>
      <c r="C361" s="16"/>
      <c r="D361" s="16"/>
      <c r="E361" s="16"/>
      <c r="F361" s="16"/>
      <c r="G361" s="632"/>
      <c r="H361" s="633"/>
      <c r="I361" s="634"/>
      <c r="J361" s="16"/>
      <c r="K361" s="16"/>
      <c r="L361" s="16"/>
      <c r="M361" s="16"/>
      <c r="N361" s="16"/>
      <c r="O361" s="16"/>
      <c r="P361" s="16"/>
      <c r="Q361" s="31"/>
      <c r="R361" s="31"/>
      <c r="S361" s="31"/>
      <c r="T361" s="31"/>
    </row>
    <row r="362" spans="1:20" ht="15" thickBot="1" x14ac:dyDescent="0.4">
      <c r="A362" s="16">
        <v>349</v>
      </c>
      <c r="B362" s="49"/>
      <c r="C362" s="16"/>
      <c r="D362" s="16"/>
      <c r="E362" s="16"/>
      <c r="F362" s="16"/>
      <c r="G362" s="632"/>
      <c r="H362" s="633"/>
      <c r="I362" s="634"/>
      <c r="J362" s="16"/>
      <c r="K362" s="16"/>
      <c r="L362" s="16"/>
      <c r="M362" s="16"/>
      <c r="N362" s="16"/>
      <c r="O362" s="16"/>
      <c r="P362" s="16"/>
      <c r="Q362" s="31"/>
      <c r="R362" s="31"/>
      <c r="S362" s="31"/>
      <c r="T362" s="31"/>
    </row>
    <row r="363" spans="1:20" ht="15" thickBot="1" x14ac:dyDescent="0.4">
      <c r="A363" s="16">
        <v>350</v>
      </c>
      <c r="B363" s="49"/>
      <c r="C363" s="16"/>
      <c r="D363" s="16"/>
      <c r="E363" s="16"/>
      <c r="F363" s="16"/>
      <c r="G363" s="632"/>
      <c r="H363" s="633"/>
      <c r="I363" s="634"/>
      <c r="J363" s="16"/>
      <c r="K363" s="16"/>
      <c r="L363" s="16"/>
      <c r="M363" s="16"/>
      <c r="N363" s="16"/>
      <c r="O363" s="16"/>
      <c r="P363" s="16"/>
      <c r="Q363" s="31"/>
      <c r="R363" s="31"/>
      <c r="S363" s="31"/>
      <c r="T363" s="31"/>
    </row>
    <row r="364" spans="1:20" ht="15" thickBot="1" x14ac:dyDescent="0.4">
      <c r="A364" s="16">
        <v>351</v>
      </c>
      <c r="B364" s="49"/>
      <c r="C364" s="16"/>
      <c r="D364" s="16"/>
      <c r="E364" s="16"/>
      <c r="F364" s="16"/>
      <c r="G364" s="632"/>
      <c r="H364" s="633"/>
      <c r="I364" s="634"/>
      <c r="J364" s="16"/>
      <c r="K364" s="16"/>
      <c r="L364" s="16"/>
      <c r="M364" s="16"/>
      <c r="N364" s="16"/>
      <c r="O364" s="16"/>
      <c r="P364" s="16"/>
      <c r="Q364" s="31"/>
      <c r="R364" s="31"/>
      <c r="S364" s="31"/>
      <c r="T364" s="31"/>
    </row>
    <row r="365" spans="1:20" ht="15" thickBot="1" x14ac:dyDescent="0.4">
      <c r="A365" s="16">
        <v>352</v>
      </c>
      <c r="B365" s="49"/>
      <c r="C365" s="16"/>
      <c r="D365" s="16"/>
      <c r="E365" s="16"/>
      <c r="F365" s="16"/>
      <c r="G365" s="632"/>
      <c r="H365" s="633"/>
      <c r="I365" s="634"/>
      <c r="J365" s="16"/>
      <c r="K365" s="16"/>
      <c r="L365" s="16"/>
      <c r="M365" s="16"/>
      <c r="N365" s="16"/>
      <c r="O365" s="16"/>
      <c r="P365" s="16"/>
      <c r="Q365" s="31"/>
      <c r="R365" s="31"/>
      <c r="S365" s="31"/>
      <c r="T365" s="31"/>
    </row>
    <row r="366" spans="1:20" ht="15" thickBot="1" x14ac:dyDescent="0.4">
      <c r="A366" s="16">
        <v>353</v>
      </c>
      <c r="B366" s="49"/>
      <c r="C366" s="16"/>
      <c r="D366" s="16"/>
      <c r="E366" s="16"/>
      <c r="F366" s="16"/>
      <c r="G366" s="632"/>
      <c r="H366" s="633"/>
      <c r="I366" s="634"/>
      <c r="J366" s="16"/>
      <c r="K366" s="16"/>
      <c r="L366" s="16"/>
      <c r="M366" s="16"/>
      <c r="N366" s="16"/>
      <c r="O366" s="16"/>
      <c r="P366" s="16"/>
      <c r="Q366" s="31"/>
      <c r="R366" s="31"/>
      <c r="S366" s="31"/>
      <c r="T366" s="31"/>
    </row>
    <row r="367" spans="1:20" ht="15" thickBot="1" x14ac:dyDescent="0.4">
      <c r="A367" s="16">
        <v>354</v>
      </c>
      <c r="B367" s="49"/>
      <c r="C367" s="16"/>
      <c r="D367" s="16"/>
      <c r="E367" s="16"/>
      <c r="F367" s="16"/>
      <c r="G367" s="632"/>
      <c r="H367" s="633"/>
      <c r="I367" s="634"/>
      <c r="J367" s="16"/>
      <c r="K367" s="16"/>
      <c r="L367" s="16"/>
      <c r="M367" s="16"/>
      <c r="N367" s="16"/>
      <c r="O367" s="16"/>
      <c r="P367" s="16"/>
      <c r="Q367" s="31"/>
      <c r="R367" s="31"/>
      <c r="S367" s="31"/>
      <c r="T367" s="31"/>
    </row>
    <row r="368" spans="1:20" ht="15" thickBot="1" x14ac:dyDescent="0.4">
      <c r="A368" s="16">
        <v>355</v>
      </c>
      <c r="B368" s="49"/>
      <c r="C368" s="16"/>
      <c r="D368" s="16"/>
      <c r="E368" s="16"/>
      <c r="F368" s="16"/>
      <c r="G368" s="632"/>
      <c r="H368" s="633"/>
      <c r="I368" s="634"/>
      <c r="J368" s="16"/>
      <c r="K368" s="16"/>
      <c r="L368" s="16"/>
      <c r="M368" s="16"/>
      <c r="N368" s="16"/>
      <c r="O368" s="16"/>
      <c r="P368" s="16"/>
      <c r="Q368" s="31"/>
      <c r="R368" s="31"/>
      <c r="S368" s="31"/>
      <c r="T368" s="31"/>
    </row>
    <row r="369" spans="1:20" ht="15" thickBot="1" x14ac:dyDescent="0.4">
      <c r="A369" s="16">
        <v>356</v>
      </c>
      <c r="B369" s="49"/>
      <c r="C369" s="16"/>
      <c r="D369" s="16"/>
      <c r="E369" s="16"/>
      <c r="F369" s="16"/>
      <c r="G369" s="632"/>
      <c r="H369" s="633"/>
      <c r="I369" s="634"/>
      <c r="J369" s="16"/>
      <c r="K369" s="16"/>
      <c r="L369" s="16"/>
      <c r="M369" s="16"/>
      <c r="N369" s="16"/>
      <c r="O369" s="16"/>
      <c r="P369" s="16"/>
      <c r="Q369" s="31"/>
      <c r="R369" s="31"/>
      <c r="S369" s="31"/>
      <c r="T369" s="31"/>
    </row>
    <row r="370" spans="1:20" ht="15" thickBot="1" x14ac:dyDescent="0.4">
      <c r="A370" s="16">
        <v>357</v>
      </c>
      <c r="B370" s="49"/>
      <c r="C370" s="16"/>
      <c r="D370" s="16"/>
      <c r="E370" s="16"/>
      <c r="F370" s="16"/>
      <c r="G370" s="632"/>
      <c r="H370" s="633"/>
      <c r="I370" s="634"/>
      <c r="J370" s="16"/>
      <c r="K370" s="16"/>
      <c r="L370" s="16"/>
      <c r="M370" s="16"/>
      <c r="N370" s="16"/>
      <c r="O370" s="16"/>
      <c r="P370" s="16"/>
      <c r="Q370" s="31"/>
      <c r="R370" s="31"/>
      <c r="S370" s="31"/>
      <c r="T370" s="31"/>
    </row>
    <row r="371" spans="1:20" ht="15" thickBot="1" x14ac:dyDescent="0.4">
      <c r="A371" s="16">
        <v>358</v>
      </c>
      <c r="B371" s="49"/>
      <c r="C371" s="16"/>
      <c r="D371" s="16"/>
      <c r="E371" s="16"/>
      <c r="F371" s="16"/>
      <c r="G371" s="632"/>
      <c r="H371" s="633"/>
      <c r="I371" s="634"/>
      <c r="J371" s="16"/>
      <c r="K371" s="16"/>
      <c r="L371" s="16"/>
      <c r="M371" s="16"/>
      <c r="N371" s="16"/>
      <c r="O371" s="16"/>
      <c r="P371" s="16"/>
      <c r="Q371" s="31"/>
      <c r="R371" s="31"/>
      <c r="S371" s="31"/>
      <c r="T371" s="31"/>
    </row>
    <row r="372" spans="1:20" ht="15" thickBot="1" x14ac:dyDescent="0.4">
      <c r="A372" s="16">
        <v>359</v>
      </c>
      <c r="B372" s="49"/>
      <c r="C372" s="16"/>
      <c r="D372" s="16"/>
      <c r="E372" s="16"/>
      <c r="F372" s="16"/>
      <c r="G372" s="632"/>
      <c r="H372" s="633"/>
      <c r="I372" s="634"/>
      <c r="J372" s="16"/>
      <c r="K372" s="16"/>
      <c r="L372" s="16"/>
      <c r="M372" s="16"/>
      <c r="N372" s="16"/>
      <c r="O372" s="16"/>
      <c r="P372" s="16"/>
      <c r="Q372" s="31"/>
      <c r="R372" s="31"/>
      <c r="S372" s="31"/>
      <c r="T372" s="31"/>
    </row>
    <row r="373" spans="1:20" ht="15" thickBot="1" x14ac:dyDescent="0.4">
      <c r="A373" s="16">
        <v>360</v>
      </c>
      <c r="B373" s="49"/>
      <c r="C373" s="16"/>
      <c r="D373" s="16"/>
      <c r="E373" s="16"/>
      <c r="F373" s="16"/>
      <c r="G373" s="632"/>
      <c r="H373" s="633"/>
      <c r="I373" s="634"/>
      <c r="J373" s="16"/>
      <c r="K373" s="16"/>
      <c r="L373" s="16"/>
      <c r="M373" s="16"/>
      <c r="N373" s="16"/>
      <c r="O373" s="16"/>
      <c r="P373" s="16"/>
      <c r="Q373" s="31"/>
      <c r="R373" s="31"/>
      <c r="S373" s="31"/>
      <c r="T373" s="31"/>
    </row>
    <row r="374" spans="1:20" ht="15" thickBot="1" x14ac:dyDescent="0.4">
      <c r="A374" s="16">
        <v>361</v>
      </c>
      <c r="B374" s="49"/>
      <c r="C374" s="16"/>
      <c r="D374" s="16"/>
      <c r="E374" s="16"/>
      <c r="F374" s="16"/>
      <c r="G374" s="632"/>
      <c r="H374" s="633"/>
      <c r="I374" s="634"/>
      <c r="J374" s="16"/>
      <c r="K374" s="16"/>
      <c r="L374" s="16"/>
      <c r="M374" s="16"/>
      <c r="N374" s="16"/>
      <c r="O374" s="16"/>
      <c r="P374" s="16"/>
      <c r="Q374" s="31"/>
      <c r="R374" s="31"/>
      <c r="S374" s="31"/>
      <c r="T374" s="31"/>
    </row>
    <row r="375" spans="1:20" ht="15" thickBot="1" x14ac:dyDescent="0.4">
      <c r="A375" s="16">
        <v>362</v>
      </c>
      <c r="B375" s="49"/>
      <c r="C375" s="16"/>
      <c r="D375" s="16"/>
      <c r="E375" s="16"/>
      <c r="F375" s="16"/>
      <c r="G375" s="632"/>
      <c r="H375" s="633"/>
      <c r="I375" s="634"/>
      <c r="J375" s="16"/>
      <c r="K375" s="16"/>
      <c r="L375" s="16"/>
      <c r="M375" s="16"/>
      <c r="N375" s="16"/>
      <c r="O375" s="16"/>
      <c r="P375" s="16"/>
      <c r="Q375" s="31"/>
      <c r="R375" s="31"/>
      <c r="S375" s="31"/>
      <c r="T375" s="31"/>
    </row>
    <row r="376" spans="1:20" ht="15" thickBot="1" x14ac:dyDescent="0.4">
      <c r="A376" s="16">
        <v>363</v>
      </c>
      <c r="B376" s="49"/>
      <c r="C376" s="16"/>
      <c r="D376" s="16"/>
      <c r="E376" s="16"/>
      <c r="F376" s="16"/>
      <c r="G376" s="632"/>
      <c r="H376" s="633"/>
      <c r="I376" s="634"/>
      <c r="J376" s="16"/>
      <c r="K376" s="16"/>
      <c r="L376" s="16"/>
      <c r="M376" s="16"/>
      <c r="N376" s="16"/>
      <c r="O376" s="16"/>
      <c r="P376" s="16"/>
      <c r="Q376" s="31"/>
      <c r="R376" s="31"/>
      <c r="S376" s="31"/>
      <c r="T376" s="31"/>
    </row>
    <row r="377" spans="1:20" ht="15" thickBot="1" x14ac:dyDescent="0.4">
      <c r="A377" s="16">
        <v>364</v>
      </c>
      <c r="B377" s="49"/>
      <c r="C377" s="16"/>
      <c r="D377" s="16"/>
      <c r="E377" s="16"/>
      <c r="F377" s="16"/>
      <c r="G377" s="632"/>
      <c r="H377" s="633"/>
      <c r="I377" s="634"/>
      <c r="J377" s="16"/>
      <c r="K377" s="16"/>
      <c r="L377" s="16"/>
      <c r="M377" s="16"/>
      <c r="N377" s="16"/>
      <c r="O377" s="16"/>
      <c r="P377" s="16"/>
      <c r="Q377" s="31"/>
      <c r="R377" s="31"/>
      <c r="S377" s="31"/>
      <c r="T377" s="31"/>
    </row>
    <row r="378" spans="1:20" ht="15" thickBot="1" x14ac:dyDescent="0.4">
      <c r="A378" s="16">
        <v>365</v>
      </c>
      <c r="B378" s="49"/>
      <c r="C378" s="16"/>
      <c r="D378" s="16"/>
      <c r="E378" s="16"/>
      <c r="F378" s="16"/>
      <c r="G378" s="632"/>
      <c r="H378" s="633"/>
      <c r="I378" s="634"/>
      <c r="J378" s="16"/>
      <c r="K378" s="16"/>
      <c r="L378" s="16"/>
      <c r="M378" s="16"/>
      <c r="N378" s="16"/>
      <c r="O378" s="16"/>
      <c r="P378" s="16"/>
      <c r="Q378" s="31"/>
      <c r="R378" s="31"/>
      <c r="S378" s="31"/>
      <c r="T378" s="31"/>
    </row>
    <row r="379" spans="1:20" ht="15" thickBot="1" x14ac:dyDescent="0.4">
      <c r="A379" s="16">
        <v>366</v>
      </c>
      <c r="B379" s="49"/>
      <c r="C379" s="16"/>
      <c r="D379" s="16"/>
      <c r="E379" s="16"/>
      <c r="F379" s="16"/>
      <c r="G379" s="632"/>
      <c r="H379" s="633"/>
      <c r="I379" s="634"/>
      <c r="J379" s="16"/>
      <c r="K379" s="16"/>
      <c r="L379" s="16"/>
      <c r="M379" s="16"/>
      <c r="N379" s="16"/>
      <c r="O379" s="16"/>
      <c r="P379" s="16"/>
      <c r="Q379" s="31"/>
      <c r="R379" s="31"/>
      <c r="S379" s="31"/>
      <c r="T379" s="31"/>
    </row>
    <row r="380" spans="1:20" ht="15" thickBot="1" x14ac:dyDescent="0.4">
      <c r="A380" s="16">
        <v>367</v>
      </c>
      <c r="B380" s="49"/>
      <c r="C380" s="16"/>
      <c r="D380" s="16"/>
      <c r="E380" s="16"/>
      <c r="F380" s="16"/>
      <c r="G380" s="632"/>
      <c r="H380" s="633"/>
      <c r="I380" s="634"/>
      <c r="J380" s="16"/>
      <c r="K380" s="16"/>
      <c r="L380" s="16"/>
      <c r="M380" s="16"/>
      <c r="N380" s="16"/>
      <c r="O380" s="16"/>
      <c r="P380" s="16"/>
      <c r="Q380" s="31"/>
      <c r="R380" s="31"/>
      <c r="S380" s="31"/>
      <c r="T380" s="31"/>
    </row>
    <row r="381" spans="1:20" ht="15" thickBot="1" x14ac:dyDescent="0.4">
      <c r="A381" s="16">
        <v>368</v>
      </c>
      <c r="B381" s="49"/>
      <c r="C381" s="16"/>
      <c r="D381" s="16"/>
      <c r="E381" s="16"/>
      <c r="F381" s="16"/>
      <c r="G381" s="632"/>
      <c r="H381" s="633"/>
      <c r="I381" s="634"/>
      <c r="J381" s="16"/>
      <c r="K381" s="16"/>
      <c r="L381" s="16"/>
      <c r="M381" s="16"/>
      <c r="N381" s="16"/>
      <c r="O381" s="16"/>
      <c r="P381" s="16"/>
      <c r="Q381" s="31"/>
      <c r="R381" s="31"/>
      <c r="S381" s="31"/>
      <c r="T381" s="31"/>
    </row>
    <row r="382" spans="1:20" ht="15" thickBot="1" x14ac:dyDescent="0.4">
      <c r="A382" s="16">
        <v>369</v>
      </c>
      <c r="B382" s="49"/>
      <c r="C382" s="16"/>
      <c r="D382" s="16"/>
      <c r="E382" s="16"/>
      <c r="F382" s="16"/>
      <c r="G382" s="632"/>
      <c r="H382" s="633"/>
      <c r="I382" s="634"/>
      <c r="J382" s="16"/>
      <c r="K382" s="16"/>
      <c r="L382" s="16"/>
      <c r="M382" s="16"/>
      <c r="N382" s="16"/>
      <c r="O382" s="16"/>
      <c r="P382" s="16"/>
      <c r="Q382" s="31"/>
      <c r="R382" s="31"/>
      <c r="S382" s="31"/>
      <c r="T382" s="31"/>
    </row>
    <row r="383" spans="1:20" ht="15" thickBot="1" x14ac:dyDescent="0.4">
      <c r="A383" s="16">
        <v>370</v>
      </c>
      <c r="B383" s="49"/>
      <c r="C383" s="16"/>
      <c r="D383" s="16"/>
      <c r="E383" s="16"/>
      <c r="F383" s="16"/>
      <c r="G383" s="632"/>
      <c r="H383" s="633"/>
      <c r="I383" s="634"/>
      <c r="J383" s="16"/>
      <c r="K383" s="16"/>
      <c r="L383" s="16"/>
      <c r="M383" s="16"/>
      <c r="N383" s="16"/>
      <c r="O383" s="16"/>
      <c r="P383" s="16"/>
      <c r="Q383" s="31"/>
      <c r="R383" s="31"/>
      <c r="S383" s="31"/>
      <c r="T383" s="31"/>
    </row>
    <row r="384" spans="1:20" ht="15" thickBot="1" x14ac:dyDescent="0.4">
      <c r="A384" s="16">
        <v>371</v>
      </c>
      <c r="B384" s="49"/>
      <c r="C384" s="16"/>
      <c r="D384" s="16"/>
      <c r="E384" s="16"/>
      <c r="F384" s="16"/>
      <c r="G384" s="632"/>
      <c r="H384" s="633"/>
      <c r="I384" s="634"/>
      <c r="J384" s="16"/>
      <c r="K384" s="16"/>
      <c r="L384" s="16"/>
      <c r="M384" s="16"/>
      <c r="N384" s="16"/>
      <c r="O384" s="16"/>
      <c r="P384" s="16"/>
      <c r="Q384" s="31"/>
      <c r="R384" s="31"/>
      <c r="S384" s="31"/>
      <c r="T384" s="31"/>
    </row>
    <row r="385" spans="1:20" ht="15" thickBot="1" x14ac:dyDescent="0.4">
      <c r="A385" s="16">
        <v>372</v>
      </c>
      <c r="B385" s="49"/>
      <c r="C385" s="16"/>
      <c r="D385" s="16"/>
      <c r="E385" s="16"/>
      <c r="F385" s="16"/>
      <c r="G385" s="632"/>
      <c r="H385" s="633"/>
      <c r="I385" s="634"/>
      <c r="J385" s="16"/>
      <c r="K385" s="16"/>
      <c r="L385" s="16"/>
      <c r="M385" s="16"/>
      <c r="N385" s="16"/>
      <c r="O385" s="16"/>
      <c r="P385" s="16"/>
      <c r="Q385" s="31"/>
      <c r="R385" s="31"/>
      <c r="S385" s="31"/>
      <c r="T385" s="31"/>
    </row>
    <row r="386" spans="1:20" ht="15" thickBot="1" x14ac:dyDescent="0.4">
      <c r="A386" s="16">
        <v>373</v>
      </c>
      <c r="B386" s="49"/>
      <c r="C386" s="16"/>
      <c r="D386" s="16"/>
      <c r="E386" s="16"/>
      <c r="F386" s="16"/>
      <c r="G386" s="632"/>
      <c r="H386" s="633"/>
      <c r="I386" s="634"/>
      <c r="J386" s="16"/>
      <c r="K386" s="16"/>
      <c r="L386" s="16"/>
      <c r="M386" s="16"/>
      <c r="N386" s="16"/>
      <c r="O386" s="16"/>
      <c r="P386" s="16"/>
      <c r="Q386" s="31"/>
      <c r="R386" s="31"/>
      <c r="S386" s="31"/>
      <c r="T386" s="31"/>
    </row>
    <row r="387" spans="1:20" ht="15" thickBot="1" x14ac:dyDescent="0.4">
      <c r="A387" s="16">
        <v>374</v>
      </c>
      <c r="B387" s="49"/>
      <c r="C387" s="16"/>
      <c r="D387" s="16"/>
      <c r="E387" s="16"/>
      <c r="F387" s="16"/>
      <c r="G387" s="632"/>
      <c r="H387" s="633"/>
      <c r="I387" s="634"/>
      <c r="J387" s="16"/>
      <c r="K387" s="16"/>
      <c r="L387" s="16"/>
      <c r="M387" s="16"/>
      <c r="N387" s="16"/>
      <c r="O387" s="16"/>
      <c r="P387" s="16"/>
      <c r="Q387" s="31"/>
      <c r="R387" s="31"/>
      <c r="S387" s="31"/>
      <c r="T387" s="31"/>
    </row>
    <row r="388" spans="1:20" ht="15" thickBot="1" x14ac:dyDescent="0.4">
      <c r="A388" s="16">
        <v>375</v>
      </c>
      <c r="B388" s="49"/>
      <c r="C388" s="16"/>
      <c r="D388" s="16"/>
      <c r="E388" s="16"/>
      <c r="F388" s="16"/>
      <c r="G388" s="632"/>
      <c r="H388" s="633"/>
      <c r="I388" s="634"/>
      <c r="J388" s="16"/>
      <c r="K388" s="16"/>
      <c r="L388" s="16"/>
      <c r="M388" s="16"/>
      <c r="N388" s="16"/>
      <c r="O388" s="16"/>
      <c r="P388" s="16"/>
      <c r="Q388" s="31"/>
      <c r="R388" s="31"/>
      <c r="S388" s="31"/>
      <c r="T388" s="31"/>
    </row>
    <row r="389" spans="1:20" ht="15" thickBot="1" x14ac:dyDescent="0.4">
      <c r="A389" s="16">
        <v>376</v>
      </c>
      <c r="B389" s="49"/>
      <c r="C389" s="16"/>
      <c r="D389" s="16"/>
      <c r="E389" s="16"/>
      <c r="F389" s="16"/>
      <c r="G389" s="632"/>
      <c r="H389" s="633"/>
      <c r="I389" s="634"/>
      <c r="J389" s="16"/>
      <c r="K389" s="16"/>
      <c r="L389" s="16"/>
      <c r="M389" s="16"/>
      <c r="N389" s="16"/>
      <c r="O389" s="16"/>
      <c r="P389" s="16"/>
      <c r="Q389" s="31"/>
      <c r="R389" s="31"/>
      <c r="S389" s="31"/>
      <c r="T389" s="31"/>
    </row>
    <row r="390" spans="1:20" ht="15" thickBot="1" x14ac:dyDescent="0.4">
      <c r="A390" s="16">
        <v>377</v>
      </c>
      <c r="B390" s="49"/>
      <c r="C390" s="16"/>
      <c r="D390" s="16"/>
      <c r="E390" s="16"/>
      <c r="F390" s="16"/>
      <c r="G390" s="632"/>
      <c r="H390" s="633"/>
      <c r="I390" s="634"/>
      <c r="J390" s="16"/>
      <c r="K390" s="16"/>
      <c r="L390" s="16"/>
      <c r="M390" s="16"/>
      <c r="N390" s="16"/>
      <c r="O390" s="16"/>
      <c r="P390" s="16"/>
      <c r="Q390" s="31"/>
      <c r="R390" s="31"/>
      <c r="S390" s="31"/>
      <c r="T390" s="31"/>
    </row>
    <row r="391" spans="1:20" ht="15" thickBot="1" x14ac:dyDescent="0.4">
      <c r="A391" s="16">
        <v>378</v>
      </c>
      <c r="B391" s="49"/>
      <c r="C391" s="16"/>
      <c r="D391" s="16"/>
      <c r="E391" s="16"/>
      <c r="F391" s="16"/>
      <c r="G391" s="632"/>
      <c r="H391" s="633"/>
      <c r="I391" s="634"/>
      <c r="J391" s="16"/>
      <c r="K391" s="16"/>
      <c r="L391" s="16"/>
      <c r="M391" s="16"/>
      <c r="N391" s="16"/>
      <c r="O391" s="16"/>
      <c r="P391" s="16"/>
      <c r="Q391" s="31"/>
      <c r="R391" s="31"/>
      <c r="S391" s="31"/>
      <c r="T391" s="31"/>
    </row>
    <row r="392" spans="1:20" ht="15" thickBot="1" x14ac:dyDescent="0.4">
      <c r="A392" s="16">
        <v>379</v>
      </c>
      <c r="B392" s="49"/>
      <c r="C392" s="16"/>
      <c r="D392" s="16"/>
      <c r="E392" s="16"/>
      <c r="F392" s="16"/>
      <c r="G392" s="632"/>
      <c r="H392" s="633"/>
      <c r="I392" s="634"/>
      <c r="J392" s="16"/>
      <c r="K392" s="16"/>
      <c r="L392" s="16"/>
      <c r="M392" s="16"/>
      <c r="N392" s="16"/>
      <c r="O392" s="16"/>
      <c r="P392" s="16"/>
      <c r="Q392" s="31"/>
      <c r="R392" s="31"/>
      <c r="S392" s="31"/>
      <c r="T392" s="31"/>
    </row>
    <row r="393" spans="1:20" ht="15" thickBot="1" x14ac:dyDescent="0.4">
      <c r="A393" s="16">
        <v>380</v>
      </c>
      <c r="B393" s="49"/>
      <c r="C393" s="16"/>
      <c r="D393" s="16"/>
      <c r="E393" s="16"/>
      <c r="F393" s="16"/>
      <c r="G393" s="632"/>
      <c r="H393" s="633"/>
      <c r="I393" s="634"/>
      <c r="J393" s="16"/>
      <c r="K393" s="16"/>
      <c r="L393" s="16"/>
      <c r="M393" s="16"/>
      <c r="N393" s="16"/>
      <c r="O393" s="16"/>
      <c r="P393" s="16"/>
      <c r="Q393" s="31"/>
      <c r="R393" s="31"/>
      <c r="S393" s="31"/>
      <c r="T393" s="31"/>
    </row>
    <row r="394" spans="1:20" ht="15" thickBot="1" x14ac:dyDescent="0.4">
      <c r="A394" s="16">
        <v>381</v>
      </c>
      <c r="B394" s="49"/>
      <c r="C394" s="16"/>
      <c r="D394" s="16"/>
      <c r="E394" s="16"/>
      <c r="F394" s="16"/>
      <c r="G394" s="632"/>
      <c r="H394" s="633"/>
      <c r="I394" s="634"/>
      <c r="J394" s="16"/>
      <c r="K394" s="16"/>
      <c r="L394" s="16"/>
      <c r="M394" s="16"/>
      <c r="N394" s="16"/>
      <c r="O394" s="16"/>
      <c r="P394" s="16"/>
      <c r="Q394" s="31"/>
      <c r="R394" s="31"/>
      <c r="S394" s="31"/>
      <c r="T394" s="31"/>
    </row>
    <row r="395" spans="1:20" ht="15" thickBot="1" x14ac:dyDescent="0.4">
      <c r="A395" s="16">
        <v>382</v>
      </c>
      <c r="B395" s="49"/>
      <c r="C395" s="16"/>
      <c r="D395" s="16"/>
      <c r="E395" s="16"/>
      <c r="F395" s="16"/>
      <c r="G395" s="632"/>
      <c r="H395" s="633"/>
      <c r="I395" s="634"/>
      <c r="J395" s="16"/>
      <c r="K395" s="16"/>
      <c r="L395" s="16"/>
      <c r="M395" s="16"/>
      <c r="N395" s="16"/>
      <c r="O395" s="16"/>
      <c r="P395" s="16"/>
      <c r="Q395" s="31"/>
      <c r="R395" s="31"/>
      <c r="S395" s="31"/>
      <c r="T395" s="31"/>
    </row>
    <row r="396" spans="1:20" ht="15" thickBot="1" x14ac:dyDescent="0.4">
      <c r="A396" s="16">
        <v>383</v>
      </c>
      <c r="B396" s="49"/>
      <c r="C396" s="16"/>
      <c r="D396" s="16"/>
      <c r="E396" s="16"/>
      <c r="F396" s="16"/>
      <c r="G396" s="632"/>
      <c r="H396" s="633"/>
      <c r="I396" s="634"/>
      <c r="J396" s="16"/>
      <c r="K396" s="16"/>
      <c r="L396" s="16"/>
      <c r="M396" s="16"/>
      <c r="N396" s="16"/>
      <c r="O396" s="16"/>
      <c r="P396" s="16"/>
      <c r="Q396" s="31"/>
      <c r="R396" s="31"/>
      <c r="S396" s="31"/>
      <c r="T396" s="31"/>
    </row>
    <row r="397" spans="1:20" ht="15" thickBot="1" x14ac:dyDescent="0.4">
      <c r="A397" s="16">
        <v>384</v>
      </c>
      <c r="B397" s="49"/>
      <c r="C397" s="16"/>
      <c r="D397" s="16"/>
      <c r="E397" s="16"/>
      <c r="F397" s="16"/>
      <c r="G397" s="632"/>
      <c r="H397" s="633"/>
      <c r="I397" s="634"/>
      <c r="J397" s="16"/>
      <c r="K397" s="16"/>
      <c r="L397" s="16"/>
      <c r="M397" s="16"/>
      <c r="N397" s="16"/>
      <c r="O397" s="16"/>
      <c r="P397" s="16"/>
      <c r="Q397" s="31"/>
      <c r="R397" s="31"/>
      <c r="S397" s="31"/>
      <c r="T397" s="31"/>
    </row>
    <row r="398" spans="1:20" ht="15" thickBot="1" x14ac:dyDescent="0.4">
      <c r="A398" s="16">
        <v>385</v>
      </c>
      <c r="B398" s="49"/>
      <c r="C398" s="16"/>
      <c r="D398" s="16"/>
      <c r="E398" s="16"/>
      <c r="F398" s="16"/>
      <c r="G398" s="632"/>
      <c r="H398" s="633"/>
      <c r="I398" s="634"/>
      <c r="J398" s="16"/>
      <c r="K398" s="16"/>
      <c r="L398" s="16"/>
      <c r="M398" s="16"/>
      <c r="N398" s="16"/>
      <c r="O398" s="16"/>
      <c r="P398" s="16"/>
      <c r="Q398" s="31"/>
      <c r="R398" s="31"/>
      <c r="S398" s="31"/>
      <c r="T398" s="31"/>
    </row>
    <row r="399" spans="1:20" ht="15" thickBot="1" x14ac:dyDescent="0.4">
      <c r="A399" s="16">
        <v>386</v>
      </c>
      <c r="B399" s="49"/>
      <c r="C399" s="16"/>
      <c r="D399" s="16"/>
      <c r="E399" s="16"/>
      <c r="F399" s="16"/>
      <c r="G399" s="632"/>
      <c r="H399" s="633"/>
      <c r="I399" s="634"/>
      <c r="J399" s="16"/>
      <c r="K399" s="16"/>
      <c r="L399" s="16"/>
      <c r="M399" s="16"/>
      <c r="N399" s="16"/>
      <c r="O399" s="16"/>
      <c r="P399" s="16"/>
      <c r="Q399" s="31"/>
      <c r="R399" s="31"/>
      <c r="S399" s="31"/>
      <c r="T399" s="31"/>
    </row>
    <row r="400" spans="1:20" ht="15" thickBot="1" x14ac:dyDescent="0.4">
      <c r="A400" s="16">
        <v>387</v>
      </c>
      <c r="B400" s="49"/>
      <c r="C400" s="16"/>
      <c r="D400" s="16"/>
      <c r="E400" s="16"/>
      <c r="F400" s="16"/>
      <c r="G400" s="632"/>
      <c r="H400" s="633"/>
      <c r="I400" s="634"/>
      <c r="J400" s="16"/>
      <c r="K400" s="16"/>
      <c r="L400" s="16"/>
      <c r="M400" s="16"/>
      <c r="N400" s="16"/>
      <c r="O400" s="16"/>
      <c r="P400" s="16"/>
      <c r="Q400" s="31"/>
      <c r="R400" s="31"/>
      <c r="S400" s="31"/>
      <c r="T400" s="31"/>
    </row>
    <row r="401" spans="1:20" ht="15" thickBot="1" x14ac:dyDescent="0.4">
      <c r="A401" s="16">
        <v>388</v>
      </c>
      <c r="B401" s="49"/>
      <c r="C401" s="16"/>
      <c r="D401" s="16"/>
      <c r="E401" s="16"/>
      <c r="F401" s="16"/>
      <c r="G401" s="632"/>
      <c r="H401" s="633"/>
      <c r="I401" s="634"/>
      <c r="J401" s="16"/>
      <c r="K401" s="16"/>
      <c r="L401" s="16"/>
      <c r="M401" s="16"/>
      <c r="N401" s="16"/>
      <c r="O401" s="16"/>
      <c r="P401" s="16"/>
      <c r="Q401" s="31"/>
      <c r="R401" s="31"/>
      <c r="S401" s="31"/>
      <c r="T401" s="31"/>
    </row>
    <row r="402" spans="1:20" ht="15" thickBot="1" x14ac:dyDescent="0.4">
      <c r="A402" s="16">
        <v>389</v>
      </c>
      <c r="B402" s="49"/>
      <c r="C402" s="16"/>
      <c r="D402" s="16"/>
      <c r="E402" s="16"/>
      <c r="F402" s="16"/>
      <c r="G402" s="632"/>
      <c r="H402" s="633"/>
      <c r="I402" s="634"/>
      <c r="J402" s="16"/>
      <c r="K402" s="16"/>
      <c r="L402" s="16"/>
      <c r="M402" s="16"/>
      <c r="N402" s="16"/>
      <c r="O402" s="16"/>
      <c r="P402" s="16"/>
      <c r="Q402" s="31"/>
      <c r="R402" s="31"/>
      <c r="S402" s="31"/>
      <c r="T402" s="31"/>
    </row>
    <row r="403" spans="1:20" ht="15" thickBot="1" x14ac:dyDescent="0.4">
      <c r="A403" s="16">
        <v>390</v>
      </c>
      <c r="B403" s="49"/>
      <c r="C403" s="16"/>
      <c r="D403" s="16"/>
      <c r="E403" s="16"/>
      <c r="F403" s="16"/>
      <c r="G403" s="632"/>
      <c r="H403" s="633"/>
      <c r="I403" s="634"/>
      <c r="J403" s="16"/>
      <c r="K403" s="16"/>
      <c r="L403" s="16"/>
      <c r="M403" s="16"/>
      <c r="N403" s="16"/>
      <c r="O403" s="16"/>
      <c r="P403" s="16"/>
      <c r="Q403" s="31"/>
      <c r="R403" s="31"/>
      <c r="S403" s="31"/>
      <c r="T403" s="31"/>
    </row>
    <row r="404" spans="1:20" ht="15" thickBot="1" x14ac:dyDescent="0.4">
      <c r="A404" s="16">
        <v>391</v>
      </c>
      <c r="B404" s="49"/>
      <c r="C404" s="16"/>
      <c r="D404" s="16"/>
      <c r="E404" s="16"/>
      <c r="F404" s="16"/>
      <c r="G404" s="632"/>
      <c r="H404" s="633"/>
      <c r="I404" s="634"/>
      <c r="J404" s="16"/>
      <c r="K404" s="16"/>
      <c r="L404" s="16"/>
      <c r="M404" s="16"/>
      <c r="N404" s="16"/>
      <c r="O404" s="16"/>
      <c r="P404" s="16"/>
      <c r="Q404" s="31"/>
      <c r="R404" s="31"/>
      <c r="S404" s="31"/>
      <c r="T404" s="31"/>
    </row>
    <row r="405" spans="1:20" ht="15" thickBot="1" x14ac:dyDescent="0.4">
      <c r="A405" s="16">
        <v>392</v>
      </c>
      <c r="B405" s="49"/>
      <c r="C405" s="16"/>
      <c r="D405" s="16"/>
      <c r="E405" s="16"/>
      <c r="F405" s="16"/>
      <c r="G405" s="632"/>
      <c r="H405" s="633"/>
      <c r="I405" s="634"/>
      <c r="J405" s="16"/>
      <c r="K405" s="16"/>
      <c r="L405" s="16"/>
      <c r="M405" s="16"/>
      <c r="N405" s="16"/>
      <c r="O405" s="16"/>
      <c r="P405" s="16"/>
      <c r="Q405" s="31"/>
      <c r="R405" s="31"/>
      <c r="S405" s="31"/>
      <c r="T405" s="31"/>
    </row>
    <row r="406" spans="1:20" ht="15" thickBot="1" x14ac:dyDescent="0.4">
      <c r="A406" s="16">
        <v>393</v>
      </c>
      <c r="B406" s="49"/>
      <c r="C406" s="16"/>
      <c r="D406" s="16"/>
      <c r="E406" s="16"/>
      <c r="F406" s="16"/>
      <c r="G406" s="632"/>
      <c r="H406" s="633"/>
      <c r="I406" s="634"/>
      <c r="J406" s="16"/>
      <c r="K406" s="16"/>
      <c r="L406" s="16"/>
      <c r="M406" s="16"/>
      <c r="N406" s="16"/>
      <c r="O406" s="16"/>
      <c r="P406" s="16"/>
      <c r="Q406" s="31"/>
      <c r="R406" s="31"/>
      <c r="S406" s="31"/>
      <c r="T406" s="31"/>
    </row>
    <row r="407" spans="1:20" ht="15" thickBot="1" x14ac:dyDescent="0.4">
      <c r="A407" s="16">
        <v>394</v>
      </c>
      <c r="B407" s="49"/>
      <c r="C407" s="16"/>
      <c r="D407" s="16"/>
      <c r="E407" s="16"/>
      <c r="F407" s="16"/>
      <c r="G407" s="632"/>
      <c r="H407" s="633"/>
      <c r="I407" s="634"/>
      <c r="J407" s="16"/>
      <c r="K407" s="16"/>
      <c r="L407" s="16"/>
      <c r="M407" s="16"/>
      <c r="N407" s="16"/>
      <c r="O407" s="16"/>
      <c r="P407" s="16"/>
      <c r="Q407" s="31"/>
      <c r="R407" s="31"/>
      <c r="S407" s="31"/>
      <c r="T407" s="31"/>
    </row>
    <row r="408" spans="1:20" ht="15" thickBot="1" x14ac:dyDescent="0.4">
      <c r="A408" s="16">
        <v>395</v>
      </c>
      <c r="B408" s="49"/>
      <c r="C408" s="16"/>
      <c r="D408" s="16"/>
      <c r="E408" s="16"/>
      <c r="F408" s="16"/>
      <c r="G408" s="632"/>
      <c r="H408" s="633"/>
      <c r="I408" s="634"/>
      <c r="J408" s="16"/>
      <c r="K408" s="16"/>
      <c r="L408" s="16"/>
      <c r="M408" s="16"/>
      <c r="N408" s="16"/>
      <c r="O408" s="16"/>
      <c r="P408" s="16"/>
      <c r="Q408" s="31"/>
      <c r="R408" s="31"/>
      <c r="S408" s="31"/>
      <c r="T408" s="31"/>
    </row>
    <row r="409" spans="1:20" ht="15" thickBot="1" x14ac:dyDescent="0.4">
      <c r="A409" s="16">
        <v>396</v>
      </c>
      <c r="B409" s="49"/>
      <c r="C409" s="16"/>
      <c r="D409" s="16"/>
      <c r="E409" s="16"/>
      <c r="F409" s="16"/>
      <c r="G409" s="632"/>
      <c r="H409" s="633"/>
      <c r="I409" s="634"/>
      <c r="J409" s="16"/>
      <c r="K409" s="16"/>
      <c r="L409" s="16"/>
      <c r="M409" s="16"/>
      <c r="N409" s="16"/>
      <c r="O409" s="16"/>
      <c r="P409" s="16"/>
      <c r="Q409" s="31"/>
      <c r="R409" s="31"/>
      <c r="S409" s="31"/>
      <c r="T409" s="31"/>
    </row>
    <row r="410" spans="1:20" ht="15" thickBot="1" x14ac:dyDescent="0.4">
      <c r="A410" s="16">
        <v>397</v>
      </c>
      <c r="B410" s="49"/>
      <c r="C410" s="16"/>
      <c r="D410" s="16"/>
      <c r="E410" s="16"/>
      <c r="F410" s="16"/>
      <c r="G410" s="632"/>
      <c r="H410" s="633"/>
      <c r="I410" s="634"/>
      <c r="J410" s="16"/>
      <c r="K410" s="16"/>
      <c r="L410" s="16"/>
      <c r="M410" s="16"/>
      <c r="N410" s="16"/>
      <c r="O410" s="16"/>
      <c r="P410" s="16"/>
      <c r="Q410" s="31"/>
      <c r="R410" s="31"/>
      <c r="S410" s="31"/>
      <c r="T410" s="31"/>
    </row>
    <row r="411" spans="1:20" ht="15" thickBot="1" x14ac:dyDescent="0.4">
      <c r="A411" s="16">
        <v>398</v>
      </c>
      <c r="B411" s="49"/>
      <c r="C411" s="16"/>
      <c r="D411" s="16"/>
      <c r="E411" s="16"/>
      <c r="F411" s="16"/>
      <c r="G411" s="632"/>
      <c r="H411" s="633"/>
      <c r="I411" s="634"/>
      <c r="J411" s="16"/>
      <c r="K411" s="16"/>
      <c r="L411" s="16"/>
      <c r="M411" s="16"/>
      <c r="N411" s="16"/>
      <c r="O411" s="16"/>
      <c r="P411" s="16"/>
      <c r="Q411" s="31"/>
      <c r="R411" s="31"/>
      <c r="S411" s="31"/>
      <c r="T411" s="31"/>
    </row>
    <row r="412" spans="1:20" ht="15" thickBot="1" x14ac:dyDescent="0.4">
      <c r="A412" s="16">
        <v>399</v>
      </c>
      <c r="B412" s="49"/>
      <c r="C412" s="16"/>
      <c r="D412" s="16"/>
      <c r="E412" s="16"/>
      <c r="F412" s="16"/>
      <c r="G412" s="632"/>
      <c r="H412" s="633"/>
      <c r="I412" s="634"/>
      <c r="J412" s="16"/>
      <c r="K412" s="16"/>
      <c r="L412" s="16"/>
      <c r="M412" s="16"/>
      <c r="N412" s="16"/>
      <c r="O412" s="16"/>
      <c r="P412" s="16"/>
      <c r="Q412" s="31"/>
      <c r="R412" s="31"/>
      <c r="S412" s="31"/>
      <c r="T412" s="31"/>
    </row>
    <row r="413" spans="1:20" ht="15" thickBot="1" x14ac:dyDescent="0.4">
      <c r="A413" s="16">
        <v>400</v>
      </c>
      <c r="B413" s="49"/>
      <c r="C413" s="16"/>
      <c r="D413" s="16"/>
      <c r="E413" s="16"/>
      <c r="F413" s="16"/>
      <c r="G413" s="632"/>
      <c r="H413" s="633"/>
      <c r="I413" s="634"/>
      <c r="J413" s="16"/>
      <c r="K413" s="16"/>
      <c r="L413" s="16"/>
      <c r="M413" s="16"/>
      <c r="N413" s="16"/>
      <c r="O413" s="16"/>
      <c r="P413" s="16"/>
      <c r="Q413" s="31"/>
      <c r="R413" s="31"/>
      <c r="S413" s="31"/>
      <c r="T413" s="31"/>
    </row>
    <row r="414" spans="1:20" ht="15" thickBot="1" x14ac:dyDescent="0.4">
      <c r="A414" s="16">
        <v>401</v>
      </c>
      <c r="B414" s="49"/>
      <c r="C414" s="16"/>
      <c r="D414" s="16"/>
      <c r="E414" s="16"/>
      <c r="F414" s="16"/>
      <c r="G414" s="632"/>
      <c r="H414" s="633"/>
      <c r="I414" s="634"/>
      <c r="J414" s="16"/>
      <c r="K414" s="16"/>
      <c r="L414" s="16"/>
      <c r="M414" s="16"/>
      <c r="N414" s="16"/>
      <c r="O414" s="16"/>
      <c r="P414" s="16"/>
      <c r="Q414" s="31"/>
      <c r="R414" s="31"/>
      <c r="S414" s="31"/>
      <c r="T414" s="31"/>
    </row>
    <row r="415" spans="1:20" ht="15" thickBot="1" x14ac:dyDescent="0.4">
      <c r="A415" s="16">
        <v>402</v>
      </c>
      <c r="B415" s="49"/>
      <c r="C415" s="16"/>
      <c r="D415" s="16"/>
      <c r="E415" s="16"/>
      <c r="F415" s="16"/>
      <c r="G415" s="632"/>
      <c r="H415" s="633"/>
      <c r="I415" s="634"/>
      <c r="J415" s="16"/>
      <c r="K415" s="16"/>
      <c r="L415" s="16"/>
      <c r="M415" s="16"/>
      <c r="N415" s="16"/>
      <c r="O415" s="16"/>
      <c r="P415" s="16"/>
      <c r="Q415" s="31"/>
      <c r="R415" s="31"/>
      <c r="S415" s="31"/>
      <c r="T415" s="31"/>
    </row>
    <row r="416" spans="1:20" ht="15" thickBot="1" x14ac:dyDescent="0.4">
      <c r="A416" s="16">
        <v>403</v>
      </c>
      <c r="B416" s="49"/>
      <c r="C416" s="16"/>
      <c r="D416" s="16"/>
      <c r="E416" s="16"/>
      <c r="F416" s="16"/>
      <c r="G416" s="632"/>
      <c r="H416" s="633"/>
      <c r="I416" s="634"/>
      <c r="J416" s="16"/>
      <c r="K416" s="16"/>
      <c r="L416" s="16"/>
      <c r="M416" s="16"/>
      <c r="N416" s="16"/>
      <c r="O416" s="16"/>
      <c r="P416" s="16"/>
      <c r="Q416" s="31"/>
      <c r="R416" s="31"/>
      <c r="S416" s="31"/>
      <c r="T416" s="31"/>
    </row>
    <row r="417" spans="1:20" ht="15" thickBot="1" x14ac:dyDescent="0.4">
      <c r="A417" s="16">
        <v>404</v>
      </c>
      <c r="B417" s="49"/>
      <c r="C417" s="16"/>
      <c r="D417" s="16"/>
      <c r="E417" s="16"/>
      <c r="F417" s="16"/>
      <c r="G417" s="632"/>
      <c r="H417" s="633"/>
      <c r="I417" s="634"/>
      <c r="J417" s="16"/>
      <c r="K417" s="16"/>
      <c r="L417" s="16"/>
      <c r="M417" s="16"/>
      <c r="N417" s="16"/>
      <c r="O417" s="16"/>
      <c r="P417" s="16"/>
      <c r="Q417" s="31"/>
      <c r="R417" s="31"/>
      <c r="S417" s="31"/>
      <c r="T417" s="31"/>
    </row>
    <row r="418" spans="1:20" ht="15" thickBot="1" x14ac:dyDescent="0.4">
      <c r="A418" s="16">
        <v>405</v>
      </c>
      <c r="B418" s="49"/>
      <c r="C418" s="16"/>
      <c r="D418" s="16"/>
      <c r="E418" s="16"/>
      <c r="F418" s="16"/>
      <c r="G418" s="632"/>
      <c r="H418" s="633"/>
      <c r="I418" s="634"/>
      <c r="J418" s="16"/>
      <c r="K418" s="16"/>
      <c r="L418" s="16"/>
      <c r="M418" s="16"/>
      <c r="N418" s="16"/>
      <c r="O418" s="16"/>
      <c r="P418" s="16"/>
      <c r="Q418" s="31"/>
      <c r="R418" s="31"/>
      <c r="S418" s="31"/>
      <c r="T418" s="31"/>
    </row>
    <row r="419" spans="1:20" ht="15" thickBot="1" x14ac:dyDescent="0.4">
      <c r="A419" s="16">
        <v>406</v>
      </c>
      <c r="B419" s="49"/>
      <c r="C419" s="16"/>
      <c r="D419" s="16"/>
      <c r="E419" s="16"/>
      <c r="F419" s="16"/>
      <c r="G419" s="632"/>
      <c r="H419" s="633"/>
      <c r="I419" s="634"/>
      <c r="J419" s="16"/>
      <c r="K419" s="16"/>
      <c r="L419" s="16"/>
      <c r="M419" s="16"/>
      <c r="N419" s="16"/>
      <c r="O419" s="16"/>
      <c r="P419" s="16"/>
      <c r="Q419" s="31"/>
      <c r="R419" s="31"/>
      <c r="S419" s="31"/>
      <c r="T419" s="31"/>
    </row>
    <row r="420" spans="1:20" ht="15" thickBot="1" x14ac:dyDescent="0.4">
      <c r="A420" s="16">
        <v>407</v>
      </c>
      <c r="B420" s="49"/>
      <c r="C420" s="16"/>
      <c r="D420" s="16"/>
      <c r="E420" s="16"/>
      <c r="F420" s="16"/>
      <c r="G420" s="632"/>
      <c r="H420" s="633"/>
      <c r="I420" s="634"/>
      <c r="J420" s="16"/>
      <c r="K420" s="16"/>
      <c r="L420" s="16"/>
      <c r="M420" s="16"/>
      <c r="N420" s="16"/>
      <c r="O420" s="16"/>
      <c r="P420" s="16"/>
      <c r="Q420" s="31"/>
      <c r="R420" s="31"/>
      <c r="S420" s="31"/>
      <c r="T420" s="31"/>
    </row>
    <row r="421" spans="1:20" ht="15" thickBot="1" x14ac:dyDescent="0.4">
      <c r="A421" s="16">
        <v>408</v>
      </c>
      <c r="B421" s="49"/>
      <c r="C421" s="16"/>
      <c r="D421" s="16"/>
      <c r="E421" s="16"/>
      <c r="F421" s="16"/>
      <c r="G421" s="632"/>
      <c r="H421" s="633"/>
      <c r="I421" s="634"/>
      <c r="J421" s="16"/>
      <c r="K421" s="16"/>
      <c r="L421" s="16"/>
      <c r="M421" s="16"/>
      <c r="N421" s="16"/>
      <c r="O421" s="16"/>
      <c r="P421" s="16"/>
      <c r="Q421" s="31"/>
      <c r="R421" s="31"/>
      <c r="S421" s="31"/>
      <c r="T421" s="31"/>
    </row>
    <row r="422" spans="1:20" ht="15" thickBot="1" x14ac:dyDescent="0.4">
      <c r="A422" s="16">
        <v>409</v>
      </c>
      <c r="B422" s="49"/>
      <c r="C422" s="16"/>
      <c r="D422" s="16"/>
      <c r="E422" s="16"/>
      <c r="F422" s="16"/>
      <c r="G422" s="632"/>
      <c r="H422" s="633"/>
      <c r="I422" s="634"/>
      <c r="J422" s="16"/>
      <c r="K422" s="16"/>
      <c r="L422" s="16"/>
      <c r="M422" s="16"/>
      <c r="N422" s="16"/>
      <c r="O422" s="16"/>
      <c r="P422" s="16"/>
      <c r="Q422" s="31"/>
      <c r="R422" s="31"/>
      <c r="S422" s="31"/>
      <c r="T422" s="31"/>
    </row>
    <row r="423" spans="1:20" ht="15" thickBot="1" x14ac:dyDescent="0.4">
      <c r="A423" s="16">
        <v>410</v>
      </c>
      <c r="B423" s="49"/>
      <c r="C423" s="16"/>
      <c r="D423" s="16"/>
      <c r="E423" s="16"/>
      <c r="F423" s="16"/>
      <c r="G423" s="632"/>
      <c r="H423" s="633"/>
      <c r="I423" s="634"/>
      <c r="J423" s="16"/>
      <c r="K423" s="16"/>
      <c r="L423" s="16"/>
      <c r="M423" s="16"/>
      <c r="N423" s="16"/>
      <c r="O423" s="16"/>
      <c r="P423" s="16"/>
      <c r="Q423" s="31"/>
      <c r="R423" s="31"/>
      <c r="S423" s="31"/>
      <c r="T423" s="31"/>
    </row>
    <row r="424" spans="1:20" ht="15" thickBot="1" x14ac:dyDescent="0.4">
      <c r="A424" s="16">
        <v>411</v>
      </c>
      <c r="B424" s="49"/>
      <c r="C424" s="16"/>
      <c r="D424" s="16"/>
      <c r="E424" s="16"/>
      <c r="F424" s="16"/>
      <c r="G424" s="632"/>
      <c r="H424" s="633"/>
      <c r="I424" s="634"/>
      <c r="J424" s="16"/>
      <c r="K424" s="16"/>
      <c r="L424" s="16"/>
      <c r="M424" s="16"/>
      <c r="N424" s="16"/>
      <c r="O424" s="16"/>
      <c r="P424" s="16"/>
      <c r="Q424" s="31"/>
      <c r="R424" s="31"/>
      <c r="S424" s="31"/>
      <c r="T424" s="31"/>
    </row>
    <row r="425" spans="1:20" ht="15" thickBot="1" x14ac:dyDescent="0.4">
      <c r="A425" s="16">
        <v>412</v>
      </c>
      <c r="B425" s="49"/>
      <c r="C425" s="16"/>
      <c r="D425" s="16"/>
      <c r="E425" s="16"/>
      <c r="F425" s="16"/>
      <c r="G425" s="632"/>
      <c r="H425" s="633"/>
      <c r="I425" s="634"/>
      <c r="J425" s="16"/>
      <c r="K425" s="16"/>
      <c r="L425" s="16"/>
      <c r="M425" s="16"/>
      <c r="N425" s="16"/>
      <c r="O425" s="16"/>
      <c r="P425" s="16"/>
      <c r="Q425" s="31"/>
      <c r="R425" s="31"/>
      <c r="S425" s="31"/>
      <c r="T425" s="31"/>
    </row>
    <row r="426" spans="1:20" ht="15" thickBot="1" x14ac:dyDescent="0.4">
      <c r="A426" s="16">
        <v>413</v>
      </c>
      <c r="B426" s="49"/>
      <c r="C426" s="16"/>
      <c r="D426" s="16"/>
      <c r="E426" s="16"/>
      <c r="F426" s="16"/>
      <c r="G426" s="632"/>
      <c r="H426" s="633"/>
      <c r="I426" s="634"/>
      <c r="J426" s="16"/>
      <c r="K426" s="16"/>
      <c r="L426" s="16"/>
      <c r="M426" s="16"/>
      <c r="N426" s="16"/>
      <c r="O426" s="16"/>
      <c r="P426" s="16"/>
      <c r="Q426" s="31"/>
      <c r="R426" s="31"/>
      <c r="S426" s="31"/>
      <c r="T426" s="31"/>
    </row>
    <row r="427" spans="1:20" ht="15" thickBot="1" x14ac:dyDescent="0.4">
      <c r="A427" s="16">
        <v>414</v>
      </c>
      <c r="B427" s="49"/>
      <c r="C427" s="16"/>
      <c r="D427" s="16"/>
      <c r="E427" s="16"/>
      <c r="F427" s="16"/>
      <c r="G427" s="632"/>
      <c r="H427" s="633"/>
      <c r="I427" s="634"/>
      <c r="J427" s="16"/>
      <c r="K427" s="16"/>
      <c r="L427" s="16"/>
      <c r="M427" s="16"/>
      <c r="N427" s="16"/>
      <c r="O427" s="16"/>
      <c r="P427" s="16"/>
      <c r="Q427" s="31"/>
      <c r="R427" s="31"/>
      <c r="S427" s="31"/>
      <c r="T427" s="31"/>
    </row>
    <row r="428" spans="1:20" ht="15" thickBot="1" x14ac:dyDescent="0.4">
      <c r="A428" s="16">
        <v>415</v>
      </c>
      <c r="B428" s="49"/>
      <c r="C428" s="16"/>
      <c r="D428" s="16"/>
      <c r="E428" s="16"/>
      <c r="F428" s="16"/>
      <c r="G428" s="632"/>
      <c r="H428" s="633"/>
      <c r="I428" s="634"/>
      <c r="J428" s="16"/>
      <c r="K428" s="16"/>
      <c r="L428" s="16"/>
      <c r="M428" s="16"/>
      <c r="N428" s="16"/>
      <c r="O428" s="16"/>
      <c r="P428" s="16"/>
      <c r="Q428" s="31"/>
      <c r="R428" s="31"/>
      <c r="S428" s="31"/>
      <c r="T428" s="31"/>
    </row>
    <row r="429" spans="1:20" ht="15" thickBot="1" x14ac:dyDescent="0.4">
      <c r="A429" s="16">
        <v>416</v>
      </c>
      <c r="B429" s="49"/>
      <c r="C429" s="16"/>
      <c r="D429" s="16"/>
      <c r="E429" s="16"/>
      <c r="F429" s="16"/>
      <c r="G429" s="632"/>
      <c r="H429" s="633"/>
      <c r="I429" s="634"/>
      <c r="J429" s="16"/>
      <c r="K429" s="16"/>
      <c r="L429" s="16"/>
      <c r="M429" s="16"/>
      <c r="N429" s="16"/>
      <c r="O429" s="16"/>
      <c r="P429" s="16"/>
      <c r="Q429" s="31"/>
      <c r="R429" s="31"/>
      <c r="S429" s="31"/>
      <c r="T429" s="31"/>
    </row>
    <row r="430" spans="1:20" ht="15" thickBot="1" x14ac:dyDescent="0.4">
      <c r="A430" s="16">
        <v>417</v>
      </c>
      <c r="B430" s="49"/>
      <c r="C430" s="16"/>
      <c r="D430" s="16"/>
      <c r="E430" s="16"/>
      <c r="F430" s="16"/>
      <c r="G430" s="632"/>
      <c r="H430" s="633"/>
      <c r="I430" s="634"/>
      <c r="J430" s="16"/>
      <c r="K430" s="16"/>
      <c r="L430" s="16"/>
      <c r="M430" s="16"/>
      <c r="N430" s="16"/>
      <c r="O430" s="16"/>
      <c r="P430" s="16"/>
      <c r="Q430" s="31"/>
      <c r="R430" s="31"/>
      <c r="S430" s="31"/>
      <c r="T430" s="31"/>
    </row>
    <row r="431" spans="1:20" ht="15" thickBot="1" x14ac:dyDescent="0.4">
      <c r="A431" s="16">
        <v>418</v>
      </c>
      <c r="B431" s="49"/>
      <c r="C431" s="16"/>
      <c r="D431" s="16"/>
      <c r="E431" s="16"/>
      <c r="F431" s="16"/>
      <c r="G431" s="632"/>
      <c r="H431" s="633"/>
      <c r="I431" s="634"/>
      <c r="J431" s="16"/>
      <c r="K431" s="16"/>
      <c r="L431" s="16"/>
      <c r="M431" s="16"/>
      <c r="N431" s="16"/>
      <c r="O431" s="16"/>
      <c r="P431" s="16"/>
      <c r="Q431" s="31"/>
      <c r="R431" s="31"/>
      <c r="S431" s="31"/>
      <c r="T431" s="31"/>
    </row>
    <row r="432" spans="1:20" ht="15" thickBot="1" x14ac:dyDescent="0.4">
      <c r="A432" s="16">
        <v>419</v>
      </c>
      <c r="B432" s="49"/>
      <c r="C432" s="16"/>
      <c r="D432" s="16"/>
      <c r="E432" s="16"/>
      <c r="F432" s="16"/>
      <c r="G432" s="632"/>
      <c r="H432" s="633"/>
      <c r="I432" s="634"/>
      <c r="J432" s="16"/>
      <c r="K432" s="16"/>
      <c r="L432" s="16"/>
      <c r="M432" s="16"/>
      <c r="N432" s="16"/>
      <c r="O432" s="16"/>
      <c r="P432" s="16"/>
      <c r="Q432" s="31"/>
      <c r="R432" s="31"/>
      <c r="S432" s="31"/>
      <c r="T432" s="31"/>
    </row>
    <row r="433" spans="1:20" ht="15" thickBot="1" x14ac:dyDescent="0.4">
      <c r="A433" s="16">
        <v>420</v>
      </c>
      <c r="B433" s="49"/>
      <c r="C433" s="16"/>
      <c r="D433" s="16"/>
      <c r="E433" s="16"/>
      <c r="F433" s="16"/>
      <c r="G433" s="632"/>
      <c r="H433" s="633"/>
      <c r="I433" s="634"/>
      <c r="J433" s="16"/>
      <c r="K433" s="16"/>
      <c r="L433" s="16"/>
      <c r="M433" s="16"/>
      <c r="N433" s="16"/>
      <c r="O433" s="16"/>
      <c r="P433" s="16"/>
      <c r="Q433" s="31"/>
      <c r="R433" s="31"/>
      <c r="S433" s="31"/>
      <c r="T433" s="31"/>
    </row>
    <row r="434" spans="1:20" ht="15" thickBot="1" x14ac:dyDescent="0.4">
      <c r="A434" s="16">
        <v>421</v>
      </c>
      <c r="B434" s="49"/>
      <c r="C434" s="16"/>
      <c r="D434" s="16"/>
      <c r="E434" s="16"/>
      <c r="F434" s="16"/>
      <c r="G434" s="632"/>
      <c r="H434" s="633"/>
      <c r="I434" s="634"/>
      <c r="J434" s="16"/>
      <c r="K434" s="16"/>
      <c r="L434" s="16"/>
      <c r="M434" s="16"/>
      <c r="N434" s="16"/>
      <c r="O434" s="16"/>
      <c r="P434" s="16"/>
      <c r="Q434" s="31"/>
      <c r="R434" s="31"/>
      <c r="S434" s="31"/>
      <c r="T434" s="31"/>
    </row>
    <row r="435" spans="1:20" ht="15" thickBot="1" x14ac:dyDescent="0.4">
      <c r="A435" s="16">
        <v>422</v>
      </c>
      <c r="B435" s="49"/>
      <c r="C435" s="16"/>
      <c r="D435" s="16"/>
      <c r="E435" s="16"/>
      <c r="F435" s="16"/>
      <c r="G435" s="632"/>
      <c r="H435" s="633"/>
      <c r="I435" s="634"/>
      <c r="J435" s="16"/>
      <c r="K435" s="16"/>
      <c r="L435" s="16"/>
      <c r="M435" s="16"/>
      <c r="N435" s="16"/>
      <c r="O435" s="16"/>
      <c r="P435" s="16"/>
      <c r="Q435" s="31"/>
      <c r="R435" s="31"/>
      <c r="S435" s="31"/>
      <c r="T435" s="31"/>
    </row>
    <row r="436" spans="1:20" ht="15" thickBot="1" x14ac:dyDescent="0.4">
      <c r="A436" s="16">
        <v>423</v>
      </c>
      <c r="B436" s="49"/>
      <c r="C436" s="16"/>
      <c r="D436" s="16"/>
      <c r="E436" s="16"/>
      <c r="F436" s="16"/>
      <c r="G436" s="632"/>
      <c r="H436" s="633"/>
      <c r="I436" s="634"/>
      <c r="J436" s="16"/>
      <c r="K436" s="16"/>
      <c r="L436" s="16"/>
      <c r="M436" s="16"/>
      <c r="N436" s="16"/>
      <c r="O436" s="16"/>
      <c r="P436" s="16"/>
      <c r="Q436" s="31"/>
      <c r="R436" s="31"/>
      <c r="S436" s="31"/>
      <c r="T436" s="31"/>
    </row>
    <row r="437" spans="1:20" ht="15" thickBot="1" x14ac:dyDescent="0.4">
      <c r="A437" s="16">
        <v>424</v>
      </c>
      <c r="B437" s="49"/>
      <c r="C437" s="16"/>
      <c r="D437" s="16"/>
      <c r="E437" s="16"/>
      <c r="F437" s="16"/>
      <c r="G437" s="632"/>
      <c r="H437" s="633"/>
      <c r="I437" s="634"/>
      <c r="J437" s="16"/>
      <c r="K437" s="16"/>
      <c r="L437" s="16"/>
      <c r="M437" s="16"/>
      <c r="N437" s="16"/>
      <c r="O437" s="16"/>
      <c r="P437" s="16"/>
      <c r="Q437" s="31"/>
      <c r="R437" s="31"/>
      <c r="S437" s="31"/>
      <c r="T437" s="31"/>
    </row>
    <row r="438" spans="1:20" ht="15" thickBot="1" x14ac:dyDescent="0.4">
      <c r="A438" s="16">
        <v>425</v>
      </c>
      <c r="B438" s="49"/>
      <c r="C438" s="16"/>
      <c r="D438" s="16"/>
      <c r="E438" s="16"/>
      <c r="F438" s="16"/>
      <c r="G438" s="632"/>
      <c r="H438" s="633"/>
      <c r="I438" s="634"/>
      <c r="J438" s="16"/>
      <c r="K438" s="16"/>
      <c r="L438" s="16"/>
      <c r="M438" s="16"/>
      <c r="N438" s="16"/>
      <c r="O438" s="16"/>
      <c r="P438" s="16"/>
      <c r="Q438" s="31"/>
      <c r="R438" s="31"/>
      <c r="S438" s="31"/>
      <c r="T438" s="31"/>
    </row>
    <row r="439" spans="1:20" ht="15" thickBot="1" x14ac:dyDescent="0.4">
      <c r="A439" s="16">
        <v>426</v>
      </c>
      <c r="B439" s="49"/>
      <c r="C439" s="16"/>
      <c r="D439" s="16"/>
      <c r="E439" s="16"/>
      <c r="F439" s="16"/>
      <c r="G439" s="632"/>
      <c r="H439" s="633"/>
      <c r="I439" s="634"/>
      <c r="J439" s="16"/>
      <c r="K439" s="16"/>
      <c r="L439" s="16"/>
      <c r="M439" s="16"/>
      <c r="N439" s="16"/>
      <c r="O439" s="16"/>
      <c r="P439" s="16"/>
      <c r="Q439" s="31"/>
      <c r="R439" s="31"/>
      <c r="S439" s="31"/>
      <c r="T439" s="31"/>
    </row>
    <row r="440" spans="1:20" ht="15" thickBot="1" x14ac:dyDescent="0.4">
      <c r="A440" s="16">
        <v>427</v>
      </c>
      <c r="B440" s="49"/>
      <c r="C440" s="16"/>
      <c r="D440" s="16"/>
      <c r="E440" s="16"/>
      <c r="F440" s="16"/>
      <c r="G440" s="632"/>
      <c r="H440" s="633"/>
      <c r="I440" s="634"/>
      <c r="J440" s="16"/>
      <c r="K440" s="16"/>
      <c r="L440" s="16"/>
      <c r="M440" s="16"/>
      <c r="N440" s="16"/>
      <c r="O440" s="16"/>
      <c r="P440" s="16"/>
      <c r="Q440" s="31"/>
      <c r="R440" s="31"/>
      <c r="S440" s="31"/>
      <c r="T440" s="31"/>
    </row>
    <row r="441" spans="1:20" ht="15" thickBot="1" x14ac:dyDescent="0.4">
      <c r="A441" s="16">
        <v>428</v>
      </c>
      <c r="B441" s="49"/>
      <c r="C441" s="16"/>
      <c r="D441" s="16"/>
      <c r="E441" s="16"/>
      <c r="F441" s="16"/>
      <c r="G441" s="632"/>
      <c r="H441" s="633"/>
      <c r="I441" s="634"/>
      <c r="J441" s="16"/>
      <c r="K441" s="16"/>
      <c r="L441" s="16"/>
      <c r="M441" s="16"/>
      <c r="N441" s="16"/>
      <c r="O441" s="16"/>
      <c r="P441" s="16"/>
      <c r="Q441" s="31"/>
      <c r="R441" s="31"/>
      <c r="S441" s="31"/>
      <c r="T441" s="31"/>
    </row>
    <row r="442" spans="1:20" ht="15" thickBot="1" x14ac:dyDescent="0.4">
      <c r="A442" s="16">
        <v>429</v>
      </c>
      <c r="B442" s="49"/>
      <c r="C442" s="16"/>
      <c r="D442" s="16"/>
      <c r="E442" s="16"/>
      <c r="F442" s="16"/>
      <c r="G442" s="632"/>
      <c r="H442" s="633"/>
      <c r="I442" s="634"/>
      <c r="J442" s="16"/>
      <c r="K442" s="16"/>
      <c r="L442" s="16"/>
      <c r="M442" s="16"/>
      <c r="N442" s="16"/>
      <c r="O442" s="16"/>
      <c r="P442" s="16"/>
      <c r="Q442" s="31"/>
      <c r="R442" s="31"/>
      <c r="S442" s="31"/>
      <c r="T442" s="31"/>
    </row>
    <row r="443" spans="1:20" ht="15" thickBot="1" x14ac:dyDescent="0.4">
      <c r="A443" s="16">
        <v>430</v>
      </c>
      <c r="B443" s="49"/>
      <c r="C443" s="16"/>
      <c r="D443" s="16"/>
      <c r="E443" s="16"/>
      <c r="F443" s="16"/>
      <c r="G443" s="632"/>
      <c r="H443" s="633"/>
      <c r="I443" s="634"/>
      <c r="J443" s="16"/>
      <c r="K443" s="16"/>
      <c r="L443" s="16"/>
      <c r="M443" s="16"/>
      <c r="N443" s="16"/>
      <c r="O443" s="16"/>
      <c r="P443" s="16"/>
      <c r="Q443" s="31"/>
      <c r="R443" s="31"/>
      <c r="S443" s="31"/>
      <c r="T443" s="31"/>
    </row>
    <row r="444" spans="1:20" ht="15" thickBot="1" x14ac:dyDescent="0.4">
      <c r="A444" s="16">
        <v>431</v>
      </c>
      <c r="B444" s="49"/>
      <c r="C444" s="16"/>
      <c r="D444" s="16"/>
      <c r="E444" s="16"/>
      <c r="F444" s="16"/>
      <c r="G444" s="632"/>
      <c r="H444" s="633"/>
      <c r="I444" s="634"/>
      <c r="J444" s="16"/>
      <c r="K444" s="16"/>
      <c r="L444" s="16"/>
      <c r="M444" s="16"/>
      <c r="N444" s="16"/>
      <c r="O444" s="16"/>
      <c r="P444" s="16"/>
      <c r="Q444" s="31"/>
      <c r="R444" s="31"/>
      <c r="S444" s="31"/>
      <c r="T444" s="31"/>
    </row>
    <row r="445" spans="1:20" ht="15" thickBot="1" x14ac:dyDescent="0.4">
      <c r="A445" s="16">
        <v>432</v>
      </c>
      <c r="B445" s="49"/>
      <c r="C445" s="16"/>
      <c r="D445" s="16"/>
      <c r="E445" s="16"/>
      <c r="F445" s="16"/>
      <c r="G445" s="632"/>
      <c r="H445" s="633"/>
      <c r="I445" s="634"/>
      <c r="J445" s="16"/>
      <c r="K445" s="16"/>
      <c r="L445" s="16"/>
      <c r="M445" s="16"/>
      <c r="N445" s="16"/>
      <c r="O445" s="16"/>
      <c r="P445" s="16"/>
      <c r="Q445" s="31"/>
      <c r="R445" s="31"/>
      <c r="S445" s="31"/>
      <c r="T445" s="31"/>
    </row>
    <row r="446" spans="1:20" ht="15" thickBot="1" x14ac:dyDescent="0.4">
      <c r="A446" s="16">
        <v>433</v>
      </c>
      <c r="B446" s="49"/>
      <c r="C446" s="16"/>
      <c r="D446" s="16"/>
      <c r="E446" s="16"/>
      <c r="F446" s="16"/>
      <c r="G446" s="632"/>
      <c r="H446" s="633"/>
      <c r="I446" s="634"/>
      <c r="J446" s="16"/>
      <c r="K446" s="16"/>
      <c r="L446" s="16"/>
      <c r="M446" s="16"/>
      <c r="N446" s="16"/>
      <c r="O446" s="16"/>
      <c r="P446" s="16"/>
      <c r="Q446" s="31"/>
      <c r="R446" s="31"/>
      <c r="S446" s="31"/>
      <c r="T446" s="31"/>
    </row>
    <row r="447" spans="1:20" ht="15" thickBot="1" x14ac:dyDescent="0.4">
      <c r="A447" s="16">
        <v>434</v>
      </c>
      <c r="B447" s="49"/>
      <c r="C447" s="16"/>
      <c r="D447" s="16"/>
      <c r="E447" s="16"/>
      <c r="F447" s="16"/>
      <c r="G447" s="632"/>
      <c r="H447" s="633"/>
      <c r="I447" s="634"/>
      <c r="J447" s="16"/>
      <c r="K447" s="16"/>
      <c r="L447" s="16"/>
      <c r="M447" s="16"/>
      <c r="N447" s="16"/>
      <c r="O447" s="16"/>
      <c r="P447" s="16"/>
      <c r="Q447" s="31"/>
      <c r="R447" s="31"/>
      <c r="S447" s="31"/>
      <c r="T447" s="31"/>
    </row>
    <row r="448" spans="1:20" ht="15" thickBot="1" x14ac:dyDescent="0.4">
      <c r="A448" s="16">
        <v>435</v>
      </c>
      <c r="B448" s="49"/>
      <c r="C448" s="16"/>
      <c r="D448" s="16"/>
      <c r="E448" s="16"/>
      <c r="F448" s="16"/>
      <c r="G448" s="632"/>
      <c r="H448" s="633"/>
      <c r="I448" s="634"/>
      <c r="J448" s="16"/>
      <c r="K448" s="16"/>
      <c r="L448" s="16"/>
      <c r="M448" s="16"/>
      <c r="N448" s="16"/>
      <c r="O448" s="16"/>
      <c r="P448" s="16"/>
      <c r="Q448" s="31"/>
      <c r="R448" s="31"/>
      <c r="S448" s="31"/>
      <c r="T448" s="31"/>
    </row>
    <row r="449" spans="1:20" ht="15" thickBot="1" x14ac:dyDescent="0.4">
      <c r="A449" s="16">
        <v>436</v>
      </c>
      <c r="B449" s="49"/>
      <c r="C449" s="16"/>
      <c r="D449" s="16"/>
      <c r="E449" s="16"/>
      <c r="F449" s="16"/>
      <c r="G449" s="632"/>
      <c r="H449" s="633"/>
      <c r="I449" s="634"/>
      <c r="J449" s="16"/>
      <c r="K449" s="16"/>
      <c r="L449" s="16"/>
      <c r="M449" s="16"/>
      <c r="N449" s="16"/>
      <c r="O449" s="16"/>
      <c r="P449" s="16"/>
      <c r="Q449" s="31"/>
      <c r="R449" s="31"/>
      <c r="S449" s="31"/>
      <c r="T449" s="31"/>
    </row>
    <row r="450" spans="1:20" ht="15" thickBot="1" x14ac:dyDescent="0.4">
      <c r="A450" s="16">
        <v>437</v>
      </c>
      <c r="B450" s="49"/>
      <c r="C450" s="16"/>
      <c r="D450" s="16"/>
      <c r="E450" s="16"/>
      <c r="F450" s="16"/>
      <c r="G450" s="632"/>
      <c r="H450" s="633"/>
      <c r="I450" s="634"/>
      <c r="J450" s="16"/>
      <c r="K450" s="16"/>
      <c r="L450" s="16"/>
      <c r="M450" s="16"/>
      <c r="N450" s="16"/>
      <c r="O450" s="16"/>
      <c r="P450" s="16"/>
      <c r="Q450" s="31"/>
      <c r="R450" s="31"/>
      <c r="S450" s="31"/>
      <c r="T450" s="31"/>
    </row>
    <row r="451" spans="1:20" ht="15" thickBot="1" x14ac:dyDescent="0.4">
      <c r="A451" s="16">
        <v>438</v>
      </c>
      <c r="B451" s="49"/>
      <c r="C451" s="16"/>
      <c r="D451" s="16"/>
      <c r="E451" s="16"/>
      <c r="F451" s="16"/>
      <c r="G451" s="632"/>
      <c r="H451" s="633"/>
      <c r="I451" s="634"/>
      <c r="J451" s="16"/>
      <c r="K451" s="16"/>
      <c r="L451" s="16"/>
      <c r="M451" s="16"/>
      <c r="N451" s="16"/>
      <c r="O451" s="16"/>
      <c r="P451" s="16"/>
      <c r="Q451" s="31"/>
      <c r="R451" s="31"/>
      <c r="S451" s="31"/>
      <c r="T451" s="31"/>
    </row>
    <row r="452" spans="1:20" ht="15" thickBot="1" x14ac:dyDescent="0.4">
      <c r="A452" s="16">
        <v>439</v>
      </c>
      <c r="B452" s="49"/>
      <c r="C452" s="16"/>
      <c r="D452" s="16"/>
      <c r="E452" s="16"/>
      <c r="F452" s="16"/>
      <c r="G452" s="632"/>
      <c r="H452" s="633"/>
      <c r="I452" s="634"/>
      <c r="J452" s="16"/>
      <c r="K452" s="16"/>
      <c r="L452" s="16"/>
      <c r="M452" s="16"/>
      <c r="N452" s="16"/>
      <c r="O452" s="16"/>
      <c r="P452" s="16"/>
      <c r="Q452" s="31"/>
      <c r="R452" s="31"/>
      <c r="S452" s="31"/>
      <c r="T452" s="31"/>
    </row>
    <row r="453" spans="1:20" ht="15" thickBot="1" x14ac:dyDescent="0.4">
      <c r="A453" s="16">
        <v>440</v>
      </c>
      <c r="B453" s="49"/>
      <c r="C453" s="16"/>
      <c r="D453" s="16"/>
      <c r="E453" s="16"/>
      <c r="F453" s="16"/>
      <c r="G453" s="632"/>
      <c r="H453" s="633"/>
      <c r="I453" s="634"/>
      <c r="J453" s="16"/>
      <c r="K453" s="16"/>
      <c r="L453" s="16"/>
      <c r="M453" s="16"/>
      <c r="N453" s="16"/>
      <c r="O453" s="16"/>
      <c r="P453" s="16"/>
      <c r="Q453" s="31"/>
      <c r="R453" s="31"/>
      <c r="S453" s="31"/>
      <c r="T453" s="31"/>
    </row>
    <row r="454" spans="1:20" ht="15" thickBot="1" x14ac:dyDescent="0.4">
      <c r="A454" s="16">
        <v>441</v>
      </c>
      <c r="B454" s="49"/>
      <c r="C454" s="16"/>
      <c r="D454" s="16"/>
      <c r="E454" s="16"/>
      <c r="F454" s="16"/>
      <c r="G454" s="632"/>
      <c r="H454" s="633"/>
      <c r="I454" s="634"/>
      <c r="J454" s="16"/>
      <c r="K454" s="16"/>
      <c r="L454" s="16"/>
      <c r="M454" s="16"/>
      <c r="N454" s="16"/>
      <c r="O454" s="16"/>
      <c r="P454" s="16"/>
      <c r="Q454" s="31"/>
      <c r="R454" s="31"/>
      <c r="S454" s="31"/>
      <c r="T454" s="31"/>
    </row>
    <row r="455" spans="1:20" ht="15" thickBot="1" x14ac:dyDescent="0.4">
      <c r="A455" s="16">
        <v>442</v>
      </c>
      <c r="B455" s="49"/>
      <c r="C455" s="16"/>
      <c r="D455" s="16"/>
      <c r="E455" s="16"/>
      <c r="F455" s="16"/>
      <c r="G455" s="632"/>
      <c r="H455" s="633"/>
      <c r="I455" s="634"/>
      <c r="J455" s="16"/>
      <c r="K455" s="16"/>
      <c r="L455" s="16"/>
      <c r="M455" s="16"/>
      <c r="N455" s="16"/>
      <c r="O455" s="16"/>
      <c r="P455" s="16"/>
      <c r="Q455" s="31"/>
      <c r="R455" s="31"/>
      <c r="S455" s="31"/>
      <c r="T455" s="31"/>
    </row>
    <row r="456" spans="1:20" ht="15" thickBot="1" x14ac:dyDescent="0.4">
      <c r="A456" s="16">
        <v>443</v>
      </c>
      <c r="B456" s="49"/>
      <c r="C456" s="16"/>
      <c r="D456" s="16"/>
      <c r="E456" s="16"/>
      <c r="F456" s="16"/>
      <c r="G456" s="632"/>
      <c r="H456" s="633"/>
      <c r="I456" s="634"/>
      <c r="J456" s="16"/>
      <c r="K456" s="16"/>
      <c r="L456" s="16"/>
      <c r="M456" s="16"/>
      <c r="N456" s="16"/>
      <c r="O456" s="16"/>
      <c r="P456" s="16"/>
      <c r="Q456" s="31"/>
      <c r="R456" s="31"/>
      <c r="S456" s="31"/>
      <c r="T456" s="31"/>
    </row>
    <row r="457" spans="1:20" ht="15" thickBot="1" x14ac:dyDescent="0.4">
      <c r="A457" s="16">
        <v>444</v>
      </c>
      <c r="B457" s="49"/>
      <c r="C457" s="16"/>
      <c r="D457" s="16"/>
      <c r="E457" s="16"/>
      <c r="F457" s="16"/>
      <c r="G457" s="632"/>
      <c r="H457" s="633"/>
      <c r="I457" s="634"/>
      <c r="J457" s="16"/>
      <c r="K457" s="16"/>
      <c r="L457" s="16"/>
      <c r="M457" s="16"/>
      <c r="N457" s="16"/>
      <c r="O457" s="16"/>
      <c r="P457" s="16"/>
      <c r="Q457" s="31"/>
      <c r="R457" s="31"/>
      <c r="S457" s="31"/>
      <c r="T457" s="31"/>
    </row>
    <row r="458" spans="1:20" ht="15" thickBot="1" x14ac:dyDescent="0.4">
      <c r="A458" s="16">
        <v>445</v>
      </c>
      <c r="B458" s="49"/>
      <c r="C458" s="16"/>
      <c r="D458" s="16"/>
      <c r="E458" s="16"/>
      <c r="F458" s="16"/>
      <c r="G458" s="632"/>
      <c r="H458" s="633"/>
      <c r="I458" s="634"/>
      <c r="J458" s="16"/>
      <c r="K458" s="16"/>
      <c r="L458" s="16"/>
      <c r="M458" s="16"/>
      <c r="N458" s="16"/>
      <c r="O458" s="16"/>
      <c r="P458" s="16"/>
      <c r="Q458" s="31"/>
      <c r="R458" s="31"/>
      <c r="S458" s="31"/>
      <c r="T458" s="31"/>
    </row>
    <row r="459" spans="1:20" ht="15" thickBot="1" x14ac:dyDescent="0.4">
      <c r="A459" s="16">
        <v>446</v>
      </c>
      <c r="B459" s="49"/>
      <c r="C459" s="16"/>
      <c r="D459" s="16"/>
      <c r="E459" s="16"/>
      <c r="F459" s="16"/>
      <c r="G459" s="632"/>
      <c r="H459" s="633"/>
      <c r="I459" s="634"/>
      <c r="J459" s="16"/>
      <c r="K459" s="16"/>
      <c r="L459" s="16"/>
      <c r="M459" s="16"/>
      <c r="N459" s="16"/>
      <c r="O459" s="16"/>
      <c r="P459" s="16"/>
      <c r="Q459" s="31"/>
      <c r="R459" s="31"/>
      <c r="S459" s="31"/>
      <c r="T459" s="31"/>
    </row>
    <row r="460" spans="1:20" ht="15" thickBot="1" x14ac:dyDescent="0.4">
      <c r="A460" s="16">
        <v>447</v>
      </c>
      <c r="B460" s="49"/>
      <c r="C460" s="16"/>
      <c r="D460" s="16"/>
      <c r="E460" s="16"/>
      <c r="F460" s="16"/>
      <c r="G460" s="632"/>
      <c r="H460" s="633"/>
      <c r="I460" s="634"/>
      <c r="J460" s="16"/>
      <c r="K460" s="16"/>
      <c r="L460" s="16"/>
      <c r="M460" s="16"/>
      <c r="N460" s="16"/>
      <c r="O460" s="16"/>
      <c r="P460" s="16"/>
      <c r="Q460" s="31"/>
      <c r="R460" s="31"/>
      <c r="S460" s="31"/>
      <c r="T460" s="31"/>
    </row>
    <row r="461" spans="1:20" ht="15" thickBot="1" x14ac:dyDescent="0.4">
      <c r="A461" s="16">
        <v>448</v>
      </c>
      <c r="B461" s="49"/>
      <c r="C461" s="16"/>
      <c r="D461" s="16"/>
      <c r="E461" s="16"/>
      <c r="F461" s="16"/>
      <c r="G461" s="632"/>
      <c r="H461" s="633"/>
      <c r="I461" s="634"/>
      <c r="J461" s="16"/>
      <c r="K461" s="16"/>
      <c r="L461" s="16"/>
      <c r="M461" s="16"/>
      <c r="N461" s="16"/>
      <c r="O461" s="16"/>
      <c r="P461" s="16"/>
      <c r="Q461" s="31"/>
      <c r="R461" s="31"/>
      <c r="S461" s="31"/>
      <c r="T461" s="31"/>
    </row>
    <row r="462" spans="1:20" ht="15" thickBot="1" x14ac:dyDescent="0.4">
      <c r="A462" s="16">
        <v>449</v>
      </c>
      <c r="B462" s="49"/>
      <c r="C462" s="16"/>
      <c r="D462" s="16"/>
      <c r="E462" s="16"/>
      <c r="F462" s="16"/>
      <c r="G462" s="632"/>
      <c r="H462" s="633"/>
      <c r="I462" s="634"/>
      <c r="J462" s="16"/>
      <c r="K462" s="16"/>
      <c r="L462" s="16"/>
      <c r="M462" s="16"/>
      <c r="N462" s="16"/>
      <c r="O462" s="16"/>
      <c r="P462" s="16"/>
      <c r="Q462" s="31"/>
      <c r="R462" s="31"/>
      <c r="S462" s="31"/>
      <c r="T462" s="31"/>
    </row>
    <row r="463" spans="1:20" ht="15" thickBot="1" x14ac:dyDescent="0.4">
      <c r="A463" s="16">
        <v>450</v>
      </c>
      <c r="B463" s="49"/>
      <c r="C463" s="16"/>
      <c r="D463" s="16"/>
      <c r="E463" s="16"/>
      <c r="F463" s="16"/>
      <c r="G463" s="632"/>
      <c r="H463" s="633"/>
      <c r="I463" s="634"/>
      <c r="J463" s="16"/>
      <c r="K463" s="16"/>
      <c r="L463" s="16"/>
      <c r="M463" s="16"/>
      <c r="N463" s="16"/>
      <c r="O463" s="16"/>
      <c r="P463" s="16"/>
      <c r="Q463" s="31"/>
      <c r="R463" s="31"/>
      <c r="S463" s="31"/>
      <c r="T463" s="31"/>
    </row>
    <row r="464" spans="1:20" ht="15" thickBot="1" x14ac:dyDescent="0.4">
      <c r="A464" s="16">
        <v>451</v>
      </c>
      <c r="B464" s="49"/>
      <c r="C464" s="16"/>
      <c r="D464" s="16"/>
      <c r="E464" s="16"/>
      <c r="F464" s="16"/>
      <c r="G464" s="632"/>
      <c r="H464" s="633"/>
      <c r="I464" s="634"/>
      <c r="J464" s="16"/>
      <c r="K464" s="16"/>
      <c r="L464" s="16"/>
      <c r="M464" s="16"/>
      <c r="N464" s="16"/>
      <c r="O464" s="16"/>
      <c r="P464" s="16"/>
      <c r="Q464" s="31"/>
      <c r="R464" s="31"/>
      <c r="S464" s="31"/>
      <c r="T464" s="31"/>
    </row>
    <row r="465" spans="1:20" ht="15" thickBot="1" x14ac:dyDescent="0.4">
      <c r="A465" s="16">
        <v>452</v>
      </c>
      <c r="B465" s="49"/>
      <c r="C465" s="16"/>
      <c r="D465" s="16"/>
      <c r="E465" s="16"/>
      <c r="F465" s="16"/>
      <c r="G465" s="632"/>
      <c r="H465" s="633"/>
      <c r="I465" s="634"/>
      <c r="J465" s="16"/>
      <c r="K465" s="16"/>
      <c r="L465" s="16"/>
      <c r="M465" s="16"/>
      <c r="N465" s="16"/>
      <c r="O465" s="16"/>
      <c r="P465" s="16"/>
      <c r="Q465" s="31"/>
      <c r="R465" s="31"/>
      <c r="S465" s="31"/>
      <c r="T465" s="31"/>
    </row>
    <row r="466" spans="1:20" ht="15" thickBot="1" x14ac:dyDescent="0.4">
      <c r="A466" s="16">
        <v>453</v>
      </c>
      <c r="B466" s="49"/>
      <c r="C466" s="16"/>
      <c r="D466" s="16"/>
      <c r="E466" s="16"/>
      <c r="F466" s="16"/>
      <c r="G466" s="632"/>
      <c r="H466" s="633"/>
      <c r="I466" s="634"/>
      <c r="J466" s="16"/>
      <c r="K466" s="16"/>
      <c r="L466" s="16"/>
      <c r="M466" s="16"/>
      <c r="N466" s="16"/>
      <c r="O466" s="16"/>
      <c r="P466" s="16"/>
      <c r="Q466" s="31"/>
      <c r="R466" s="31"/>
      <c r="S466" s="31"/>
      <c r="T466" s="31"/>
    </row>
    <row r="467" spans="1:20" ht="15" thickBot="1" x14ac:dyDescent="0.4">
      <c r="A467" s="16">
        <v>454</v>
      </c>
      <c r="B467" s="49"/>
      <c r="C467" s="16"/>
      <c r="D467" s="16"/>
      <c r="E467" s="16"/>
      <c r="F467" s="16"/>
      <c r="G467" s="632"/>
      <c r="H467" s="633"/>
      <c r="I467" s="634"/>
      <c r="J467" s="16"/>
      <c r="K467" s="16"/>
      <c r="L467" s="16"/>
      <c r="M467" s="16"/>
      <c r="N467" s="16"/>
      <c r="O467" s="16"/>
      <c r="P467" s="16"/>
      <c r="Q467" s="31"/>
      <c r="R467" s="31"/>
      <c r="S467" s="31"/>
      <c r="T467" s="31"/>
    </row>
    <row r="468" spans="1:20" ht="15" thickBot="1" x14ac:dyDescent="0.4">
      <c r="A468" s="16">
        <v>455</v>
      </c>
      <c r="B468" s="49"/>
      <c r="C468" s="16"/>
      <c r="D468" s="16"/>
      <c r="E468" s="16"/>
      <c r="F468" s="16"/>
      <c r="G468" s="632"/>
      <c r="H468" s="633"/>
      <c r="I468" s="634"/>
      <c r="J468" s="16"/>
      <c r="K468" s="16"/>
      <c r="L468" s="16"/>
      <c r="M468" s="16"/>
      <c r="N468" s="16"/>
      <c r="O468" s="16"/>
      <c r="P468" s="16"/>
      <c r="Q468" s="31"/>
      <c r="R468" s="31"/>
      <c r="S468" s="31"/>
      <c r="T468" s="31"/>
    </row>
    <row r="469" spans="1:20" ht="15" thickBot="1" x14ac:dyDescent="0.4">
      <c r="A469" s="16">
        <v>456</v>
      </c>
      <c r="B469" s="49"/>
      <c r="C469" s="16"/>
      <c r="D469" s="16"/>
      <c r="E469" s="16"/>
      <c r="F469" s="16"/>
      <c r="G469" s="632"/>
      <c r="H469" s="633"/>
      <c r="I469" s="634"/>
      <c r="J469" s="16"/>
      <c r="K469" s="16"/>
      <c r="L469" s="16"/>
      <c r="M469" s="16"/>
      <c r="N469" s="16"/>
      <c r="O469" s="16"/>
      <c r="P469" s="16"/>
      <c r="Q469" s="31"/>
      <c r="R469" s="31"/>
      <c r="S469" s="31"/>
      <c r="T469" s="31"/>
    </row>
    <row r="470" spans="1:20" ht="15" thickBot="1" x14ac:dyDescent="0.4">
      <c r="A470" s="16">
        <v>457</v>
      </c>
      <c r="B470" s="49"/>
      <c r="C470" s="16"/>
      <c r="D470" s="16"/>
      <c r="E470" s="16"/>
      <c r="F470" s="16"/>
      <c r="G470" s="632"/>
      <c r="H470" s="633"/>
      <c r="I470" s="634"/>
      <c r="J470" s="16"/>
      <c r="K470" s="16"/>
      <c r="L470" s="16"/>
      <c r="M470" s="16"/>
      <c r="N470" s="16"/>
      <c r="O470" s="16"/>
      <c r="P470" s="16"/>
      <c r="Q470" s="31"/>
      <c r="R470" s="31"/>
      <c r="S470" s="31"/>
      <c r="T470" s="31"/>
    </row>
    <row r="471" spans="1:20" ht="15" thickBot="1" x14ac:dyDescent="0.4">
      <c r="A471" s="16">
        <v>458</v>
      </c>
      <c r="B471" s="49"/>
      <c r="C471" s="16"/>
      <c r="D471" s="16"/>
      <c r="E471" s="16"/>
      <c r="F471" s="16"/>
      <c r="G471" s="632"/>
      <c r="H471" s="633"/>
      <c r="I471" s="634"/>
      <c r="J471" s="16"/>
      <c r="K471" s="16"/>
      <c r="L471" s="16"/>
      <c r="M471" s="16"/>
      <c r="N471" s="16"/>
      <c r="O471" s="16"/>
      <c r="P471" s="16"/>
      <c r="Q471" s="31"/>
      <c r="R471" s="31"/>
      <c r="S471" s="31"/>
      <c r="T471" s="31"/>
    </row>
    <row r="472" spans="1:20" ht="15" thickBot="1" x14ac:dyDescent="0.4">
      <c r="A472" s="16">
        <v>459</v>
      </c>
      <c r="B472" s="49"/>
      <c r="C472" s="16"/>
      <c r="D472" s="16"/>
      <c r="E472" s="16"/>
      <c r="F472" s="16"/>
      <c r="G472" s="632"/>
      <c r="H472" s="633"/>
      <c r="I472" s="634"/>
      <c r="J472" s="16"/>
      <c r="K472" s="16"/>
      <c r="L472" s="16"/>
      <c r="M472" s="16"/>
      <c r="N472" s="16"/>
      <c r="O472" s="16"/>
      <c r="P472" s="16"/>
      <c r="Q472" s="31"/>
      <c r="R472" s="31"/>
      <c r="S472" s="31"/>
      <c r="T472" s="31"/>
    </row>
    <row r="473" spans="1:20" ht="15" thickBot="1" x14ac:dyDescent="0.4">
      <c r="A473" s="16">
        <v>460</v>
      </c>
      <c r="B473" s="49"/>
      <c r="C473" s="16"/>
      <c r="D473" s="16"/>
      <c r="E473" s="16"/>
      <c r="F473" s="16"/>
      <c r="G473" s="632"/>
      <c r="H473" s="633"/>
      <c r="I473" s="634"/>
      <c r="J473" s="16"/>
      <c r="K473" s="16"/>
      <c r="L473" s="16"/>
      <c r="M473" s="16"/>
      <c r="N473" s="16"/>
      <c r="O473" s="16"/>
      <c r="P473" s="16"/>
      <c r="Q473" s="31"/>
      <c r="R473" s="31"/>
      <c r="S473" s="31"/>
      <c r="T473" s="31"/>
    </row>
    <row r="474" spans="1:20" ht="15" thickBot="1" x14ac:dyDescent="0.4">
      <c r="A474" s="16">
        <v>461</v>
      </c>
      <c r="B474" s="49"/>
      <c r="C474" s="16"/>
      <c r="D474" s="16"/>
      <c r="E474" s="16"/>
      <c r="F474" s="16"/>
      <c r="G474" s="632"/>
      <c r="H474" s="633"/>
      <c r="I474" s="634"/>
      <c r="J474" s="16"/>
      <c r="K474" s="16"/>
      <c r="L474" s="16"/>
      <c r="M474" s="16"/>
      <c r="N474" s="16"/>
      <c r="O474" s="16"/>
      <c r="P474" s="16"/>
      <c r="Q474" s="31"/>
      <c r="R474" s="31"/>
      <c r="S474" s="31"/>
      <c r="T474" s="31"/>
    </row>
    <row r="475" spans="1:20" ht="15" thickBot="1" x14ac:dyDescent="0.4">
      <c r="A475" s="16">
        <v>462</v>
      </c>
      <c r="B475" s="49"/>
      <c r="C475" s="16"/>
      <c r="D475" s="16"/>
      <c r="E475" s="16"/>
      <c r="F475" s="16"/>
      <c r="G475" s="632"/>
      <c r="H475" s="633"/>
      <c r="I475" s="634"/>
      <c r="J475" s="16"/>
      <c r="K475" s="16"/>
      <c r="L475" s="16"/>
      <c r="M475" s="16"/>
      <c r="N475" s="16"/>
      <c r="O475" s="16"/>
      <c r="P475" s="16"/>
      <c r="Q475" s="31"/>
      <c r="R475" s="31"/>
      <c r="S475" s="31"/>
      <c r="T475" s="31"/>
    </row>
    <row r="476" spans="1:20" ht="15" thickBot="1" x14ac:dyDescent="0.4">
      <c r="A476" s="16">
        <v>463</v>
      </c>
      <c r="B476" s="49"/>
      <c r="C476" s="16"/>
      <c r="D476" s="16"/>
      <c r="E476" s="16"/>
      <c r="F476" s="16"/>
      <c r="G476" s="632"/>
      <c r="H476" s="633"/>
      <c r="I476" s="634"/>
      <c r="J476" s="16"/>
      <c r="K476" s="16"/>
      <c r="L476" s="16"/>
      <c r="M476" s="16"/>
      <c r="N476" s="16"/>
      <c r="O476" s="16"/>
      <c r="P476" s="16"/>
      <c r="Q476" s="31"/>
      <c r="R476" s="31"/>
      <c r="S476" s="31"/>
      <c r="T476" s="31"/>
    </row>
    <row r="477" spans="1:20" ht="15" thickBot="1" x14ac:dyDescent="0.4">
      <c r="A477" s="16">
        <v>464</v>
      </c>
      <c r="B477" s="49"/>
      <c r="C477" s="16"/>
      <c r="D477" s="16"/>
      <c r="E477" s="16"/>
      <c r="F477" s="16"/>
      <c r="G477" s="632"/>
      <c r="H477" s="633"/>
      <c r="I477" s="634"/>
      <c r="J477" s="16"/>
      <c r="K477" s="16"/>
      <c r="L477" s="16"/>
      <c r="M477" s="16"/>
      <c r="N477" s="16"/>
      <c r="O477" s="16"/>
      <c r="P477" s="16"/>
      <c r="Q477" s="31"/>
      <c r="R477" s="31"/>
      <c r="S477" s="31"/>
      <c r="T477" s="31"/>
    </row>
    <row r="478" spans="1:20" ht="15" thickBot="1" x14ac:dyDescent="0.4">
      <c r="A478" s="16">
        <v>465</v>
      </c>
      <c r="B478" s="49"/>
      <c r="C478" s="16"/>
      <c r="D478" s="16"/>
      <c r="E478" s="16"/>
      <c r="F478" s="16"/>
      <c r="G478" s="632"/>
      <c r="H478" s="633"/>
      <c r="I478" s="634"/>
      <c r="J478" s="16"/>
      <c r="K478" s="16"/>
      <c r="L478" s="16"/>
      <c r="M478" s="16"/>
      <c r="N478" s="16"/>
      <c r="O478" s="16"/>
      <c r="P478" s="16"/>
      <c r="Q478" s="31"/>
      <c r="R478" s="31"/>
      <c r="S478" s="31"/>
      <c r="T478" s="31"/>
    </row>
    <row r="479" spans="1:20" ht="15" thickBot="1" x14ac:dyDescent="0.4">
      <c r="A479" s="16">
        <v>466</v>
      </c>
      <c r="B479" s="49"/>
      <c r="C479" s="16"/>
      <c r="D479" s="16"/>
      <c r="E479" s="16"/>
      <c r="F479" s="16"/>
      <c r="G479" s="632"/>
      <c r="H479" s="633"/>
      <c r="I479" s="634"/>
      <c r="J479" s="16"/>
      <c r="K479" s="16"/>
      <c r="L479" s="16"/>
      <c r="M479" s="16"/>
      <c r="N479" s="16"/>
      <c r="O479" s="16"/>
      <c r="P479" s="16"/>
      <c r="Q479" s="31"/>
      <c r="R479" s="31"/>
      <c r="S479" s="31"/>
      <c r="T479" s="31"/>
    </row>
    <row r="480" spans="1:20" ht="15" thickBot="1" x14ac:dyDescent="0.4">
      <c r="A480" s="16">
        <v>467</v>
      </c>
      <c r="B480" s="49"/>
      <c r="C480" s="16"/>
      <c r="D480" s="16"/>
      <c r="E480" s="16"/>
      <c r="F480" s="16"/>
      <c r="G480" s="632"/>
      <c r="H480" s="633"/>
      <c r="I480" s="634"/>
      <c r="J480" s="16"/>
      <c r="K480" s="16"/>
      <c r="L480" s="16"/>
      <c r="M480" s="16"/>
      <c r="N480" s="16"/>
      <c r="O480" s="16"/>
      <c r="P480" s="16"/>
      <c r="Q480" s="31"/>
      <c r="R480" s="31"/>
      <c r="S480" s="31"/>
      <c r="T480" s="31"/>
    </row>
    <row r="481" spans="1:20" ht="15" thickBot="1" x14ac:dyDescent="0.4">
      <c r="A481" s="16">
        <v>468</v>
      </c>
      <c r="B481" s="49"/>
      <c r="C481" s="16"/>
      <c r="D481" s="16"/>
      <c r="E481" s="16"/>
      <c r="F481" s="16"/>
      <c r="G481" s="632"/>
      <c r="H481" s="633"/>
      <c r="I481" s="634"/>
      <c r="J481" s="16"/>
      <c r="K481" s="16"/>
      <c r="L481" s="16"/>
      <c r="M481" s="16"/>
      <c r="N481" s="16"/>
      <c r="O481" s="16"/>
      <c r="P481" s="16"/>
      <c r="Q481" s="31"/>
      <c r="R481" s="31"/>
      <c r="S481" s="31"/>
      <c r="T481" s="31"/>
    </row>
    <row r="482" spans="1:20" ht="15" thickBot="1" x14ac:dyDescent="0.4">
      <c r="A482" s="16">
        <v>469</v>
      </c>
      <c r="B482" s="49"/>
      <c r="C482" s="16"/>
      <c r="D482" s="16"/>
      <c r="E482" s="16"/>
      <c r="F482" s="16"/>
      <c r="G482" s="632"/>
      <c r="H482" s="633"/>
      <c r="I482" s="634"/>
      <c r="J482" s="16"/>
      <c r="K482" s="16"/>
      <c r="L482" s="16"/>
      <c r="M482" s="16"/>
      <c r="N482" s="16"/>
      <c r="O482" s="16"/>
      <c r="P482" s="16"/>
      <c r="Q482" s="31"/>
      <c r="R482" s="31"/>
      <c r="S482" s="31"/>
      <c r="T482" s="31"/>
    </row>
    <row r="483" spans="1:20" ht="15" thickBot="1" x14ac:dyDescent="0.4">
      <c r="A483" s="16">
        <v>470</v>
      </c>
      <c r="B483" s="49"/>
      <c r="C483" s="16"/>
      <c r="D483" s="16"/>
      <c r="E483" s="16"/>
      <c r="F483" s="16"/>
      <c r="G483" s="632"/>
      <c r="H483" s="633"/>
      <c r="I483" s="634"/>
      <c r="J483" s="16"/>
      <c r="K483" s="16"/>
      <c r="L483" s="16"/>
      <c r="M483" s="16"/>
      <c r="N483" s="16"/>
      <c r="O483" s="16"/>
      <c r="P483" s="16"/>
      <c r="Q483" s="31"/>
      <c r="R483" s="31"/>
      <c r="S483" s="31"/>
      <c r="T483" s="31"/>
    </row>
    <row r="484" spans="1:20" ht="15" thickBot="1" x14ac:dyDescent="0.4">
      <c r="A484" s="16">
        <v>471</v>
      </c>
      <c r="B484" s="49"/>
      <c r="C484" s="16"/>
      <c r="D484" s="16"/>
      <c r="E484" s="16"/>
      <c r="F484" s="16"/>
      <c r="G484" s="632"/>
      <c r="H484" s="633"/>
      <c r="I484" s="634"/>
      <c r="J484" s="16"/>
      <c r="K484" s="16"/>
      <c r="L484" s="16"/>
      <c r="M484" s="16"/>
      <c r="N484" s="16"/>
      <c r="O484" s="16"/>
      <c r="P484" s="16"/>
      <c r="Q484" s="31"/>
      <c r="R484" s="31"/>
      <c r="S484" s="31"/>
      <c r="T484" s="31"/>
    </row>
    <row r="485" spans="1:20" ht="15" thickBot="1" x14ac:dyDescent="0.4">
      <c r="A485" s="16">
        <v>472</v>
      </c>
      <c r="B485" s="49"/>
      <c r="C485" s="16"/>
      <c r="D485" s="16"/>
      <c r="E485" s="16"/>
      <c r="F485" s="16"/>
      <c r="G485" s="632"/>
      <c r="H485" s="633"/>
      <c r="I485" s="634"/>
      <c r="J485" s="16"/>
      <c r="K485" s="16"/>
      <c r="L485" s="16"/>
      <c r="M485" s="16"/>
      <c r="N485" s="16"/>
      <c r="O485" s="16"/>
      <c r="P485" s="16"/>
      <c r="Q485" s="31"/>
      <c r="R485" s="31"/>
      <c r="S485" s="31"/>
      <c r="T485" s="31"/>
    </row>
    <row r="486" spans="1:20" ht="15" thickBot="1" x14ac:dyDescent="0.4">
      <c r="A486" s="16">
        <v>473</v>
      </c>
      <c r="B486" s="49"/>
      <c r="C486" s="16"/>
      <c r="D486" s="16"/>
      <c r="E486" s="16"/>
      <c r="F486" s="16"/>
      <c r="G486" s="632"/>
      <c r="H486" s="633"/>
      <c r="I486" s="634"/>
      <c r="J486" s="16"/>
      <c r="K486" s="16"/>
      <c r="L486" s="16"/>
      <c r="M486" s="16"/>
      <c r="N486" s="16"/>
      <c r="O486" s="16"/>
      <c r="P486" s="16"/>
      <c r="Q486" s="31"/>
      <c r="R486" s="31"/>
      <c r="S486" s="31"/>
      <c r="T486" s="31"/>
    </row>
    <row r="487" spans="1:20" ht="15" thickBot="1" x14ac:dyDescent="0.4">
      <c r="A487" s="16">
        <v>474</v>
      </c>
      <c r="B487" s="49"/>
      <c r="C487" s="16"/>
      <c r="D487" s="16"/>
      <c r="E487" s="16"/>
      <c r="F487" s="16"/>
      <c r="G487" s="632"/>
      <c r="H487" s="633"/>
      <c r="I487" s="634"/>
      <c r="J487" s="16"/>
      <c r="K487" s="16"/>
      <c r="L487" s="16"/>
      <c r="M487" s="16"/>
      <c r="N487" s="16"/>
      <c r="O487" s="16"/>
      <c r="P487" s="16"/>
      <c r="Q487" s="31"/>
      <c r="R487" s="31"/>
      <c r="S487" s="31"/>
      <c r="T487" s="31"/>
    </row>
    <row r="488" spans="1:20" ht="15" thickBot="1" x14ac:dyDescent="0.4">
      <c r="A488" s="16">
        <v>475</v>
      </c>
      <c r="B488" s="49"/>
      <c r="C488" s="16"/>
      <c r="D488" s="16"/>
      <c r="E488" s="16"/>
      <c r="F488" s="16"/>
      <c r="G488" s="632"/>
      <c r="H488" s="633"/>
      <c r="I488" s="634"/>
      <c r="J488" s="16"/>
      <c r="K488" s="16"/>
      <c r="L488" s="16"/>
      <c r="M488" s="16"/>
      <c r="N488" s="16"/>
      <c r="O488" s="16"/>
      <c r="P488" s="16"/>
      <c r="Q488" s="31"/>
      <c r="R488" s="31"/>
      <c r="S488" s="31"/>
      <c r="T488" s="31"/>
    </row>
    <row r="489" spans="1:20" ht="15" thickBot="1" x14ac:dyDescent="0.4">
      <c r="A489" s="16">
        <v>476</v>
      </c>
      <c r="B489" s="49"/>
      <c r="C489" s="16"/>
      <c r="D489" s="16"/>
      <c r="E489" s="16"/>
      <c r="F489" s="16"/>
      <c r="G489" s="632"/>
      <c r="H489" s="633"/>
      <c r="I489" s="634"/>
      <c r="J489" s="16"/>
      <c r="K489" s="16"/>
      <c r="L489" s="16"/>
      <c r="M489" s="16"/>
      <c r="N489" s="16"/>
      <c r="O489" s="16"/>
      <c r="P489" s="16"/>
      <c r="Q489" s="31"/>
      <c r="R489" s="31"/>
      <c r="S489" s="31"/>
      <c r="T489" s="31"/>
    </row>
    <row r="490" spans="1:20" ht="15" thickBot="1" x14ac:dyDescent="0.4">
      <c r="A490" s="16">
        <v>477</v>
      </c>
      <c r="B490" s="49"/>
      <c r="C490" s="16"/>
      <c r="D490" s="16"/>
      <c r="E490" s="16"/>
      <c r="F490" s="16"/>
      <c r="G490" s="632"/>
      <c r="H490" s="633"/>
      <c r="I490" s="634"/>
      <c r="J490" s="16"/>
      <c r="K490" s="16"/>
      <c r="L490" s="16"/>
      <c r="M490" s="16"/>
      <c r="N490" s="16"/>
      <c r="O490" s="16"/>
      <c r="P490" s="16"/>
      <c r="Q490" s="31"/>
      <c r="R490" s="31"/>
      <c r="S490" s="31"/>
      <c r="T490" s="31"/>
    </row>
    <row r="491" spans="1:20" ht="15" thickBot="1" x14ac:dyDescent="0.4">
      <c r="A491" s="16">
        <v>478</v>
      </c>
      <c r="B491" s="49"/>
      <c r="C491" s="16"/>
      <c r="D491" s="16"/>
      <c r="E491" s="16"/>
      <c r="F491" s="16"/>
      <c r="G491" s="632"/>
      <c r="H491" s="633"/>
      <c r="I491" s="634"/>
      <c r="J491" s="16"/>
      <c r="K491" s="16"/>
      <c r="L491" s="16"/>
      <c r="M491" s="16"/>
      <c r="N491" s="16"/>
      <c r="O491" s="16"/>
      <c r="P491" s="16"/>
      <c r="Q491" s="31"/>
      <c r="R491" s="31"/>
      <c r="S491" s="31"/>
      <c r="T491" s="31"/>
    </row>
    <row r="492" spans="1:20" ht="15" thickBot="1" x14ac:dyDescent="0.4">
      <c r="A492" s="16">
        <v>479</v>
      </c>
      <c r="B492" s="49"/>
      <c r="C492" s="16"/>
      <c r="D492" s="16"/>
      <c r="E492" s="16"/>
      <c r="F492" s="16"/>
      <c r="G492" s="632"/>
      <c r="H492" s="633"/>
      <c r="I492" s="634"/>
      <c r="J492" s="16"/>
      <c r="K492" s="16"/>
      <c r="L492" s="16"/>
      <c r="M492" s="16"/>
      <c r="N492" s="16"/>
      <c r="O492" s="16"/>
      <c r="P492" s="16"/>
      <c r="Q492" s="31"/>
      <c r="R492" s="31"/>
      <c r="S492" s="31"/>
      <c r="T492" s="31"/>
    </row>
    <row r="493" spans="1:20" ht="15" thickBot="1" x14ac:dyDescent="0.4">
      <c r="A493" s="16">
        <v>480</v>
      </c>
      <c r="B493" s="49"/>
      <c r="C493" s="16"/>
      <c r="D493" s="16"/>
      <c r="E493" s="16"/>
      <c r="F493" s="16"/>
      <c r="G493" s="632"/>
      <c r="H493" s="633"/>
      <c r="I493" s="634"/>
      <c r="J493" s="16"/>
      <c r="K493" s="16"/>
      <c r="L493" s="16"/>
      <c r="M493" s="16"/>
      <c r="N493" s="16"/>
      <c r="O493" s="16"/>
      <c r="P493" s="16"/>
      <c r="Q493" s="31"/>
      <c r="R493" s="31"/>
      <c r="S493" s="31"/>
      <c r="T493" s="31"/>
    </row>
    <row r="494" spans="1:20" ht="15" thickBot="1" x14ac:dyDescent="0.4">
      <c r="A494" s="16">
        <v>481</v>
      </c>
      <c r="B494" s="49"/>
      <c r="C494" s="16"/>
      <c r="D494" s="16"/>
      <c r="E494" s="16"/>
      <c r="F494" s="16"/>
      <c r="G494" s="632"/>
      <c r="H494" s="633"/>
      <c r="I494" s="634"/>
      <c r="J494" s="16"/>
      <c r="K494" s="16"/>
      <c r="L494" s="16"/>
      <c r="M494" s="16"/>
      <c r="N494" s="16"/>
      <c r="O494" s="16"/>
      <c r="P494" s="16"/>
      <c r="Q494" s="31"/>
      <c r="R494" s="31"/>
      <c r="S494" s="31"/>
      <c r="T494" s="31"/>
    </row>
    <row r="495" spans="1:20" ht="15" thickBot="1" x14ac:dyDescent="0.4">
      <c r="A495" s="16">
        <v>482</v>
      </c>
      <c r="B495" s="49"/>
      <c r="C495" s="16"/>
      <c r="D495" s="16"/>
      <c r="E495" s="16"/>
      <c r="F495" s="16"/>
      <c r="G495" s="632"/>
      <c r="H495" s="633"/>
      <c r="I495" s="634"/>
      <c r="J495" s="16"/>
      <c r="K495" s="16"/>
      <c r="L495" s="16"/>
      <c r="M495" s="16"/>
      <c r="N495" s="16"/>
      <c r="O495" s="16"/>
      <c r="P495" s="16"/>
      <c r="Q495" s="31"/>
      <c r="R495" s="31"/>
      <c r="S495" s="31"/>
      <c r="T495" s="31"/>
    </row>
    <row r="496" spans="1:20" ht="15" thickBot="1" x14ac:dyDescent="0.4">
      <c r="A496" s="16">
        <v>483</v>
      </c>
      <c r="B496" s="49"/>
      <c r="C496" s="16"/>
      <c r="D496" s="16"/>
      <c r="E496" s="16"/>
      <c r="F496" s="16"/>
      <c r="G496" s="632"/>
      <c r="H496" s="633"/>
      <c r="I496" s="634"/>
      <c r="J496" s="16"/>
      <c r="K496" s="16"/>
      <c r="L496" s="16"/>
      <c r="M496" s="16"/>
      <c r="N496" s="16"/>
      <c r="O496" s="16"/>
      <c r="P496" s="16"/>
      <c r="Q496" s="31"/>
      <c r="R496" s="31"/>
      <c r="S496" s="31"/>
      <c r="T496" s="31"/>
    </row>
    <row r="497" spans="1:20" ht="15" thickBot="1" x14ac:dyDescent="0.4">
      <c r="A497" s="16">
        <v>484</v>
      </c>
      <c r="B497" s="49"/>
      <c r="C497" s="16"/>
      <c r="D497" s="16"/>
      <c r="E497" s="16"/>
      <c r="F497" s="16"/>
      <c r="G497" s="632"/>
      <c r="H497" s="633"/>
      <c r="I497" s="634"/>
      <c r="J497" s="16"/>
      <c r="K497" s="16"/>
      <c r="L497" s="16"/>
      <c r="M497" s="16"/>
      <c r="N497" s="16"/>
      <c r="O497" s="16"/>
      <c r="P497" s="16"/>
      <c r="Q497" s="31"/>
      <c r="R497" s="31"/>
      <c r="S497" s="31"/>
      <c r="T497" s="31"/>
    </row>
    <row r="498" spans="1:20" ht="15" thickBot="1" x14ac:dyDescent="0.4">
      <c r="A498" s="16">
        <v>485</v>
      </c>
      <c r="B498" s="49"/>
      <c r="C498" s="16"/>
      <c r="D498" s="16"/>
      <c r="E498" s="16"/>
      <c r="F498" s="16"/>
      <c r="G498" s="632"/>
      <c r="H498" s="633"/>
      <c r="I498" s="634"/>
      <c r="J498" s="16"/>
      <c r="K498" s="16"/>
      <c r="L498" s="16"/>
      <c r="M498" s="16"/>
      <c r="N498" s="16"/>
      <c r="O498" s="16"/>
      <c r="P498" s="16"/>
      <c r="Q498" s="31"/>
      <c r="R498" s="31"/>
      <c r="S498" s="31"/>
      <c r="T498" s="31"/>
    </row>
    <row r="499" spans="1:20" ht="15" thickBot="1" x14ac:dyDescent="0.4">
      <c r="A499" s="16">
        <v>486</v>
      </c>
      <c r="B499" s="49"/>
      <c r="C499" s="16"/>
      <c r="D499" s="16"/>
      <c r="E499" s="16"/>
      <c r="F499" s="16"/>
      <c r="G499" s="632"/>
      <c r="H499" s="633"/>
      <c r="I499" s="634"/>
      <c r="J499" s="16"/>
      <c r="K499" s="16"/>
      <c r="L499" s="16"/>
      <c r="M499" s="16"/>
      <c r="N499" s="16"/>
      <c r="O499" s="16"/>
      <c r="P499" s="16"/>
      <c r="Q499" s="31"/>
      <c r="R499" s="31"/>
      <c r="S499" s="31"/>
      <c r="T499" s="31"/>
    </row>
    <row r="500" spans="1:20" ht="15" thickBot="1" x14ac:dyDescent="0.4">
      <c r="A500" s="16">
        <v>487</v>
      </c>
      <c r="B500" s="49"/>
      <c r="C500" s="16"/>
      <c r="D500" s="16"/>
      <c r="E500" s="16"/>
      <c r="F500" s="16"/>
      <c r="G500" s="632"/>
      <c r="H500" s="633"/>
      <c r="I500" s="634"/>
      <c r="J500" s="16"/>
      <c r="K500" s="16"/>
      <c r="L500" s="16"/>
      <c r="M500" s="16"/>
      <c r="N500" s="16"/>
      <c r="O500" s="16"/>
      <c r="P500" s="16"/>
      <c r="Q500" s="31"/>
      <c r="R500" s="31"/>
      <c r="S500" s="31"/>
      <c r="T500" s="31"/>
    </row>
    <row r="501" spans="1:20" ht="15" thickBot="1" x14ac:dyDescent="0.4">
      <c r="A501" s="16">
        <v>488</v>
      </c>
      <c r="B501" s="49"/>
      <c r="C501" s="16"/>
      <c r="D501" s="16"/>
      <c r="E501" s="16"/>
      <c r="F501" s="16"/>
      <c r="G501" s="632"/>
      <c r="H501" s="633"/>
      <c r="I501" s="634"/>
      <c r="J501" s="16"/>
      <c r="K501" s="16"/>
      <c r="L501" s="16"/>
      <c r="M501" s="16"/>
      <c r="N501" s="16"/>
      <c r="O501" s="16"/>
      <c r="P501" s="16"/>
      <c r="Q501" s="31"/>
      <c r="R501" s="31"/>
      <c r="S501" s="31"/>
      <c r="T501" s="31"/>
    </row>
    <row r="502" spans="1:20" ht="15" thickBot="1" x14ac:dyDescent="0.4">
      <c r="A502" s="16">
        <v>489</v>
      </c>
      <c r="B502" s="49"/>
      <c r="C502" s="16"/>
      <c r="D502" s="16"/>
      <c r="E502" s="16"/>
      <c r="F502" s="16"/>
      <c r="G502" s="632"/>
      <c r="H502" s="633"/>
      <c r="I502" s="634"/>
      <c r="J502" s="16"/>
      <c r="K502" s="16"/>
      <c r="L502" s="16"/>
      <c r="M502" s="16"/>
      <c r="N502" s="16"/>
      <c r="O502" s="16"/>
      <c r="P502" s="16"/>
      <c r="Q502" s="31"/>
      <c r="R502" s="31"/>
      <c r="S502" s="31"/>
      <c r="T502" s="31"/>
    </row>
    <row r="503" spans="1:20" ht="15" thickBot="1" x14ac:dyDescent="0.4">
      <c r="A503" s="16">
        <v>490</v>
      </c>
      <c r="B503" s="49"/>
      <c r="C503" s="16"/>
      <c r="D503" s="16"/>
      <c r="E503" s="16"/>
      <c r="F503" s="16"/>
      <c r="G503" s="632"/>
      <c r="H503" s="633"/>
      <c r="I503" s="634"/>
      <c r="J503" s="16"/>
      <c r="K503" s="16"/>
      <c r="L503" s="16"/>
      <c r="M503" s="16"/>
      <c r="N503" s="16"/>
      <c r="O503" s="16"/>
      <c r="P503" s="16"/>
      <c r="Q503" s="31"/>
      <c r="R503" s="31"/>
      <c r="S503" s="31"/>
      <c r="T503" s="31"/>
    </row>
    <row r="504" spans="1:20" ht="15" thickBot="1" x14ac:dyDescent="0.4">
      <c r="A504" s="16">
        <v>491</v>
      </c>
      <c r="B504" s="49"/>
      <c r="C504" s="16"/>
      <c r="D504" s="16"/>
      <c r="E504" s="16"/>
      <c r="F504" s="16"/>
      <c r="G504" s="632"/>
      <c r="H504" s="633"/>
      <c r="I504" s="634"/>
      <c r="J504" s="16"/>
      <c r="K504" s="16"/>
      <c r="L504" s="16"/>
      <c r="M504" s="16"/>
      <c r="N504" s="16"/>
      <c r="O504" s="16"/>
      <c r="P504" s="16"/>
      <c r="Q504" s="31"/>
      <c r="R504" s="31"/>
      <c r="S504" s="31"/>
      <c r="T504" s="31"/>
    </row>
    <row r="505" spans="1:20" ht="15" thickBot="1" x14ac:dyDescent="0.4">
      <c r="A505" s="16">
        <v>492</v>
      </c>
      <c r="B505" s="49"/>
      <c r="C505" s="16"/>
      <c r="D505" s="16"/>
      <c r="E505" s="16"/>
      <c r="F505" s="16"/>
      <c r="G505" s="648"/>
      <c r="H505" s="649"/>
      <c r="I505" s="650"/>
      <c r="J505" s="339"/>
      <c r="K505" s="16"/>
      <c r="L505" s="16"/>
      <c r="M505" s="16"/>
      <c r="N505" s="16"/>
      <c r="O505" s="16"/>
      <c r="P505" s="16"/>
      <c r="Q505" s="31"/>
      <c r="R505" s="31"/>
      <c r="S505" s="31"/>
      <c r="T505" s="31"/>
    </row>
    <row r="506" spans="1:20" ht="15" thickBot="1" x14ac:dyDescent="0.4">
      <c r="A506" s="16">
        <v>493</v>
      </c>
      <c r="B506" s="49"/>
      <c r="C506" s="16"/>
      <c r="D506" s="16"/>
      <c r="E506" s="16"/>
      <c r="F506" s="16"/>
      <c r="G506" s="648"/>
      <c r="H506" s="649"/>
      <c r="I506" s="650"/>
      <c r="J506" s="339"/>
      <c r="K506" s="16"/>
      <c r="L506" s="16"/>
      <c r="M506" s="16"/>
      <c r="N506" s="16"/>
      <c r="O506" s="16"/>
      <c r="P506" s="16"/>
      <c r="Q506" s="31"/>
      <c r="R506" s="31"/>
      <c r="S506" s="31"/>
      <c r="T506" s="31"/>
    </row>
    <row r="507" spans="1:20" ht="15" thickBot="1" x14ac:dyDescent="0.4">
      <c r="A507" s="16">
        <v>494</v>
      </c>
      <c r="B507" s="49"/>
      <c r="C507" s="16"/>
      <c r="D507" s="16"/>
      <c r="E507" s="16"/>
      <c r="F507" s="16"/>
      <c r="G507" s="648"/>
      <c r="H507" s="649"/>
      <c r="I507" s="650"/>
      <c r="J507" s="339"/>
      <c r="K507" s="16"/>
      <c r="L507" s="16"/>
      <c r="M507" s="16"/>
      <c r="N507" s="16"/>
      <c r="O507" s="16"/>
      <c r="P507" s="16"/>
      <c r="Q507" s="31"/>
      <c r="R507" s="31"/>
      <c r="S507" s="31"/>
      <c r="T507" s="31"/>
    </row>
    <row r="508" spans="1:20" ht="15" thickBot="1" x14ac:dyDescent="0.4">
      <c r="A508" s="16">
        <v>495</v>
      </c>
      <c r="B508" s="49"/>
      <c r="C508" s="16"/>
      <c r="D508" s="16"/>
      <c r="E508" s="16"/>
      <c r="F508" s="16"/>
      <c r="G508" s="648"/>
      <c r="H508" s="649"/>
      <c r="I508" s="650"/>
      <c r="J508" s="339"/>
      <c r="K508" s="16"/>
      <c r="L508" s="16"/>
      <c r="M508" s="16"/>
      <c r="N508" s="16"/>
      <c r="O508" s="16"/>
      <c r="P508" s="16"/>
      <c r="Q508" s="31"/>
      <c r="R508" s="31"/>
      <c r="S508" s="31"/>
      <c r="T508" s="31"/>
    </row>
    <row r="509" spans="1:20" ht="15" thickBot="1" x14ac:dyDescent="0.4">
      <c r="A509" s="16">
        <v>496</v>
      </c>
      <c r="B509" s="49"/>
      <c r="C509" s="16"/>
      <c r="D509" s="16"/>
      <c r="E509" s="16"/>
      <c r="F509" s="16"/>
      <c r="G509" s="648"/>
      <c r="H509" s="649"/>
      <c r="I509" s="650"/>
      <c r="J509" s="339"/>
      <c r="K509" s="16"/>
      <c r="L509" s="16"/>
      <c r="M509" s="16"/>
      <c r="N509" s="16"/>
      <c r="O509" s="16"/>
      <c r="P509" s="16"/>
      <c r="Q509" s="31"/>
      <c r="R509" s="31"/>
      <c r="S509" s="31"/>
      <c r="T509" s="31"/>
    </row>
    <row r="510" spans="1:20" ht="15" thickBot="1" x14ac:dyDescent="0.4">
      <c r="A510" s="16">
        <v>497</v>
      </c>
      <c r="B510" s="49"/>
      <c r="C510" s="16"/>
      <c r="D510" s="16"/>
      <c r="E510" s="16"/>
      <c r="F510" s="16"/>
      <c r="G510" s="648"/>
      <c r="H510" s="649"/>
      <c r="I510" s="650"/>
      <c r="J510" s="339"/>
      <c r="K510" s="16"/>
      <c r="L510" s="16"/>
      <c r="M510" s="16"/>
      <c r="N510" s="16"/>
      <c r="O510" s="16"/>
      <c r="P510" s="16"/>
      <c r="Q510" s="31"/>
      <c r="R510" s="31"/>
      <c r="S510" s="31"/>
      <c r="T510" s="31"/>
    </row>
    <row r="511" spans="1:20" ht="15" thickBot="1" x14ac:dyDescent="0.4">
      <c r="A511" s="16">
        <v>498</v>
      </c>
      <c r="B511" s="49"/>
      <c r="C511" s="16"/>
      <c r="D511" s="16"/>
      <c r="E511" s="16"/>
      <c r="F511" s="16"/>
      <c r="G511" s="648"/>
      <c r="H511" s="649"/>
      <c r="I511" s="650"/>
      <c r="J511" s="339"/>
      <c r="K511" s="16"/>
      <c r="L511" s="16"/>
      <c r="M511" s="16"/>
      <c r="N511" s="16"/>
      <c r="O511" s="16"/>
      <c r="P511" s="16"/>
      <c r="Q511" s="31"/>
      <c r="R511" s="31"/>
      <c r="S511" s="31"/>
      <c r="T511" s="31"/>
    </row>
    <row r="512" spans="1:20" ht="15" thickBot="1" x14ac:dyDescent="0.4">
      <c r="A512" s="16">
        <v>499</v>
      </c>
      <c r="B512" s="49"/>
      <c r="C512" s="16"/>
      <c r="D512" s="16"/>
      <c r="E512" s="16"/>
      <c r="F512" s="16"/>
      <c r="G512" s="648"/>
      <c r="H512" s="649"/>
      <c r="I512" s="650"/>
      <c r="J512" s="339"/>
      <c r="K512" s="16"/>
      <c r="L512" s="16"/>
      <c r="M512" s="16"/>
      <c r="N512" s="16"/>
      <c r="O512" s="16"/>
      <c r="P512" s="16"/>
      <c r="Q512" s="31"/>
      <c r="R512" s="31"/>
      <c r="S512" s="31"/>
      <c r="T512" s="31"/>
    </row>
    <row r="513" spans="1:20" ht="15" thickBot="1" x14ac:dyDescent="0.4">
      <c r="A513" s="16">
        <v>500</v>
      </c>
      <c r="B513" s="49"/>
      <c r="C513" s="16"/>
      <c r="D513" s="16"/>
      <c r="E513" s="16"/>
      <c r="F513" s="16"/>
      <c r="G513" s="648"/>
      <c r="H513" s="649"/>
      <c r="I513" s="650"/>
      <c r="J513" s="339"/>
      <c r="K513" s="16"/>
      <c r="L513" s="16"/>
      <c r="M513" s="16"/>
      <c r="N513" s="16"/>
      <c r="O513" s="16"/>
      <c r="P513" s="16"/>
      <c r="Q513" s="31"/>
      <c r="R513" s="31"/>
      <c r="S513" s="31"/>
      <c r="T513" s="31"/>
    </row>
    <row r="514" spans="1:20" x14ac:dyDescent="0.35">
      <c r="A514" s="12"/>
    </row>
  </sheetData>
  <mergeCells count="497">
    <mergeCell ref="A1:P1"/>
    <mergeCell ref="M3:N3"/>
    <mergeCell ref="O3:P3"/>
    <mergeCell ref="A12:P12"/>
    <mergeCell ref="G13:I13"/>
    <mergeCell ref="G14:I14"/>
    <mergeCell ref="G21:I21"/>
    <mergeCell ref="G22:I22"/>
    <mergeCell ref="G23:I23"/>
    <mergeCell ref="G24:I24"/>
    <mergeCell ref="G25:I25"/>
    <mergeCell ref="G26:I26"/>
    <mergeCell ref="G15:I15"/>
    <mergeCell ref="G16:I16"/>
    <mergeCell ref="G17:I17"/>
    <mergeCell ref="G18:I18"/>
    <mergeCell ref="G19:I19"/>
    <mergeCell ref="G20:I20"/>
    <mergeCell ref="G33:I33"/>
    <mergeCell ref="G34:I34"/>
    <mergeCell ref="G35:I35"/>
    <mergeCell ref="G36:I36"/>
    <mergeCell ref="G37:I37"/>
    <mergeCell ref="G38:I38"/>
    <mergeCell ref="G27:I27"/>
    <mergeCell ref="G28:I28"/>
    <mergeCell ref="G29:I29"/>
    <mergeCell ref="G30:I30"/>
    <mergeCell ref="G31:I31"/>
    <mergeCell ref="G32:I32"/>
    <mergeCell ref="G45:I45"/>
    <mergeCell ref="G46:I46"/>
    <mergeCell ref="G47:I47"/>
    <mergeCell ref="G48:I48"/>
    <mergeCell ref="G49:I49"/>
    <mergeCell ref="G50:I50"/>
    <mergeCell ref="G39:I39"/>
    <mergeCell ref="G40:I40"/>
    <mergeCell ref="G41:I41"/>
    <mergeCell ref="G42:I42"/>
    <mergeCell ref="G43:I43"/>
    <mergeCell ref="G44:I44"/>
    <mergeCell ref="G57:I57"/>
    <mergeCell ref="G58:I58"/>
    <mergeCell ref="G59:I59"/>
    <mergeCell ref="G60:I60"/>
    <mergeCell ref="G61:I61"/>
    <mergeCell ref="G62:I62"/>
    <mergeCell ref="G51:I51"/>
    <mergeCell ref="G52:I52"/>
    <mergeCell ref="G53:I53"/>
    <mergeCell ref="G54:I54"/>
    <mergeCell ref="G55:I55"/>
    <mergeCell ref="G56:I56"/>
    <mergeCell ref="G69:I69"/>
    <mergeCell ref="G70:I70"/>
    <mergeCell ref="G71:I71"/>
    <mergeCell ref="G72:I72"/>
    <mergeCell ref="G73:I73"/>
    <mergeCell ref="G74:I74"/>
    <mergeCell ref="G63:I63"/>
    <mergeCell ref="G64:I64"/>
    <mergeCell ref="G65:I65"/>
    <mergeCell ref="G66:I66"/>
    <mergeCell ref="G67:I67"/>
    <mergeCell ref="G68:I68"/>
    <mergeCell ref="G81:I81"/>
    <mergeCell ref="G82:I82"/>
    <mergeCell ref="G83:I83"/>
    <mergeCell ref="G84:I84"/>
    <mergeCell ref="G85:I85"/>
    <mergeCell ref="G86:I86"/>
    <mergeCell ref="G75:I75"/>
    <mergeCell ref="G76:I76"/>
    <mergeCell ref="G77:I77"/>
    <mergeCell ref="G78:I78"/>
    <mergeCell ref="G79:I79"/>
    <mergeCell ref="G80:I80"/>
    <mergeCell ref="G93:I93"/>
    <mergeCell ref="G94:I94"/>
    <mergeCell ref="G95:I95"/>
    <mergeCell ref="G96:I96"/>
    <mergeCell ref="G97:I97"/>
    <mergeCell ref="G98:I98"/>
    <mergeCell ref="G87:I87"/>
    <mergeCell ref="G88:I88"/>
    <mergeCell ref="G89:I89"/>
    <mergeCell ref="G90:I90"/>
    <mergeCell ref="G91:I91"/>
    <mergeCell ref="G92:I92"/>
    <mergeCell ref="G105:I105"/>
    <mergeCell ref="G106:I106"/>
    <mergeCell ref="G107:I107"/>
    <mergeCell ref="G108:I108"/>
    <mergeCell ref="G109:I109"/>
    <mergeCell ref="G110:I110"/>
    <mergeCell ref="G99:I99"/>
    <mergeCell ref="G100:I100"/>
    <mergeCell ref="G101:I101"/>
    <mergeCell ref="G102:I102"/>
    <mergeCell ref="G103:I103"/>
    <mergeCell ref="G104:I104"/>
    <mergeCell ref="G117:I117"/>
    <mergeCell ref="G118:I118"/>
    <mergeCell ref="G119:I119"/>
    <mergeCell ref="G120:I120"/>
    <mergeCell ref="G121:I121"/>
    <mergeCell ref="G122:I122"/>
    <mergeCell ref="G111:I111"/>
    <mergeCell ref="G112:I112"/>
    <mergeCell ref="G113:I113"/>
    <mergeCell ref="G114:I114"/>
    <mergeCell ref="G115:I115"/>
    <mergeCell ref="G116:I116"/>
    <mergeCell ref="G129:I129"/>
    <mergeCell ref="G130:I130"/>
    <mergeCell ref="G131:I131"/>
    <mergeCell ref="G132:I132"/>
    <mergeCell ref="G133:I133"/>
    <mergeCell ref="G134:I134"/>
    <mergeCell ref="G123:I123"/>
    <mergeCell ref="G124:I124"/>
    <mergeCell ref="G125:I125"/>
    <mergeCell ref="G126:I126"/>
    <mergeCell ref="G127:I127"/>
    <mergeCell ref="G128:I128"/>
    <mergeCell ref="G141:I141"/>
    <mergeCell ref="G142:I142"/>
    <mergeCell ref="G143:I143"/>
    <mergeCell ref="G144:I144"/>
    <mergeCell ref="G145:I145"/>
    <mergeCell ref="G146:I146"/>
    <mergeCell ref="G135:I135"/>
    <mergeCell ref="G136:I136"/>
    <mergeCell ref="G137:I137"/>
    <mergeCell ref="G138:I138"/>
    <mergeCell ref="G139:I139"/>
    <mergeCell ref="G140:I140"/>
    <mergeCell ref="G153:I153"/>
    <mergeCell ref="G154:I154"/>
    <mergeCell ref="G155:I155"/>
    <mergeCell ref="G156:I156"/>
    <mergeCell ref="G157:I157"/>
    <mergeCell ref="G158:I158"/>
    <mergeCell ref="G147:I147"/>
    <mergeCell ref="G148:I148"/>
    <mergeCell ref="G149:I149"/>
    <mergeCell ref="G150:I150"/>
    <mergeCell ref="G151:I151"/>
    <mergeCell ref="G152:I152"/>
    <mergeCell ref="G165:I165"/>
    <mergeCell ref="G166:I166"/>
    <mergeCell ref="G167:I167"/>
    <mergeCell ref="G168:I168"/>
    <mergeCell ref="G169:I169"/>
    <mergeCell ref="G170:I170"/>
    <mergeCell ref="G159:I159"/>
    <mergeCell ref="G160:I160"/>
    <mergeCell ref="G161:I161"/>
    <mergeCell ref="G162:I162"/>
    <mergeCell ref="G163:I163"/>
    <mergeCell ref="G164:I164"/>
    <mergeCell ref="G177:I177"/>
    <mergeCell ref="G178:I178"/>
    <mergeCell ref="G179:I179"/>
    <mergeCell ref="G180:I180"/>
    <mergeCell ref="G181:I181"/>
    <mergeCell ref="G182:I182"/>
    <mergeCell ref="G171:I171"/>
    <mergeCell ref="G172:I172"/>
    <mergeCell ref="G173:I173"/>
    <mergeCell ref="G174:I174"/>
    <mergeCell ref="G175:I175"/>
    <mergeCell ref="G176:I176"/>
    <mergeCell ref="G189:I189"/>
    <mergeCell ref="G190:I190"/>
    <mergeCell ref="G191:I191"/>
    <mergeCell ref="G192:I192"/>
    <mergeCell ref="G193:I193"/>
    <mergeCell ref="G194:I194"/>
    <mergeCell ref="G183:I183"/>
    <mergeCell ref="G184:I184"/>
    <mergeCell ref="G185:I185"/>
    <mergeCell ref="G186:I186"/>
    <mergeCell ref="G187:I187"/>
    <mergeCell ref="G188:I188"/>
    <mergeCell ref="G201:I201"/>
    <mergeCell ref="G202:I202"/>
    <mergeCell ref="G203:I203"/>
    <mergeCell ref="G204:I204"/>
    <mergeCell ref="G205:I205"/>
    <mergeCell ref="G206:I206"/>
    <mergeCell ref="G195:I195"/>
    <mergeCell ref="G196:I196"/>
    <mergeCell ref="G197:I197"/>
    <mergeCell ref="G198:I198"/>
    <mergeCell ref="G199:I199"/>
    <mergeCell ref="G200:I200"/>
    <mergeCell ref="G213:I213"/>
    <mergeCell ref="G214:I214"/>
    <mergeCell ref="G215:I215"/>
    <mergeCell ref="G216:I216"/>
    <mergeCell ref="G217:I217"/>
    <mergeCell ref="G218:I218"/>
    <mergeCell ref="G207:I207"/>
    <mergeCell ref="G208:I208"/>
    <mergeCell ref="G209:I209"/>
    <mergeCell ref="G210:I210"/>
    <mergeCell ref="G211:I211"/>
    <mergeCell ref="G212:I212"/>
    <mergeCell ref="G225:I225"/>
    <mergeCell ref="G226:I226"/>
    <mergeCell ref="G227:I227"/>
    <mergeCell ref="G228:I228"/>
    <mergeCell ref="G229:I229"/>
    <mergeCell ref="G230:I230"/>
    <mergeCell ref="G219:I219"/>
    <mergeCell ref="G220:I220"/>
    <mergeCell ref="G221:I221"/>
    <mergeCell ref="G222:I222"/>
    <mergeCell ref="G223:I223"/>
    <mergeCell ref="G224:I224"/>
    <mergeCell ref="G237:I237"/>
    <mergeCell ref="G238:I238"/>
    <mergeCell ref="G239:I239"/>
    <mergeCell ref="G240:I240"/>
    <mergeCell ref="G241:I241"/>
    <mergeCell ref="G242:I242"/>
    <mergeCell ref="G231:I231"/>
    <mergeCell ref="G232:I232"/>
    <mergeCell ref="G233:I233"/>
    <mergeCell ref="G234:I234"/>
    <mergeCell ref="G235:I235"/>
    <mergeCell ref="G236:I236"/>
    <mergeCell ref="G249:I249"/>
    <mergeCell ref="G250:I250"/>
    <mergeCell ref="G251:I251"/>
    <mergeCell ref="G252:I252"/>
    <mergeCell ref="G253:I253"/>
    <mergeCell ref="G254:I254"/>
    <mergeCell ref="G243:I243"/>
    <mergeCell ref="G244:I244"/>
    <mergeCell ref="G245:I245"/>
    <mergeCell ref="G246:I246"/>
    <mergeCell ref="G247:I247"/>
    <mergeCell ref="G248:I248"/>
    <mergeCell ref="G261:I261"/>
    <mergeCell ref="G262:I262"/>
    <mergeCell ref="G263:I263"/>
    <mergeCell ref="G264:I264"/>
    <mergeCell ref="G265:I265"/>
    <mergeCell ref="G266:I266"/>
    <mergeCell ref="G255:I255"/>
    <mergeCell ref="G256:I256"/>
    <mergeCell ref="G257:I257"/>
    <mergeCell ref="G258:I258"/>
    <mergeCell ref="G259:I259"/>
    <mergeCell ref="G260:I260"/>
    <mergeCell ref="G281:I281"/>
    <mergeCell ref="G282:I282"/>
    <mergeCell ref="G283:I283"/>
    <mergeCell ref="G284:I284"/>
    <mergeCell ref="G285:I285"/>
    <mergeCell ref="G286:I286"/>
    <mergeCell ref="G267:I267"/>
    <mergeCell ref="G268:I268"/>
    <mergeCell ref="G277:I277"/>
    <mergeCell ref="G278:I278"/>
    <mergeCell ref="G279:I279"/>
    <mergeCell ref="G280:I280"/>
    <mergeCell ref="G293:I293"/>
    <mergeCell ref="G294:I294"/>
    <mergeCell ref="G295:I295"/>
    <mergeCell ref="G296:I296"/>
    <mergeCell ref="G297:I297"/>
    <mergeCell ref="G298:I298"/>
    <mergeCell ref="G287:I287"/>
    <mergeCell ref="G288:I288"/>
    <mergeCell ref="G289:I289"/>
    <mergeCell ref="G290:I290"/>
    <mergeCell ref="G291:I291"/>
    <mergeCell ref="G292:I292"/>
    <mergeCell ref="G305:I305"/>
    <mergeCell ref="G306:I306"/>
    <mergeCell ref="G307:I307"/>
    <mergeCell ref="G308:I308"/>
    <mergeCell ref="G309:I309"/>
    <mergeCell ref="G310:I310"/>
    <mergeCell ref="G299:I299"/>
    <mergeCell ref="G300:I300"/>
    <mergeCell ref="G301:I301"/>
    <mergeCell ref="G302:I302"/>
    <mergeCell ref="G303:I303"/>
    <mergeCell ref="G304:I304"/>
    <mergeCell ref="G317:I317"/>
    <mergeCell ref="G318:I318"/>
    <mergeCell ref="G319:I319"/>
    <mergeCell ref="G320:I320"/>
    <mergeCell ref="G321:I321"/>
    <mergeCell ref="G322:I322"/>
    <mergeCell ref="G311:I311"/>
    <mergeCell ref="G312:I312"/>
    <mergeCell ref="G313:I313"/>
    <mergeCell ref="G314:I314"/>
    <mergeCell ref="G315:I315"/>
    <mergeCell ref="G316:I316"/>
    <mergeCell ref="G329:I329"/>
    <mergeCell ref="G330:I330"/>
    <mergeCell ref="G331:I331"/>
    <mergeCell ref="G332:I332"/>
    <mergeCell ref="G333:I333"/>
    <mergeCell ref="G334:I334"/>
    <mergeCell ref="G323:I323"/>
    <mergeCell ref="G324:I324"/>
    <mergeCell ref="G325:I325"/>
    <mergeCell ref="G326:I326"/>
    <mergeCell ref="G327:I327"/>
    <mergeCell ref="G328:I328"/>
    <mergeCell ref="G341:I341"/>
    <mergeCell ref="G342:I342"/>
    <mergeCell ref="G343:I343"/>
    <mergeCell ref="G344:I344"/>
    <mergeCell ref="G345:I345"/>
    <mergeCell ref="G346:I346"/>
    <mergeCell ref="G335:I335"/>
    <mergeCell ref="G336:I336"/>
    <mergeCell ref="G337:I337"/>
    <mergeCell ref="G338:I338"/>
    <mergeCell ref="G339:I339"/>
    <mergeCell ref="G340:I340"/>
    <mergeCell ref="G353:I353"/>
    <mergeCell ref="G354:I354"/>
    <mergeCell ref="G355:I355"/>
    <mergeCell ref="G356:I356"/>
    <mergeCell ref="G357:I357"/>
    <mergeCell ref="G358:I358"/>
    <mergeCell ref="G347:I347"/>
    <mergeCell ref="G348:I348"/>
    <mergeCell ref="G349:I349"/>
    <mergeCell ref="G350:I350"/>
    <mergeCell ref="G351:I351"/>
    <mergeCell ref="G352:I352"/>
    <mergeCell ref="G365:I365"/>
    <mergeCell ref="G366:I366"/>
    <mergeCell ref="G367:I367"/>
    <mergeCell ref="G368:I368"/>
    <mergeCell ref="G369:I369"/>
    <mergeCell ref="G370:I370"/>
    <mergeCell ref="G359:I359"/>
    <mergeCell ref="G360:I360"/>
    <mergeCell ref="G361:I361"/>
    <mergeCell ref="G362:I362"/>
    <mergeCell ref="G363:I363"/>
    <mergeCell ref="G364:I364"/>
    <mergeCell ref="G377:I377"/>
    <mergeCell ref="G378:I378"/>
    <mergeCell ref="G379:I379"/>
    <mergeCell ref="G380:I380"/>
    <mergeCell ref="G381:I381"/>
    <mergeCell ref="G382:I382"/>
    <mergeCell ref="G371:I371"/>
    <mergeCell ref="G372:I372"/>
    <mergeCell ref="G373:I373"/>
    <mergeCell ref="G374:I374"/>
    <mergeCell ref="G375:I375"/>
    <mergeCell ref="G376:I376"/>
    <mergeCell ref="G389:I389"/>
    <mergeCell ref="G390:I390"/>
    <mergeCell ref="G391:I391"/>
    <mergeCell ref="G392:I392"/>
    <mergeCell ref="G393:I393"/>
    <mergeCell ref="G394:I394"/>
    <mergeCell ref="G383:I383"/>
    <mergeCell ref="G384:I384"/>
    <mergeCell ref="G385:I385"/>
    <mergeCell ref="G386:I386"/>
    <mergeCell ref="G387:I387"/>
    <mergeCell ref="G388:I388"/>
    <mergeCell ref="G401:I401"/>
    <mergeCell ref="G402:I402"/>
    <mergeCell ref="G403:I403"/>
    <mergeCell ref="G404:I404"/>
    <mergeCell ref="G405:I405"/>
    <mergeCell ref="G406:I406"/>
    <mergeCell ref="G395:I395"/>
    <mergeCell ref="G396:I396"/>
    <mergeCell ref="G397:I397"/>
    <mergeCell ref="G398:I398"/>
    <mergeCell ref="G399:I399"/>
    <mergeCell ref="G400:I400"/>
    <mergeCell ref="G413:I413"/>
    <mergeCell ref="G414:I414"/>
    <mergeCell ref="G415:I415"/>
    <mergeCell ref="G416:I416"/>
    <mergeCell ref="G417:I417"/>
    <mergeCell ref="G418:I418"/>
    <mergeCell ref="G407:I407"/>
    <mergeCell ref="G408:I408"/>
    <mergeCell ref="G409:I409"/>
    <mergeCell ref="G410:I410"/>
    <mergeCell ref="G411:I411"/>
    <mergeCell ref="G412:I412"/>
    <mergeCell ref="G425:I425"/>
    <mergeCell ref="G426:I426"/>
    <mergeCell ref="G427:I427"/>
    <mergeCell ref="G428:I428"/>
    <mergeCell ref="G429:I429"/>
    <mergeCell ref="G430:I430"/>
    <mergeCell ref="G419:I419"/>
    <mergeCell ref="G420:I420"/>
    <mergeCell ref="G421:I421"/>
    <mergeCell ref="G422:I422"/>
    <mergeCell ref="G423:I423"/>
    <mergeCell ref="G424:I424"/>
    <mergeCell ref="G437:I437"/>
    <mergeCell ref="G438:I438"/>
    <mergeCell ref="G439:I439"/>
    <mergeCell ref="G440:I440"/>
    <mergeCell ref="G441:I441"/>
    <mergeCell ref="G442:I442"/>
    <mergeCell ref="G431:I431"/>
    <mergeCell ref="G432:I432"/>
    <mergeCell ref="G433:I433"/>
    <mergeCell ref="G434:I434"/>
    <mergeCell ref="G435:I435"/>
    <mergeCell ref="G436:I436"/>
    <mergeCell ref="G449:I449"/>
    <mergeCell ref="G450:I450"/>
    <mergeCell ref="G451:I451"/>
    <mergeCell ref="G452:I452"/>
    <mergeCell ref="G453:I453"/>
    <mergeCell ref="G454:I454"/>
    <mergeCell ref="G443:I443"/>
    <mergeCell ref="G444:I444"/>
    <mergeCell ref="G445:I445"/>
    <mergeCell ref="G446:I446"/>
    <mergeCell ref="G447:I447"/>
    <mergeCell ref="G448:I448"/>
    <mergeCell ref="G461:I461"/>
    <mergeCell ref="G462:I462"/>
    <mergeCell ref="G463:I463"/>
    <mergeCell ref="G464:I464"/>
    <mergeCell ref="G465:I465"/>
    <mergeCell ref="G466:I466"/>
    <mergeCell ref="G455:I455"/>
    <mergeCell ref="G456:I456"/>
    <mergeCell ref="G457:I457"/>
    <mergeCell ref="G458:I458"/>
    <mergeCell ref="G459:I459"/>
    <mergeCell ref="G460:I460"/>
    <mergeCell ref="G473:I473"/>
    <mergeCell ref="G474:I474"/>
    <mergeCell ref="G475:I475"/>
    <mergeCell ref="G476:I476"/>
    <mergeCell ref="G477:I477"/>
    <mergeCell ref="G478:I478"/>
    <mergeCell ref="G467:I467"/>
    <mergeCell ref="G468:I468"/>
    <mergeCell ref="G469:I469"/>
    <mergeCell ref="G470:I470"/>
    <mergeCell ref="G471:I471"/>
    <mergeCell ref="G472:I472"/>
    <mergeCell ref="G485:I485"/>
    <mergeCell ref="G486:I486"/>
    <mergeCell ref="G487:I487"/>
    <mergeCell ref="G488:I488"/>
    <mergeCell ref="G489:I489"/>
    <mergeCell ref="G490:I490"/>
    <mergeCell ref="G479:I479"/>
    <mergeCell ref="G480:I480"/>
    <mergeCell ref="G481:I481"/>
    <mergeCell ref="G482:I482"/>
    <mergeCell ref="G483:I483"/>
    <mergeCell ref="G484:I484"/>
    <mergeCell ref="G497:I497"/>
    <mergeCell ref="G498:I498"/>
    <mergeCell ref="G499:I499"/>
    <mergeCell ref="G500:I500"/>
    <mergeCell ref="G501:I501"/>
    <mergeCell ref="G502:I502"/>
    <mergeCell ref="G491:I491"/>
    <mergeCell ref="G492:I492"/>
    <mergeCell ref="G493:I493"/>
    <mergeCell ref="G494:I494"/>
    <mergeCell ref="G495:I495"/>
    <mergeCell ref="G496:I496"/>
    <mergeCell ref="G509:I509"/>
    <mergeCell ref="G510:I510"/>
    <mergeCell ref="G511:I511"/>
    <mergeCell ref="G512:I512"/>
    <mergeCell ref="G513:I513"/>
    <mergeCell ref="G503:I503"/>
    <mergeCell ref="G504:I504"/>
    <mergeCell ref="G505:I505"/>
    <mergeCell ref="G506:I506"/>
    <mergeCell ref="G507:I507"/>
    <mergeCell ref="G508:I508"/>
  </mergeCells>
  <dataValidations count="4">
    <dataValidation type="list" allowBlank="1" showInputMessage="1" showErrorMessage="1" sqref="Q6:Q7">
      <formula1>$D$3:$D$5</formula1>
    </dataValidation>
    <dataValidation type="list" allowBlank="1" showInputMessage="1" showErrorMessage="1" sqref="D6:D10 B5">
      <formula1>$XER$1:$XER$2</formula1>
    </dataValidation>
    <dataValidation type="list" showInputMessage="1" showErrorMessage="1" sqref="B4">
      <formula1>$XER$1:$XER$2</formula1>
    </dataValidation>
    <dataValidation type="list" allowBlank="1" showInputMessage="1" showErrorMessage="1" sqref="M5 O5">
      <formula1>$XEY$1:$XEY$5</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1"/>
  <sheetViews>
    <sheetView topLeftCell="A8" zoomScale="120" zoomScaleNormal="120" workbookViewId="0">
      <selection activeCell="E25" sqref="E25:H25"/>
    </sheetView>
  </sheetViews>
  <sheetFormatPr defaultColWidth="9.1796875" defaultRowHeight="14.5" x14ac:dyDescent="0.35"/>
  <cols>
    <col min="1" max="1" width="1.81640625" style="342" customWidth="1"/>
    <col min="2" max="2" width="4.54296875" style="342" customWidth="1"/>
    <col min="3" max="3" width="2.81640625" style="342" customWidth="1"/>
    <col min="4" max="4" width="9.81640625" style="342" customWidth="1"/>
    <col min="5" max="5" width="1.81640625" style="342" customWidth="1"/>
    <col min="6" max="6" width="2.81640625" style="342" customWidth="1"/>
    <col min="7" max="7" width="9.81640625" style="342" customWidth="1"/>
    <col min="8" max="8" width="8.54296875" style="342" customWidth="1"/>
    <col min="9" max="9" width="5.81640625" style="342" customWidth="1"/>
    <col min="10" max="10" width="5.453125" style="342" customWidth="1"/>
    <col min="11" max="11" width="5" style="342" customWidth="1"/>
    <col min="12" max="12" width="5.81640625" style="342" customWidth="1"/>
    <col min="13" max="14" width="5" style="342" customWidth="1"/>
    <col min="15" max="16" width="1" style="342" customWidth="1"/>
    <col min="17" max="17" width="5.81640625" style="342" customWidth="1"/>
    <col min="18" max="18" width="5" style="342" customWidth="1"/>
    <col min="19" max="19" width="5.81640625" style="342" customWidth="1"/>
    <col min="20" max="20" width="12" style="342" customWidth="1"/>
    <col min="21" max="21" width="5.81640625" style="342" customWidth="1"/>
    <col min="22" max="22" width="10.81640625" style="342" customWidth="1"/>
    <col min="23" max="24" width="5.81640625" style="342" customWidth="1"/>
    <col min="25" max="25" width="4" style="342" customWidth="1"/>
    <col min="26" max="26" width="1" style="342" customWidth="1"/>
    <col min="27" max="27" width="6.81640625" style="342" customWidth="1"/>
    <col min="28" max="16384" width="9.1796875" style="342"/>
  </cols>
  <sheetData>
    <row r="1" spans="1:25" ht="17.25" customHeight="1" x14ac:dyDescent="0.35">
      <c r="A1" s="691" t="s">
        <v>269</v>
      </c>
      <c r="B1" s="692"/>
      <c r="C1" s="692"/>
      <c r="D1" s="692"/>
      <c r="E1" s="692"/>
      <c r="F1" s="692"/>
      <c r="G1" s="692"/>
      <c r="H1" s="692"/>
      <c r="I1" s="692"/>
      <c r="J1" s="692"/>
      <c r="K1" s="692"/>
      <c r="L1" s="692"/>
      <c r="M1" s="692"/>
      <c r="N1" s="692"/>
      <c r="O1" s="692"/>
      <c r="P1" s="692"/>
      <c r="Q1" s="692"/>
      <c r="R1" s="692"/>
      <c r="S1" s="692"/>
      <c r="T1" s="692"/>
      <c r="U1" s="692"/>
      <c r="V1" s="692"/>
      <c r="W1" s="692"/>
      <c r="X1" s="692"/>
      <c r="Y1" s="693"/>
    </row>
    <row r="2" spans="1:25" ht="15.75" customHeight="1" x14ac:dyDescent="0.35">
      <c r="A2" s="694" t="s">
        <v>270</v>
      </c>
      <c r="B2" s="695"/>
      <c r="C2" s="695"/>
      <c r="D2" s="695"/>
      <c r="E2" s="695"/>
      <c r="F2" s="695"/>
      <c r="G2" s="695"/>
      <c r="H2" s="695"/>
      <c r="I2" s="695"/>
      <c r="J2" s="695"/>
      <c r="K2" s="695"/>
      <c r="L2" s="695"/>
      <c r="M2" s="695"/>
      <c r="N2" s="695"/>
      <c r="O2" s="695"/>
      <c r="P2" s="695"/>
      <c r="Q2" s="695"/>
      <c r="R2" s="695"/>
      <c r="S2" s="695"/>
      <c r="T2" s="695"/>
      <c r="U2" s="695"/>
      <c r="V2" s="695"/>
      <c r="W2" s="695"/>
      <c r="X2" s="695"/>
      <c r="Y2" s="696"/>
    </row>
    <row r="3" spans="1:25" ht="25.5" customHeight="1" x14ac:dyDescent="0.35">
      <c r="A3" s="866" t="s">
        <v>271</v>
      </c>
      <c r="B3" s="867"/>
      <c r="C3" s="867"/>
      <c r="D3" s="867"/>
      <c r="E3" s="867"/>
      <c r="F3" s="867"/>
      <c r="G3" s="867"/>
      <c r="H3" s="867"/>
      <c r="I3" s="867"/>
      <c r="J3" s="867"/>
      <c r="K3" s="867"/>
      <c r="L3" s="867"/>
      <c r="M3" s="867"/>
      <c r="N3" s="867"/>
      <c r="O3" s="867"/>
      <c r="P3" s="867"/>
      <c r="Q3" s="867"/>
      <c r="R3" s="867"/>
      <c r="S3" s="867"/>
      <c r="T3" s="867"/>
      <c r="U3" s="868" t="s">
        <v>272</v>
      </c>
      <c r="V3" s="868"/>
      <c r="W3" s="868"/>
      <c r="X3" s="868"/>
      <c r="Y3" s="869"/>
    </row>
    <row r="4" spans="1:25" ht="14.15" customHeight="1" x14ac:dyDescent="0.35">
      <c r="A4" s="870" t="s">
        <v>273</v>
      </c>
      <c r="B4" s="871"/>
      <c r="C4" s="871"/>
      <c r="D4" s="871"/>
      <c r="E4" s="871"/>
      <c r="F4" s="871"/>
      <c r="G4" s="872"/>
      <c r="H4" s="873" t="s">
        <v>274</v>
      </c>
      <c r="I4" s="871"/>
      <c r="J4" s="871"/>
      <c r="K4" s="871"/>
      <c r="L4" s="871"/>
      <c r="M4" s="871"/>
      <c r="N4" s="872"/>
      <c r="O4" s="874" t="s">
        <v>275</v>
      </c>
      <c r="P4" s="875"/>
      <c r="Q4" s="875"/>
      <c r="R4" s="875"/>
      <c r="S4" s="875"/>
      <c r="T4" s="876"/>
      <c r="U4" s="874" t="s">
        <v>276</v>
      </c>
      <c r="V4" s="875"/>
      <c r="W4" s="875"/>
      <c r="X4" s="875"/>
      <c r="Y4" s="877"/>
    </row>
    <row r="5" spans="1:25" ht="146.25" customHeight="1" x14ac:dyDescent="0.35">
      <c r="A5" s="878" t="s">
        <v>277</v>
      </c>
      <c r="B5" s="879"/>
      <c r="C5" s="879"/>
      <c r="D5" s="879"/>
      <c r="E5" s="879"/>
      <c r="F5" s="879"/>
      <c r="G5" s="880"/>
      <c r="H5" s="878" t="s">
        <v>278</v>
      </c>
      <c r="I5" s="879"/>
      <c r="J5" s="879"/>
      <c r="K5" s="879"/>
      <c r="L5" s="879"/>
      <c r="M5" s="879"/>
      <c r="N5" s="880"/>
      <c r="O5" s="878" t="s">
        <v>279</v>
      </c>
      <c r="P5" s="879"/>
      <c r="Q5" s="879"/>
      <c r="R5" s="879"/>
      <c r="S5" s="879"/>
      <c r="T5" s="880"/>
      <c r="U5" s="878" t="s">
        <v>280</v>
      </c>
      <c r="V5" s="879"/>
      <c r="W5" s="879"/>
      <c r="X5" s="879"/>
      <c r="Y5" s="880"/>
    </row>
    <row r="6" spans="1:25" ht="19" customHeight="1" x14ac:dyDescent="0.35">
      <c r="A6" s="844" t="s">
        <v>281</v>
      </c>
      <c r="B6" s="845"/>
      <c r="C6" s="845"/>
      <c r="D6" s="845"/>
      <c r="E6" s="845"/>
      <c r="F6" s="845"/>
      <c r="G6" s="845"/>
      <c r="H6" s="845"/>
      <c r="I6" s="845"/>
      <c r="J6" s="845"/>
      <c r="K6" s="845"/>
      <c r="L6" s="845"/>
      <c r="M6" s="845"/>
      <c r="N6" s="845"/>
      <c r="O6" s="845"/>
      <c r="P6" s="845"/>
      <c r="Q6" s="845"/>
      <c r="R6" s="845"/>
      <c r="S6" s="845"/>
      <c r="T6" s="845"/>
      <c r="U6" s="845"/>
      <c r="V6" s="845"/>
      <c r="W6" s="845"/>
      <c r="X6" s="845"/>
      <c r="Y6" s="846"/>
    </row>
    <row r="7" spans="1:25" ht="11.25" customHeight="1" x14ac:dyDescent="0.35">
      <c r="A7" s="847" t="s">
        <v>282</v>
      </c>
      <c r="B7" s="848"/>
      <c r="C7" s="851" t="s">
        <v>283</v>
      </c>
      <c r="D7" s="852"/>
      <c r="E7" s="851" t="s">
        <v>284</v>
      </c>
      <c r="F7" s="855"/>
      <c r="G7" s="855"/>
      <c r="H7" s="852"/>
      <c r="I7" s="851" t="s">
        <v>285</v>
      </c>
      <c r="J7" s="852"/>
      <c r="K7" s="857" t="s">
        <v>286</v>
      </c>
      <c r="L7" s="857" t="s">
        <v>287</v>
      </c>
      <c r="M7" s="834" t="s">
        <v>288</v>
      </c>
      <c r="N7" s="864"/>
      <c r="O7" s="864"/>
      <c r="P7" s="835"/>
      <c r="Q7" s="834" t="s">
        <v>289</v>
      </c>
      <c r="R7" s="835"/>
      <c r="S7" s="838" t="s">
        <v>290</v>
      </c>
      <c r="T7" s="840" t="s">
        <v>291</v>
      </c>
      <c r="U7" s="842" t="s">
        <v>292</v>
      </c>
      <c r="V7" s="843"/>
      <c r="W7" s="842" t="s">
        <v>293</v>
      </c>
      <c r="X7" s="859"/>
      <c r="Y7" s="843"/>
    </row>
    <row r="8" spans="1:25" ht="15" customHeight="1" x14ac:dyDescent="0.35">
      <c r="A8" s="849"/>
      <c r="B8" s="850"/>
      <c r="C8" s="853"/>
      <c r="D8" s="854"/>
      <c r="E8" s="853"/>
      <c r="F8" s="856"/>
      <c r="G8" s="856"/>
      <c r="H8" s="854"/>
      <c r="I8" s="853"/>
      <c r="J8" s="854"/>
      <c r="K8" s="858"/>
      <c r="L8" s="858"/>
      <c r="M8" s="836"/>
      <c r="N8" s="865"/>
      <c r="O8" s="865"/>
      <c r="P8" s="837"/>
      <c r="Q8" s="836"/>
      <c r="R8" s="837"/>
      <c r="S8" s="839"/>
      <c r="T8" s="841"/>
      <c r="U8" s="343" t="s">
        <v>294</v>
      </c>
      <c r="V8" s="343" t="s">
        <v>295</v>
      </c>
      <c r="W8" s="343" t="s">
        <v>294</v>
      </c>
      <c r="X8" s="860" t="s">
        <v>295</v>
      </c>
      <c r="Y8" s="861"/>
    </row>
    <row r="9" spans="1:25" ht="19" customHeight="1" x14ac:dyDescent="0.35">
      <c r="A9" s="773"/>
      <c r="B9" s="774"/>
      <c r="C9" s="862" t="s">
        <v>296</v>
      </c>
      <c r="D9" s="863"/>
      <c r="E9" s="773"/>
      <c r="F9" s="798"/>
      <c r="G9" s="798"/>
      <c r="H9" s="774"/>
      <c r="I9" s="773"/>
      <c r="J9" s="774"/>
      <c r="K9" s="344"/>
      <c r="L9" s="344"/>
      <c r="M9" s="773"/>
      <c r="N9" s="798"/>
      <c r="O9" s="798"/>
      <c r="P9" s="774"/>
      <c r="Q9" s="773"/>
      <c r="R9" s="774"/>
      <c r="S9" s="344"/>
      <c r="T9" s="344"/>
      <c r="U9" s="344"/>
      <c r="V9" s="344"/>
      <c r="W9" s="344"/>
      <c r="X9" s="773"/>
      <c r="Y9" s="774"/>
    </row>
    <row r="10" spans="1:25" ht="15" customHeight="1" x14ac:dyDescent="0.35">
      <c r="A10" s="784">
        <v>1</v>
      </c>
      <c r="B10" s="785"/>
      <c r="C10" s="781" t="s">
        <v>297</v>
      </c>
      <c r="D10" s="782"/>
      <c r="E10" s="781" t="s">
        <v>298</v>
      </c>
      <c r="F10" s="783"/>
      <c r="G10" s="783"/>
      <c r="H10" s="782"/>
      <c r="I10" s="784">
        <v>87089900</v>
      </c>
      <c r="J10" s="785"/>
      <c r="K10" s="345">
        <v>10</v>
      </c>
      <c r="L10" s="346" t="s">
        <v>299</v>
      </c>
      <c r="M10" s="800">
        <v>140.63</v>
      </c>
      <c r="N10" s="828"/>
      <c r="O10" s="828"/>
      <c r="P10" s="801"/>
      <c r="Q10" s="789">
        <v>1406.3</v>
      </c>
      <c r="R10" s="790"/>
      <c r="S10" s="345">
        <v>0</v>
      </c>
      <c r="T10" s="347">
        <v>1406.3</v>
      </c>
      <c r="U10" s="345">
        <v>14</v>
      </c>
      <c r="V10" s="348">
        <v>196.88</v>
      </c>
      <c r="W10" s="345">
        <v>14</v>
      </c>
      <c r="X10" s="800">
        <v>196.88</v>
      </c>
      <c r="Y10" s="801"/>
    </row>
    <row r="11" spans="1:25" ht="15" customHeight="1" x14ac:dyDescent="0.35">
      <c r="A11" s="784">
        <v>2</v>
      </c>
      <c r="B11" s="785"/>
      <c r="C11" s="781" t="s">
        <v>300</v>
      </c>
      <c r="D11" s="782"/>
      <c r="E11" s="781" t="s">
        <v>301</v>
      </c>
      <c r="F11" s="783"/>
      <c r="G11" s="783"/>
      <c r="H11" s="782"/>
      <c r="I11" s="784">
        <v>87089900</v>
      </c>
      <c r="J11" s="785"/>
      <c r="K11" s="345">
        <v>1</v>
      </c>
      <c r="L11" s="346" t="s">
        <v>302</v>
      </c>
      <c r="M11" s="829">
        <v>1152.3399999999999</v>
      </c>
      <c r="N11" s="830"/>
      <c r="O11" s="830"/>
      <c r="P11" s="831"/>
      <c r="Q11" s="789">
        <v>1152.3399999999999</v>
      </c>
      <c r="R11" s="790"/>
      <c r="S11" s="345">
        <v>0</v>
      </c>
      <c r="T11" s="347">
        <v>1152.3399999999999</v>
      </c>
      <c r="U11" s="345">
        <v>14</v>
      </c>
      <c r="V11" s="348">
        <v>161.33000000000001</v>
      </c>
      <c r="W11" s="345">
        <v>14</v>
      </c>
      <c r="X11" s="800">
        <v>161.33000000000001</v>
      </c>
      <c r="Y11" s="801"/>
    </row>
    <row r="12" spans="1:25" ht="15" customHeight="1" x14ac:dyDescent="0.35">
      <c r="A12" s="784">
        <v>3</v>
      </c>
      <c r="B12" s="785"/>
      <c r="C12" s="781" t="s">
        <v>303</v>
      </c>
      <c r="D12" s="782"/>
      <c r="E12" s="781" t="s">
        <v>304</v>
      </c>
      <c r="F12" s="783"/>
      <c r="G12" s="783"/>
      <c r="H12" s="782"/>
      <c r="I12" s="784">
        <v>84159000</v>
      </c>
      <c r="J12" s="785"/>
      <c r="K12" s="345">
        <v>1</v>
      </c>
      <c r="L12" s="346" t="s">
        <v>302</v>
      </c>
      <c r="M12" s="829">
        <v>23124.58</v>
      </c>
      <c r="N12" s="830"/>
      <c r="O12" s="830"/>
      <c r="P12" s="831"/>
      <c r="Q12" s="789">
        <v>23124.58</v>
      </c>
      <c r="R12" s="790"/>
      <c r="S12" s="345">
        <v>0</v>
      </c>
      <c r="T12" s="347">
        <v>23124.58</v>
      </c>
      <c r="U12" s="345">
        <v>9</v>
      </c>
      <c r="V12" s="347">
        <v>2081.21</v>
      </c>
      <c r="W12" s="345">
        <v>9</v>
      </c>
      <c r="X12" s="832">
        <v>2081.21</v>
      </c>
      <c r="Y12" s="833"/>
    </row>
    <row r="13" spans="1:25" ht="15" customHeight="1" x14ac:dyDescent="0.35">
      <c r="A13" s="784">
        <v>4</v>
      </c>
      <c r="B13" s="785"/>
      <c r="C13" s="781" t="s">
        <v>305</v>
      </c>
      <c r="D13" s="782"/>
      <c r="E13" s="781" t="s">
        <v>306</v>
      </c>
      <c r="F13" s="783"/>
      <c r="G13" s="783"/>
      <c r="H13" s="782"/>
      <c r="I13" s="784">
        <v>40169390</v>
      </c>
      <c r="J13" s="785"/>
      <c r="K13" s="345">
        <v>1</v>
      </c>
      <c r="L13" s="346" t="s">
        <v>302</v>
      </c>
      <c r="M13" s="800">
        <v>180.51</v>
      </c>
      <c r="N13" s="828"/>
      <c r="O13" s="828"/>
      <c r="P13" s="801"/>
      <c r="Q13" s="803">
        <v>180.51</v>
      </c>
      <c r="R13" s="805"/>
      <c r="S13" s="345">
        <v>0</v>
      </c>
      <c r="T13" s="348">
        <v>180.51</v>
      </c>
      <c r="U13" s="345">
        <v>9</v>
      </c>
      <c r="V13" s="348">
        <v>16.25</v>
      </c>
      <c r="W13" s="345">
        <v>9</v>
      </c>
      <c r="X13" s="800">
        <v>16.25</v>
      </c>
      <c r="Y13" s="801"/>
    </row>
    <row r="14" spans="1:25" ht="15" customHeight="1" x14ac:dyDescent="0.35">
      <c r="A14" s="784">
        <v>5</v>
      </c>
      <c r="B14" s="785"/>
      <c r="C14" s="781" t="s">
        <v>307</v>
      </c>
      <c r="D14" s="782"/>
      <c r="E14" s="781" t="s">
        <v>308</v>
      </c>
      <c r="F14" s="783"/>
      <c r="G14" s="783"/>
      <c r="H14" s="782"/>
      <c r="I14" s="784">
        <v>39269099</v>
      </c>
      <c r="J14" s="785"/>
      <c r="K14" s="345">
        <v>1</v>
      </c>
      <c r="L14" s="346" t="s">
        <v>302</v>
      </c>
      <c r="M14" s="829">
        <v>5208.47</v>
      </c>
      <c r="N14" s="830"/>
      <c r="O14" s="830"/>
      <c r="P14" s="831"/>
      <c r="Q14" s="789">
        <v>5208.47</v>
      </c>
      <c r="R14" s="790"/>
      <c r="S14" s="345">
        <v>0</v>
      </c>
      <c r="T14" s="347">
        <v>5208.47</v>
      </c>
      <c r="U14" s="345">
        <v>9</v>
      </c>
      <c r="V14" s="348">
        <v>468.76</v>
      </c>
      <c r="W14" s="345">
        <v>9</v>
      </c>
      <c r="X14" s="800">
        <v>468.76</v>
      </c>
      <c r="Y14" s="801"/>
    </row>
    <row r="15" spans="1:25" ht="15" customHeight="1" x14ac:dyDescent="0.35">
      <c r="A15" s="784">
        <v>6</v>
      </c>
      <c r="B15" s="785"/>
      <c r="C15" s="781" t="s">
        <v>309</v>
      </c>
      <c r="D15" s="782"/>
      <c r="E15" s="781" t="s">
        <v>310</v>
      </c>
      <c r="F15" s="783"/>
      <c r="G15" s="783"/>
      <c r="H15" s="782"/>
      <c r="I15" s="784">
        <v>34031900</v>
      </c>
      <c r="J15" s="785"/>
      <c r="K15" s="345">
        <v>1</v>
      </c>
      <c r="L15" s="346" t="s">
        <v>311</v>
      </c>
      <c r="M15" s="800">
        <v>381.36</v>
      </c>
      <c r="N15" s="828"/>
      <c r="O15" s="828"/>
      <c r="P15" s="801"/>
      <c r="Q15" s="803">
        <v>381.36</v>
      </c>
      <c r="R15" s="805"/>
      <c r="S15" s="345">
        <v>0</v>
      </c>
      <c r="T15" s="348">
        <v>381.36</v>
      </c>
      <c r="U15" s="345">
        <v>9</v>
      </c>
      <c r="V15" s="348">
        <v>34.32</v>
      </c>
      <c r="W15" s="345">
        <v>9</v>
      </c>
      <c r="X15" s="800">
        <v>34.32</v>
      </c>
      <c r="Y15" s="801"/>
    </row>
    <row r="16" spans="1:25" ht="15" customHeight="1" x14ac:dyDescent="0.35">
      <c r="A16" s="784">
        <v>7</v>
      </c>
      <c r="B16" s="785"/>
      <c r="C16" s="781" t="s">
        <v>312</v>
      </c>
      <c r="D16" s="782"/>
      <c r="E16" s="781" t="s">
        <v>422</v>
      </c>
      <c r="F16" s="783"/>
      <c r="G16" s="783"/>
      <c r="H16" s="782"/>
      <c r="I16" s="784">
        <v>87089900</v>
      </c>
      <c r="J16" s="785"/>
      <c r="K16" s="345">
        <v>2</v>
      </c>
      <c r="L16" s="346" t="s">
        <v>302</v>
      </c>
      <c r="M16" s="829">
        <v>1476.56</v>
      </c>
      <c r="N16" s="830"/>
      <c r="O16" s="830"/>
      <c r="P16" s="831"/>
      <c r="Q16" s="789">
        <v>2953.12</v>
      </c>
      <c r="R16" s="790"/>
      <c r="S16" s="345">
        <v>0</v>
      </c>
      <c r="T16" s="347">
        <v>2953.12</v>
      </c>
      <c r="U16" s="345">
        <v>14</v>
      </c>
      <c r="V16" s="348">
        <v>413.44</v>
      </c>
      <c r="W16" s="345">
        <v>14</v>
      </c>
      <c r="X16" s="800">
        <v>413.44</v>
      </c>
      <c r="Y16" s="801"/>
    </row>
    <row r="17" spans="1:25" ht="15" customHeight="1" x14ac:dyDescent="0.35">
      <c r="A17" s="784">
        <v>8</v>
      </c>
      <c r="B17" s="785"/>
      <c r="C17" s="781" t="s">
        <v>313</v>
      </c>
      <c r="D17" s="782"/>
      <c r="E17" s="781" t="s">
        <v>314</v>
      </c>
      <c r="F17" s="783"/>
      <c r="G17" s="783"/>
      <c r="H17" s="782"/>
      <c r="I17" s="784">
        <v>87082900</v>
      </c>
      <c r="J17" s="785"/>
      <c r="K17" s="345">
        <v>1</v>
      </c>
      <c r="L17" s="346" t="s">
        <v>302</v>
      </c>
      <c r="M17" s="829">
        <v>5822.66</v>
      </c>
      <c r="N17" s="830"/>
      <c r="O17" s="830"/>
      <c r="P17" s="831"/>
      <c r="Q17" s="789">
        <v>5822.66</v>
      </c>
      <c r="R17" s="790"/>
      <c r="S17" s="345">
        <v>0</v>
      </c>
      <c r="T17" s="347">
        <v>5822.66</v>
      </c>
      <c r="U17" s="345">
        <v>14</v>
      </c>
      <c r="V17" s="348">
        <v>815.17</v>
      </c>
      <c r="W17" s="345">
        <v>14</v>
      </c>
      <c r="X17" s="800">
        <v>815.17</v>
      </c>
      <c r="Y17" s="801"/>
    </row>
    <row r="18" spans="1:25" ht="15" customHeight="1" x14ac:dyDescent="0.35">
      <c r="A18" s="784">
        <v>9</v>
      </c>
      <c r="B18" s="785"/>
      <c r="C18" s="781" t="s">
        <v>315</v>
      </c>
      <c r="D18" s="782"/>
      <c r="E18" s="781" t="s">
        <v>316</v>
      </c>
      <c r="F18" s="783"/>
      <c r="G18" s="783"/>
      <c r="H18" s="782"/>
      <c r="I18" s="784">
        <v>87089900</v>
      </c>
      <c r="J18" s="785"/>
      <c r="K18" s="345">
        <v>1</v>
      </c>
      <c r="L18" s="346" t="s">
        <v>302</v>
      </c>
      <c r="M18" s="829">
        <v>9127.34</v>
      </c>
      <c r="N18" s="830"/>
      <c r="O18" s="830"/>
      <c r="P18" s="831"/>
      <c r="Q18" s="789">
        <v>9127.34</v>
      </c>
      <c r="R18" s="790"/>
      <c r="S18" s="345">
        <v>0</v>
      </c>
      <c r="T18" s="347">
        <v>9127.34</v>
      </c>
      <c r="U18" s="345">
        <v>14</v>
      </c>
      <c r="V18" s="347">
        <v>1277.83</v>
      </c>
      <c r="W18" s="345">
        <v>14</v>
      </c>
      <c r="X18" s="832">
        <v>1277.83</v>
      </c>
      <c r="Y18" s="833"/>
    </row>
    <row r="19" spans="1:25" ht="15" customHeight="1" x14ac:dyDescent="0.35">
      <c r="A19" s="784">
        <v>10</v>
      </c>
      <c r="B19" s="785"/>
      <c r="C19" s="781" t="s">
        <v>317</v>
      </c>
      <c r="D19" s="782"/>
      <c r="E19" s="781" t="s">
        <v>318</v>
      </c>
      <c r="F19" s="783"/>
      <c r="G19" s="783"/>
      <c r="H19" s="782"/>
      <c r="I19" s="784">
        <v>87081090</v>
      </c>
      <c r="J19" s="785"/>
      <c r="K19" s="345">
        <v>1</v>
      </c>
      <c r="L19" s="346" t="s">
        <v>302</v>
      </c>
      <c r="M19" s="800">
        <v>148.44</v>
      </c>
      <c r="N19" s="828"/>
      <c r="O19" s="828"/>
      <c r="P19" s="801"/>
      <c r="Q19" s="803">
        <v>148.44</v>
      </c>
      <c r="R19" s="805"/>
      <c r="S19" s="345">
        <v>0</v>
      </c>
      <c r="T19" s="348">
        <v>148.44</v>
      </c>
      <c r="U19" s="345">
        <v>14</v>
      </c>
      <c r="V19" s="348">
        <v>20.78</v>
      </c>
      <c r="W19" s="345">
        <v>14</v>
      </c>
      <c r="X19" s="800">
        <v>20.78</v>
      </c>
      <c r="Y19" s="801"/>
    </row>
    <row r="20" spans="1:25" ht="15" customHeight="1" x14ac:dyDescent="0.35">
      <c r="A20" s="784">
        <v>11</v>
      </c>
      <c r="B20" s="785"/>
      <c r="C20" s="781" t="s">
        <v>319</v>
      </c>
      <c r="D20" s="782"/>
      <c r="E20" s="781" t="s">
        <v>320</v>
      </c>
      <c r="F20" s="783"/>
      <c r="G20" s="783"/>
      <c r="H20" s="782"/>
      <c r="I20" s="784">
        <v>85122010</v>
      </c>
      <c r="J20" s="785"/>
      <c r="K20" s="345">
        <v>1</v>
      </c>
      <c r="L20" s="346" t="s">
        <v>302</v>
      </c>
      <c r="M20" s="800">
        <v>591.53</v>
      </c>
      <c r="N20" s="828"/>
      <c r="O20" s="828"/>
      <c r="P20" s="801"/>
      <c r="Q20" s="803">
        <v>591.53</v>
      </c>
      <c r="R20" s="805"/>
      <c r="S20" s="345">
        <v>0</v>
      </c>
      <c r="T20" s="348">
        <v>591.53</v>
      </c>
      <c r="U20" s="345">
        <v>9</v>
      </c>
      <c r="V20" s="348">
        <v>53.24</v>
      </c>
      <c r="W20" s="345">
        <v>9</v>
      </c>
      <c r="X20" s="800">
        <v>53.24</v>
      </c>
      <c r="Y20" s="801"/>
    </row>
    <row r="21" spans="1:25" ht="15" customHeight="1" x14ac:dyDescent="0.35">
      <c r="A21" s="784">
        <v>12</v>
      </c>
      <c r="B21" s="785"/>
      <c r="C21" s="781" t="s">
        <v>321</v>
      </c>
      <c r="D21" s="782"/>
      <c r="E21" s="781" t="s">
        <v>322</v>
      </c>
      <c r="F21" s="783"/>
      <c r="G21" s="783"/>
      <c r="H21" s="782"/>
      <c r="I21" s="784">
        <v>85122010</v>
      </c>
      <c r="J21" s="785"/>
      <c r="K21" s="345">
        <v>1</v>
      </c>
      <c r="L21" s="346" t="s">
        <v>302</v>
      </c>
      <c r="M21" s="829">
        <v>11421.19</v>
      </c>
      <c r="N21" s="830"/>
      <c r="O21" s="830"/>
      <c r="P21" s="831"/>
      <c r="Q21" s="789">
        <v>11421.19</v>
      </c>
      <c r="R21" s="790"/>
      <c r="S21" s="345">
        <v>0</v>
      </c>
      <c r="T21" s="347">
        <v>11421.19</v>
      </c>
      <c r="U21" s="345">
        <v>9</v>
      </c>
      <c r="V21" s="347">
        <v>1027.9100000000001</v>
      </c>
      <c r="W21" s="345">
        <v>9</v>
      </c>
      <c r="X21" s="832">
        <v>1027.9100000000001</v>
      </c>
      <c r="Y21" s="833"/>
    </row>
    <row r="22" spans="1:25" ht="15" customHeight="1" x14ac:dyDescent="0.35">
      <c r="A22" s="784">
        <v>13</v>
      </c>
      <c r="B22" s="785"/>
      <c r="C22" s="781" t="s">
        <v>323</v>
      </c>
      <c r="D22" s="782"/>
      <c r="E22" s="781" t="s">
        <v>318</v>
      </c>
      <c r="F22" s="783"/>
      <c r="G22" s="783"/>
      <c r="H22" s="782"/>
      <c r="I22" s="784">
        <v>87081090</v>
      </c>
      <c r="J22" s="785"/>
      <c r="K22" s="345">
        <v>1</v>
      </c>
      <c r="L22" s="346" t="s">
        <v>302</v>
      </c>
      <c r="M22" s="800">
        <v>148.44</v>
      </c>
      <c r="N22" s="828"/>
      <c r="O22" s="828"/>
      <c r="P22" s="801"/>
      <c r="Q22" s="803">
        <v>148.44</v>
      </c>
      <c r="R22" s="805"/>
      <c r="S22" s="345">
        <v>0</v>
      </c>
      <c r="T22" s="348">
        <v>148.44</v>
      </c>
      <c r="U22" s="345">
        <v>14</v>
      </c>
      <c r="V22" s="348">
        <v>20.78</v>
      </c>
      <c r="W22" s="345">
        <v>14</v>
      </c>
      <c r="X22" s="800">
        <v>20.78</v>
      </c>
      <c r="Y22" s="801"/>
    </row>
    <row r="23" spans="1:25" ht="15" customHeight="1" x14ac:dyDescent="0.35">
      <c r="A23" s="784">
        <v>14</v>
      </c>
      <c r="B23" s="785"/>
      <c r="C23" s="781" t="s">
        <v>324</v>
      </c>
      <c r="D23" s="782"/>
      <c r="E23" s="781" t="s">
        <v>325</v>
      </c>
      <c r="F23" s="783"/>
      <c r="G23" s="783"/>
      <c r="H23" s="782"/>
      <c r="I23" s="784">
        <v>87089900</v>
      </c>
      <c r="J23" s="785"/>
      <c r="K23" s="345">
        <v>1</v>
      </c>
      <c r="L23" s="346" t="s">
        <v>302</v>
      </c>
      <c r="M23" s="829">
        <v>11249.22</v>
      </c>
      <c r="N23" s="830"/>
      <c r="O23" s="830"/>
      <c r="P23" s="831"/>
      <c r="Q23" s="789">
        <v>11249.22</v>
      </c>
      <c r="R23" s="790"/>
      <c r="S23" s="345">
        <v>0</v>
      </c>
      <c r="T23" s="347">
        <v>11249.22</v>
      </c>
      <c r="U23" s="345">
        <v>14</v>
      </c>
      <c r="V23" s="347">
        <v>1574.89</v>
      </c>
      <c r="W23" s="345">
        <v>14</v>
      </c>
      <c r="X23" s="832">
        <v>1574.89</v>
      </c>
      <c r="Y23" s="833"/>
    </row>
    <row r="24" spans="1:25" ht="15" customHeight="1" x14ac:dyDescent="0.35">
      <c r="A24" s="784">
        <v>15</v>
      </c>
      <c r="B24" s="785"/>
      <c r="C24" s="781" t="s">
        <v>326</v>
      </c>
      <c r="D24" s="782"/>
      <c r="E24" s="781" t="s">
        <v>327</v>
      </c>
      <c r="F24" s="783"/>
      <c r="G24" s="783"/>
      <c r="H24" s="782"/>
      <c r="I24" s="784">
        <v>87082100</v>
      </c>
      <c r="J24" s="785"/>
      <c r="K24" s="345">
        <v>1</v>
      </c>
      <c r="L24" s="346" t="s">
        <v>302</v>
      </c>
      <c r="M24" s="829">
        <v>3207.03</v>
      </c>
      <c r="N24" s="830"/>
      <c r="O24" s="830"/>
      <c r="P24" s="831"/>
      <c r="Q24" s="789">
        <v>3207.03</v>
      </c>
      <c r="R24" s="790"/>
      <c r="S24" s="345">
        <v>0</v>
      </c>
      <c r="T24" s="347">
        <v>3207.03</v>
      </c>
      <c r="U24" s="345">
        <v>14</v>
      </c>
      <c r="V24" s="348">
        <v>448.98</v>
      </c>
      <c r="W24" s="345">
        <v>14</v>
      </c>
      <c r="X24" s="800">
        <v>448.98</v>
      </c>
      <c r="Y24" s="801"/>
    </row>
    <row r="25" spans="1:25" ht="15" customHeight="1" x14ac:dyDescent="0.35">
      <c r="A25" s="784">
        <v>16</v>
      </c>
      <c r="B25" s="785"/>
      <c r="C25" s="781" t="s">
        <v>328</v>
      </c>
      <c r="D25" s="782"/>
      <c r="E25" s="781" t="s">
        <v>329</v>
      </c>
      <c r="F25" s="783"/>
      <c r="G25" s="783"/>
      <c r="H25" s="782"/>
      <c r="I25" s="784">
        <v>38200000</v>
      </c>
      <c r="J25" s="785"/>
      <c r="K25" s="345">
        <v>5</v>
      </c>
      <c r="L25" s="346" t="s">
        <v>302</v>
      </c>
      <c r="M25" s="800">
        <v>260.17</v>
      </c>
      <c r="N25" s="828"/>
      <c r="O25" s="828"/>
      <c r="P25" s="801"/>
      <c r="Q25" s="789">
        <v>1300.8499999999999</v>
      </c>
      <c r="R25" s="790"/>
      <c r="S25" s="345">
        <v>0</v>
      </c>
      <c r="T25" s="347">
        <v>1300.8499999999999</v>
      </c>
      <c r="U25" s="345">
        <v>9</v>
      </c>
      <c r="V25" s="348">
        <v>117.08</v>
      </c>
      <c r="W25" s="345">
        <v>9</v>
      </c>
      <c r="X25" s="800">
        <v>117.08</v>
      </c>
      <c r="Y25" s="801"/>
    </row>
    <row r="26" spans="1:25" ht="15" customHeight="1" x14ac:dyDescent="0.35">
      <c r="A26" s="784">
        <v>17</v>
      </c>
      <c r="B26" s="785"/>
      <c r="C26" s="781" t="s">
        <v>328</v>
      </c>
      <c r="D26" s="782"/>
      <c r="E26" s="781" t="s">
        <v>329</v>
      </c>
      <c r="F26" s="783"/>
      <c r="G26" s="783"/>
      <c r="H26" s="782"/>
      <c r="I26" s="784">
        <v>38200000</v>
      </c>
      <c r="J26" s="785"/>
      <c r="K26" s="345">
        <v>2</v>
      </c>
      <c r="L26" s="346" t="s">
        <v>302</v>
      </c>
      <c r="M26" s="800">
        <v>260.17</v>
      </c>
      <c r="N26" s="828"/>
      <c r="O26" s="828"/>
      <c r="P26" s="801"/>
      <c r="Q26" s="803">
        <v>520.34</v>
      </c>
      <c r="R26" s="805"/>
      <c r="S26" s="345">
        <v>0</v>
      </c>
      <c r="T26" s="348">
        <v>520.34</v>
      </c>
      <c r="U26" s="345">
        <v>9</v>
      </c>
      <c r="V26" s="348">
        <v>46.83</v>
      </c>
      <c r="W26" s="345">
        <v>9</v>
      </c>
      <c r="X26" s="800">
        <v>46.83</v>
      </c>
      <c r="Y26" s="801"/>
    </row>
    <row r="27" spans="1:25" ht="15" customHeight="1" x14ac:dyDescent="0.35">
      <c r="A27" s="784">
        <v>18</v>
      </c>
      <c r="B27" s="785"/>
      <c r="C27" s="781" t="s">
        <v>330</v>
      </c>
      <c r="D27" s="782"/>
      <c r="E27" s="781" t="s">
        <v>301</v>
      </c>
      <c r="F27" s="783"/>
      <c r="G27" s="783"/>
      <c r="H27" s="782"/>
      <c r="I27" s="784">
        <v>87089900</v>
      </c>
      <c r="J27" s="785"/>
      <c r="K27" s="345">
        <v>1</v>
      </c>
      <c r="L27" s="346" t="s">
        <v>302</v>
      </c>
      <c r="M27" s="829">
        <v>1152.3399999999999</v>
      </c>
      <c r="N27" s="830"/>
      <c r="O27" s="830"/>
      <c r="P27" s="831"/>
      <c r="Q27" s="789">
        <v>1152.3399999999999</v>
      </c>
      <c r="R27" s="790"/>
      <c r="S27" s="345">
        <v>0</v>
      </c>
      <c r="T27" s="347">
        <v>1152.3399999999999</v>
      </c>
      <c r="U27" s="345">
        <v>14</v>
      </c>
      <c r="V27" s="348">
        <v>161.33000000000001</v>
      </c>
      <c r="W27" s="345">
        <v>14</v>
      </c>
      <c r="X27" s="800">
        <v>161.33000000000001</v>
      </c>
      <c r="Y27" s="801"/>
    </row>
    <row r="28" spans="1:25" ht="15" customHeight="1" x14ac:dyDescent="0.35">
      <c r="A28" s="784">
        <v>19</v>
      </c>
      <c r="B28" s="785"/>
      <c r="C28" s="781" t="s">
        <v>331</v>
      </c>
      <c r="D28" s="782"/>
      <c r="E28" s="781" t="s">
        <v>332</v>
      </c>
      <c r="F28" s="783"/>
      <c r="G28" s="783"/>
      <c r="H28" s="782"/>
      <c r="I28" s="784">
        <v>87082900</v>
      </c>
      <c r="J28" s="785"/>
      <c r="K28" s="345">
        <v>1</v>
      </c>
      <c r="L28" s="346" t="s">
        <v>302</v>
      </c>
      <c r="M28" s="800">
        <v>677.34</v>
      </c>
      <c r="N28" s="828"/>
      <c r="O28" s="828"/>
      <c r="P28" s="801"/>
      <c r="Q28" s="803">
        <v>677.34</v>
      </c>
      <c r="R28" s="805"/>
      <c r="S28" s="345">
        <v>0</v>
      </c>
      <c r="T28" s="348">
        <v>677.34</v>
      </c>
      <c r="U28" s="345">
        <v>14</v>
      </c>
      <c r="V28" s="348">
        <v>94.83</v>
      </c>
      <c r="W28" s="345">
        <v>14</v>
      </c>
      <c r="X28" s="800">
        <v>94.83</v>
      </c>
      <c r="Y28" s="801"/>
    </row>
    <row r="29" spans="1:25" ht="15" customHeight="1" x14ac:dyDescent="0.35">
      <c r="A29" s="784">
        <v>20</v>
      </c>
      <c r="B29" s="785"/>
      <c r="C29" s="781" t="s">
        <v>333</v>
      </c>
      <c r="D29" s="782"/>
      <c r="E29" s="781" t="s">
        <v>334</v>
      </c>
      <c r="F29" s="783"/>
      <c r="G29" s="783"/>
      <c r="H29" s="782"/>
      <c r="I29" s="784">
        <v>85122010</v>
      </c>
      <c r="J29" s="785"/>
      <c r="K29" s="345">
        <v>1</v>
      </c>
      <c r="L29" s="346" t="s">
        <v>302</v>
      </c>
      <c r="M29" s="829">
        <v>1394.07</v>
      </c>
      <c r="N29" s="830"/>
      <c r="O29" s="830"/>
      <c r="P29" s="831"/>
      <c r="Q29" s="789">
        <v>1394.07</v>
      </c>
      <c r="R29" s="790"/>
      <c r="S29" s="345">
        <v>0</v>
      </c>
      <c r="T29" s="347">
        <v>1394.07</v>
      </c>
      <c r="U29" s="345">
        <v>9</v>
      </c>
      <c r="V29" s="348">
        <v>125.47</v>
      </c>
      <c r="W29" s="345">
        <v>9</v>
      </c>
      <c r="X29" s="800">
        <v>125.47</v>
      </c>
      <c r="Y29" s="801"/>
    </row>
    <row r="30" spans="1:25" ht="15" customHeight="1" x14ac:dyDescent="0.35">
      <c r="A30" s="784">
        <v>21</v>
      </c>
      <c r="B30" s="785"/>
      <c r="C30" s="781" t="s">
        <v>335</v>
      </c>
      <c r="D30" s="782"/>
      <c r="E30" s="781" t="s">
        <v>336</v>
      </c>
      <c r="F30" s="783"/>
      <c r="G30" s="783"/>
      <c r="H30" s="782"/>
      <c r="I30" s="784">
        <v>87089900</v>
      </c>
      <c r="J30" s="785"/>
      <c r="K30" s="345">
        <v>1</v>
      </c>
      <c r="L30" s="346" t="s">
        <v>302</v>
      </c>
      <c r="M30" s="800">
        <v>178.91</v>
      </c>
      <c r="N30" s="828"/>
      <c r="O30" s="828"/>
      <c r="P30" s="801"/>
      <c r="Q30" s="803">
        <v>178.91</v>
      </c>
      <c r="R30" s="805"/>
      <c r="S30" s="345">
        <v>0</v>
      </c>
      <c r="T30" s="348">
        <v>178.91</v>
      </c>
      <c r="U30" s="345">
        <v>14</v>
      </c>
      <c r="V30" s="348">
        <v>25.05</v>
      </c>
      <c r="W30" s="345">
        <v>14</v>
      </c>
      <c r="X30" s="800">
        <v>25.05</v>
      </c>
      <c r="Y30" s="801"/>
    </row>
    <row r="31" spans="1:25" ht="15" customHeight="1" x14ac:dyDescent="0.35">
      <c r="A31" s="784">
        <v>22</v>
      </c>
      <c r="B31" s="785"/>
      <c r="C31" s="781" t="s">
        <v>337</v>
      </c>
      <c r="D31" s="782"/>
      <c r="E31" s="781" t="s">
        <v>338</v>
      </c>
      <c r="F31" s="783"/>
      <c r="G31" s="783"/>
      <c r="H31" s="782"/>
      <c r="I31" s="784">
        <v>40169330</v>
      </c>
      <c r="J31" s="785"/>
      <c r="K31" s="345">
        <v>1</v>
      </c>
      <c r="L31" s="346" t="s">
        <v>302</v>
      </c>
      <c r="M31" s="800">
        <v>145.76</v>
      </c>
      <c r="N31" s="828"/>
      <c r="O31" s="828"/>
      <c r="P31" s="801"/>
      <c r="Q31" s="803">
        <v>145.76</v>
      </c>
      <c r="R31" s="805"/>
      <c r="S31" s="345">
        <v>0</v>
      </c>
      <c r="T31" s="348">
        <v>145.76</v>
      </c>
      <c r="U31" s="345">
        <v>9</v>
      </c>
      <c r="V31" s="348">
        <v>13.12</v>
      </c>
      <c r="W31" s="345">
        <v>9</v>
      </c>
      <c r="X31" s="800">
        <v>13.12</v>
      </c>
      <c r="Y31" s="801"/>
    </row>
    <row r="32" spans="1:25" ht="15" customHeight="1" x14ac:dyDescent="0.35">
      <c r="A32" s="784">
        <v>23</v>
      </c>
      <c r="B32" s="785"/>
      <c r="C32" s="781" t="s">
        <v>339</v>
      </c>
      <c r="D32" s="782"/>
      <c r="E32" s="781" t="s">
        <v>340</v>
      </c>
      <c r="F32" s="783"/>
      <c r="G32" s="783"/>
      <c r="H32" s="782"/>
      <c r="I32" s="784">
        <v>87082200</v>
      </c>
      <c r="J32" s="785"/>
      <c r="K32" s="345">
        <v>1</v>
      </c>
      <c r="L32" s="346" t="s">
        <v>302</v>
      </c>
      <c r="M32" s="829">
        <v>5175.78</v>
      </c>
      <c r="N32" s="830"/>
      <c r="O32" s="830"/>
      <c r="P32" s="831"/>
      <c r="Q32" s="789">
        <v>5175.78</v>
      </c>
      <c r="R32" s="790"/>
      <c r="S32" s="345">
        <v>0</v>
      </c>
      <c r="T32" s="347">
        <v>5175.78</v>
      </c>
      <c r="U32" s="345">
        <v>14</v>
      </c>
      <c r="V32" s="348">
        <v>724.61</v>
      </c>
      <c r="W32" s="345">
        <v>14</v>
      </c>
      <c r="X32" s="800">
        <v>724.61</v>
      </c>
      <c r="Y32" s="801"/>
    </row>
    <row r="33" spans="1:25" ht="15" customHeight="1" x14ac:dyDescent="0.35">
      <c r="A33" s="784">
        <v>24</v>
      </c>
      <c r="B33" s="785"/>
      <c r="C33" s="781" t="s">
        <v>341</v>
      </c>
      <c r="D33" s="782"/>
      <c r="E33" s="781" t="s">
        <v>342</v>
      </c>
      <c r="F33" s="783"/>
      <c r="G33" s="783"/>
      <c r="H33" s="782"/>
      <c r="I33" s="784">
        <v>90318000</v>
      </c>
      <c r="J33" s="785"/>
      <c r="K33" s="345">
        <v>1</v>
      </c>
      <c r="L33" s="346" t="s">
        <v>302</v>
      </c>
      <c r="M33" s="829">
        <v>4539.83</v>
      </c>
      <c r="N33" s="830"/>
      <c r="O33" s="830"/>
      <c r="P33" s="831"/>
      <c r="Q33" s="789">
        <v>4539.83</v>
      </c>
      <c r="R33" s="790"/>
      <c r="S33" s="345">
        <v>0</v>
      </c>
      <c r="T33" s="347">
        <v>4539.83</v>
      </c>
      <c r="U33" s="345">
        <v>9</v>
      </c>
      <c r="V33" s="348">
        <v>408.58</v>
      </c>
      <c r="W33" s="345">
        <v>9</v>
      </c>
      <c r="X33" s="800">
        <v>408.58</v>
      </c>
      <c r="Y33" s="801"/>
    </row>
    <row r="34" spans="1:25" ht="15" customHeight="1" x14ac:dyDescent="0.35">
      <c r="A34" s="784">
        <v>25</v>
      </c>
      <c r="B34" s="785"/>
      <c r="C34" s="781" t="s">
        <v>343</v>
      </c>
      <c r="D34" s="782"/>
      <c r="E34" s="781" t="s">
        <v>344</v>
      </c>
      <c r="F34" s="783"/>
      <c r="G34" s="783"/>
      <c r="H34" s="782"/>
      <c r="I34" s="784">
        <v>87089900</v>
      </c>
      <c r="J34" s="785"/>
      <c r="K34" s="345">
        <v>1</v>
      </c>
      <c r="L34" s="346" t="s">
        <v>302</v>
      </c>
      <c r="M34" s="800">
        <v>377.34</v>
      </c>
      <c r="N34" s="828"/>
      <c r="O34" s="828"/>
      <c r="P34" s="801"/>
      <c r="Q34" s="803">
        <v>377.34</v>
      </c>
      <c r="R34" s="805"/>
      <c r="S34" s="345">
        <v>0</v>
      </c>
      <c r="T34" s="348">
        <v>377.34</v>
      </c>
      <c r="U34" s="345">
        <v>14</v>
      </c>
      <c r="V34" s="348">
        <v>52.83</v>
      </c>
      <c r="W34" s="345">
        <v>14</v>
      </c>
      <c r="X34" s="800">
        <v>52.83</v>
      </c>
      <c r="Y34" s="801"/>
    </row>
    <row r="35" spans="1:25" ht="15" customHeight="1" x14ac:dyDescent="0.35">
      <c r="A35" s="816">
        <v>26</v>
      </c>
      <c r="B35" s="817"/>
      <c r="C35" s="818" t="s">
        <v>345</v>
      </c>
      <c r="D35" s="819"/>
      <c r="E35" s="818" t="s">
        <v>346</v>
      </c>
      <c r="F35" s="820"/>
      <c r="G35" s="820"/>
      <c r="H35" s="819"/>
      <c r="I35" s="816">
        <v>85122010</v>
      </c>
      <c r="J35" s="817"/>
      <c r="K35" s="349">
        <v>1</v>
      </c>
      <c r="L35" s="350" t="s">
        <v>302</v>
      </c>
      <c r="M35" s="821">
        <v>11421.19</v>
      </c>
      <c r="N35" s="822"/>
      <c r="O35" s="822"/>
      <c r="P35" s="823"/>
      <c r="Q35" s="824">
        <v>11421.19</v>
      </c>
      <c r="R35" s="825"/>
      <c r="S35" s="349">
        <v>0</v>
      </c>
      <c r="T35" s="351">
        <v>11421.19</v>
      </c>
      <c r="U35" s="349">
        <v>9</v>
      </c>
      <c r="V35" s="351">
        <v>1027.9100000000001</v>
      </c>
      <c r="W35" s="349">
        <v>9</v>
      </c>
      <c r="X35" s="826">
        <v>1027.9100000000001</v>
      </c>
      <c r="Y35" s="827"/>
    </row>
    <row r="36" spans="1:25" ht="15" customHeight="1" x14ac:dyDescent="0.2">
      <c r="A36" s="808">
        <v>27</v>
      </c>
      <c r="B36" s="809"/>
      <c r="C36" s="810" t="s">
        <v>347</v>
      </c>
      <c r="D36" s="811"/>
      <c r="E36" s="810" t="s">
        <v>348</v>
      </c>
      <c r="F36" s="812"/>
      <c r="G36" s="812"/>
      <c r="H36" s="811"/>
      <c r="I36" s="808">
        <v>87089500</v>
      </c>
      <c r="J36" s="809"/>
      <c r="K36" s="352">
        <v>1</v>
      </c>
      <c r="L36" s="353" t="s">
        <v>302</v>
      </c>
      <c r="M36" s="813">
        <v>11120.31</v>
      </c>
      <c r="N36" s="814"/>
      <c r="O36" s="814"/>
      <c r="P36" s="815"/>
      <c r="Q36" s="813">
        <v>11120.31</v>
      </c>
      <c r="R36" s="815"/>
      <c r="S36" s="352">
        <v>0</v>
      </c>
      <c r="T36" s="354">
        <v>11120.31</v>
      </c>
      <c r="U36" s="352">
        <v>14</v>
      </c>
      <c r="V36" s="354">
        <v>1556.84</v>
      </c>
      <c r="W36" s="355">
        <v>14</v>
      </c>
      <c r="X36" s="806">
        <v>1556.84</v>
      </c>
      <c r="Y36" s="807"/>
    </row>
    <row r="37" spans="1:25" ht="15" customHeight="1" x14ac:dyDescent="0.35">
      <c r="A37" s="784">
        <v>28</v>
      </c>
      <c r="B37" s="785"/>
      <c r="C37" s="781" t="s">
        <v>349</v>
      </c>
      <c r="D37" s="782"/>
      <c r="E37" s="781" t="s">
        <v>320</v>
      </c>
      <c r="F37" s="783"/>
      <c r="G37" s="783"/>
      <c r="H37" s="782"/>
      <c r="I37" s="784">
        <v>85122010</v>
      </c>
      <c r="J37" s="785"/>
      <c r="K37" s="345">
        <v>1</v>
      </c>
      <c r="L37" s="356" t="s">
        <v>302</v>
      </c>
      <c r="M37" s="803">
        <v>591.53</v>
      </c>
      <c r="N37" s="804"/>
      <c r="O37" s="804"/>
      <c r="P37" s="805"/>
      <c r="Q37" s="803">
        <v>591.53</v>
      </c>
      <c r="R37" s="805"/>
      <c r="S37" s="345">
        <v>0</v>
      </c>
      <c r="T37" s="348">
        <v>591.53</v>
      </c>
      <c r="U37" s="345">
        <v>9</v>
      </c>
      <c r="V37" s="348">
        <v>53.24</v>
      </c>
      <c r="W37" s="357">
        <v>9</v>
      </c>
      <c r="X37" s="800">
        <v>53.24</v>
      </c>
      <c r="Y37" s="801"/>
    </row>
    <row r="38" spans="1:25" ht="15" customHeight="1" x14ac:dyDescent="0.35">
      <c r="A38" s="784">
        <v>29</v>
      </c>
      <c r="B38" s="785"/>
      <c r="C38" s="781" t="s">
        <v>350</v>
      </c>
      <c r="D38" s="782"/>
      <c r="E38" s="781" t="s">
        <v>351</v>
      </c>
      <c r="F38" s="783"/>
      <c r="G38" s="783"/>
      <c r="H38" s="782"/>
      <c r="I38" s="784">
        <v>87089100</v>
      </c>
      <c r="J38" s="785"/>
      <c r="K38" s="345">
        <v>1</v>
      </c>
      <c r="L38" s="356" t="s">
        <v>302</v>
      </c>
      <c r="M38" s="803">
        <v>153.91</v>
      </c>
      <c r="N38" s="804"/>
      <c r="O38" s="804"/>
      <c r="P38" s="805"/>
      <c r="Q38" s="803">
        <v>153.91</v>
      </c>
      <c r="R38" s="805"/>
      <c r="S38" s="345">
        <v>0</v>
      </c>
      <c r="T38" s="348">
        <v>153.91</v>
      </c>
      <c r="U38" s="345">
        <v>14</v>
      </c>
      <c r="V38" s="348">
        <v>21.55</v>
      </c>
      <c r="W38" s="358">
        <v>14</v>
      </c>
      <c r="X38" s="800">
        <v>21.55</v>
      </c>
      <c r="Y38" s="801"/>
    </row>
    <row r="39" spans="1:25" ht="15" customHeight="1" x14ac:dyDescent="0.35">
      <c r="A39" s="784">
        <v>30</v>
      </c>
      <c r="B39" s="785"/>
      <c r="C39" s="781" t="s">
        <v>352</v>
      </c>
      <c r="D39" s="782"/>
      <c r="E39" s="781" t="s">
        <v>353</v>
      </c>
      <c r="F39" s="783"/>
      <c r="G39" s="783"/>
      <c r="H39" s="782"/>
      <c r="I39" s="784">
        <v>85443000</v>
      </c>
      <c r="J39" s="785"/>
      <c r="K39" s="345">
        <v>1</v>
      </c>
      <c r="L39" s="356" t="s">
        <v>302</v>
      </c>
      <c r="M39" s="789">
        <v>16744.919999999998</v>
      </c>
      <c r="N39" s="802"/>
      <c r="O39" s="802"/>
      <c r="P39" s="790"/>
      <c r="Q39" s="789">
        <v>16744.919999999998</v>
      </c>
      <c r="R39" s="790"/>
      <c r="S39" s="345">
        <v>0</v>
      </c>
      <c r="T39" s="347">
        <v>16744.919999999998</v>
      </c>
      <c r="U39" s="345">
        <v>9</v>
      </c>
      <c r="V39" s="347">
        <v>1507.04</v>
      </c>
      <c r="W39" s="357">
        <v>9</v>
      </c>
      <c r="X39" s="791">
        <v>1507.04</v>
      </c>
      <c r="Y39" s="792"/>
    </row>
    <row r="40" spans="1:25" ht="15" customHeight="1" x14ac:dyDescent="0.35">
      <c r="A40" s="784">
        <v>31</v>
      </c>
      <c r="B40" s="785"/>
      <c r="C40" s="781" t="s">
        <v>354</v>
      </c>
      <c r="D40" s="782"/>
      <c r="E40" s="781" t="s">
        <v>353</v>
      </c>
      <c r="F40" s="783"/>
      <c r="G40" s="783"/>
      <c r="H40" s="782"/>
      <c r="I40" s="784">
        <v>85443000</v>
      </c>
      <c r="J40" s="785"/>
      <c r="K40" s="345">
        <v>1</v>
      </c>
      <c r="L40" s="356" t="s">
        <v>302</v>
      </c>
      <c r="M40" s="789">
        <v>30140.68</v>
      </c>
      <c r="N40" s="802"/>
      <c r="O40" s="802"/>
      <c r="P40" s="790"/>
      <c r="Q40" s="789">
        <v>30140.68</v>
      </c>
      <c r="R40" s="790"/>
      <c r="S40" s="345">
        <v>0</v>
      </c>
      <c r="T40" s="347">
        <v>30140.68</v>
      </c>
      <c r="U40" s="345">
        <v>9</v>
      </c>
      <c r="V40" s="347">
        <v>2712.66</v>
      </c>
      <c r="W40" s="357">
        <v>9</v>
      </c>
      <c r="X40" s="791">
        <v>2712.66</v>
      </c>
      <c r="Y40" s="792"/>
    </row>
    <row r="41" spans="1:25" ht="15" customHeight="1" x14ac:dyDescent="0.35">
      <c r="A41" s="784">
        <v>32</v>
      </c>
      <c r="B41" s="785"/>
      <c r="C41" s="781" t="s">
        <v>355</v>
      </c>
      <c r="D41" s="782"/>
      <c r="E41" s="781" t="s">
        <v>356</v>
      </c>
      <c r="F41" s="783"/>
      <c r="G41" s="783"/>
      <c r="H41" s="782"/>
      <c r="I41" s="784">
        <v>87089900</v>
      </c>
      <c r="J41" s="785"/>
      <c r="K41" s="345">
        <v>1</v>
      </c>
      <c r="L41" s="356" t="s">
        <v>302</v>
      </c>
      <c r="M41" s="789">
        <v>5526.56</v>
      </c>
      <c r="N41" s="802"/>
      <c r="O41" s="802"/>
      <c r="P41" s="790"/>
      <c r="Q41" s="789">
        <v>5526.56</v>
      </c>
      <c r="R41" s="790"/>
      <c r="S41" s="345">
        <v>0</v>
      </c>
      <c r="T41" s="347">
        <v>5526.56</v>
      </c>
      <c r="U41" s="345">
        <v>14</v>
      </c>
      <c r="V41" s="348">
        <v>773.72</v>
      </c>
      <c r="W41" s="358">
        <v>14</v>
      </c>
      <c r="X41" s="800">
        <v>773.72</v>
      </c>
      <c r="Y41" s="801"/>
    </row>
    <row r="42" spans="1:25" ht="15" customHeight="1" x14ac:dyDescent="0.35">
      <c r="A42" s="784">
        <v>33</v>
      </c>
      <c r="B42" s="785"/>
      <c r="C42" s="781" t="s">
        <v>357</v>
      </c>
      <c r="D42" s="782"/>
      <c r="E42" s="781" t="s">
        <v>358</v>
      </c>
      <c r="F42" s="783"/>
      <c r="G42" s="783"/>
      <c r="H42" s="782"/>
      <c r="I42" s="784">
        <v>87089900</v>
      </c>
      <c r="J42" s="785"/>
      <c r="K42" s="345">
        <v>1</v>
      </c>
      <c r="L42" s="356" t="s">
        <v>302</v>
      </c>
      <c r="M42" s="789">
        <v>2769.53</v>
      </c>
      <c r="N42" s="802"/>
      <c r="O42" s="802"/>
      <c r="P42" s="790"/>
      <c r="Q42" s="789">
        <v>2769.53</v>
      </c>
      <c r="R42" s="790"/>
      <c r="S42" s="345">
        <v>0</v>
      </c>
      <c r="T42" s="347">
        <v>2769.53</v>
      </c>
      <c r="U42" s="345">
        <v>14</v>
      </c>
      <c r="V42" s="348">
        <v>387.73</v>
      </c>
      <c r="W42" s="358">
        <v>14</v>
      </c>
      <c r="X42" s="800">
        <v>387.73</v>
      </c>
      <c r="Y42" s="801"/>
    </row>
    <row r="43" spans="1:25" ht="15" customHeight="1" x14ac:dyDescent="0.35">
      <c r="A43" s="784">
        <v>34</v>
      </c>
      <c r="B43" s="785"/>
      <c r="C43" s="781" t="s">
        <v>359</v>
      </c>
      <c r="D43" s="782"/>
      <c r="E43" s="781" t="s">
        <v>334</v>
      </c>
      <c r="F43" s="783"/>
      <c r="G43" s="783"/>
      <c r="H43" s="782"/>
      <c r="I43" s="784">
        <v>85122010</v>
      </c>
      <c r="J43" s="785"/>
      <c r="K43" s="345">
        <v>1</v>
      </c>
      <c r="L43" s="356" t="s">
        <v>302</v>
      </c>
      <c r="M43" s="789">
        <v>1394.07</v>
      </c>
      <c r="N43" s="802"/>
      <c r="O43" s="802"/>
      <c r="P43" s="790"/>
      <c r="Q43" s="789">
        <v>1394.07</v>
      </c>
      <c r="R43" s="790"/>
      <c r="S43" s="345">
        <v>0</v>
      </c>
      <c r="T43" s="347">
        <v>1394.07</v>
      </c>
      <c r="U43" s="345">
        <v>9</v>
      </c>
      <c r="V43" s="348">
        <v>125.47</v>
      </c>
      <c r="W43" s="357">
        <v>9</v>
      </c>
      <c r="X43" s="800">
        <v>125.47</v>
      </c>
      <c r="Y43" s="801"/>
    </row>
    <row r="44" spans="1:25" ht="15" customHeight="1" x14ac:dyDescent="0.35">
      <c r="A44" s="784">
        <v>35</v>
      </c>
      <c r="B44" s="785"/>
      <c r="C44" s="781" t="s">
        <v>360</v>
      </c>
      <c r="D44" s="782"/>
      <c r="E44" s="781" t="s">
        <v>361</v>
      </c>
      <c r="F44" s="783"/>
      <c r="G44" s="783"/>
      <c r="H44" s="782"/>
      <c r="I44" s="784">
        <v>87089900</v>
      </c>
      <c r="J44" s="785"/>
      <c r="K44" s="345">
        <v>1</v>
      </c>
      <c r="L44" s="356" t="s">
        <v>302</v>
      </c>
      <c r="M44" s="789">
        <v>8708.59</v>
      </c>
      <c r="N44" s="802"/>
      <c r="O44" s="802"/>
      <c r="P44" s="790"/>
      <c r="Q44" s="789">
        <v>8708.59</v>
      </c>
      <c r="R44" s="790"/>
      <c r="S44" s="345">
        <v>0</v>
      </c>
      <c r="T44" s="347">
        <v>8708.59</v>
      </c>
      <c r="U44" s="345">
        <v>14</v>
      </c>
      <c r="V44" s="347">
        <v>1219.2</v>
      </c>
      <c r="W44" s="358">
        <v>14</v>
      </c>
      <c r="X44" s="791">
        <v>1219.2</v>
      </c>
      <c r="Y44" s="792"/>
    </row>
    <row r="45" spans="1:25" ht="15" customHeight="1" x14ac:dyDescent="0.35">
      <c r="A45" s="784">
        <v>36</v>
      </c>
      <c r="B45" s="785"/>
      <c r="C45" s="781" t="s">
        <v>362</v>
      </c>
      <c r="D45" s="782"/>
      <c r="E45" s="781" t="s">
        <v>363</v>
      </c>
      <c r="F45" s="783"/>
      <c r="G45" s="783"/>
      <c r="H45" s="782"/>
      <c r="I45" s="784">
        <v>90328990</v>
      </c>
      <c r="J45" s="785"/>
      <c r="K45" s="345">
        <v>1</v>
      </c>
      <c r="L45" s="356" t="s">
        <v>302</v>
      </c>
      <c r="M45" s="789">
        <v>6842.37</v>
      </c>
      <c r="N45" s="802"/>
      <c r="O45" s="802"/>
      <c r="P45" s="790"/>
      <c r="Q45" s="789">
        <v>6842.37</v>
      </c>
      <c r="R45" s="790"/>
      <c r="S45" s="345">
        <v>0</v>
      </c>
      <c r="T45" s="347">
        <v>6842.37</v>
      </c>
      <c r="U45" s="345">
        <v>9</v>
      </c>
      <c r="V45" s="348">
        <v>615.80999999999995</v>
      </c>
      <c r="W45" s="357">
        <v>9</v>
      </c>
      <c r="X45" s="800">
        <v>615.80999999999995</v>
      </c>
      <c r="Y45" s="801"/>
    </row>
    <row r="46" spans="1:25" ht="15" customHeight="1" x14ac:dyDescent="0.35">
      <c r="A46" s="784">
        <v>37</v>
      </c>
      <c r="B46" s="785"/>
      <c r="C46" s="781" t="s">
        <v>364</v>
      </c>
      <c r="D46" s="782"/>
      <c r="E46" s="781" t="s">
        <v>332</v>
      </c>
      <c r="F46" s="783"/>
      <c r="G46" s="783"/>
      <c r="H46" s="782"/>
      <c r="I46" s="784">
        <v>87082900</v>
      </c>
      <c r="J46" s="785"/>
      <c r="K46" s="345">
        <v>1</v>
      </c>
      <c r="L46" s="356" t="s">
        <v>302</v>
      </c>
      <c r="M46" s="803">
        <v>677.34</v>
      </c>
      <c r="N46" s="804"/>
      <c r="O46" s="804"/>
      <c r="P46" s="805"/>
      <c r="Q46" s="803">
        <v>677.34</v>
      </c>
      <c r="R46" s="805"/>
      <c r="S46" s="345">
        <v>0</v>
      </c>
      <c r="T46" s="348">
        <v>677.34</v>
      </c>
      <c r="U46" s="345">
        <v>14</v>
      </c>
      <c r="V46" s="348">
        <v>94.83</v>
      </c>
      <c r="W46" s="358">
        <v>14</v>
      </c>
      <c r="X46" s="800">
        <v>94.83</v>
      </c>
      <c r="Y46" s="801"/>
    </row>
    <row r="47" spans="1:25" ht="15" customHeight="1" x14ac:dyDescent="0.35">
      <c r="A47" s="784">
        <v>38</v>
      </c>
      <c r="B47" s="785"/>
      <c r="C47" s="781" t="s">
        <v>365</v>
      </c>
      <c r="D47" s="782"/>
      <c r="E47" s="781" t="s">
        <v>336</v>
      </c>
      <c r="F47" s="783"/>
      <c r="G47" s="783"/>
      <c r="H47" s="782"/>
      <c r="I47" s="784">
        <v>87089900</v>
      </c>
      <c r="J47" s="785"/>
      <c r="K47" s="345">
        <v>1</v>
      </c>
      <c r="L47" s="356" t="s">
        <v>302</v>
      </c>
      <c r="M47" s="803">
        <v>178.91</v>
      </c>
      <c r="N47" s="804"/>
      <c r="O47" s="804"/>
      <c r="P47" s="805"/>
      <c r="Q47" s="803">
        <v>178.91</v>
      </c>
      <c r="R47" s="805"/>
      <c r="S47" s="345">
        <v>0</v>
      </c>
      <c r="T47" s="348">
        <v>178.91</v>
      </c>
      <c r="U47" s="345">
        <v>14</v>
      </c>
      <c r="V47" s="348">
        <v>25.05</v>
      </c>
      <c r="W47" s="358">
        <v>14</v>
      </c>
      <c r="X47" s="800">
        <v>25.05</v>
      </c>
      <c r="Y47" s="801"/>
    </row>
    <row r="48" spans="1:25" ht="15" customHeight="1" x14ac:dyDescent="0.35">
      <c r="A48" s="784">
        <v>39</v>
      </c>
      <c r="B48" s="785"/>
      <c r="C48" s="781" t="s">
        <v>366</v>
      </c>
      <c r="D48" s="782"/>
      <c r="E48" s="781" t="s">
        <v>314</v>
      </c>
      <c r="F48" s="783"/>
      <c r="G48" s="783"/>
      <c r="H48" s="782"/>
      <c r="I48" s="784">
        <v>87082900</v>
      </c>
      <c r="J48" s="785"/>
      <c r="K48" s="345">
        <v>1</v>
      </c>
      <c r="L48" s="356" t="s">
        <v>302</v>
      </c>
      <c r="M48" s="789">
        <v>5822.66</v>
      </c>
      <c r="N48" s="802"/>
      <c r="O48" s="802"/>
      <c r="P48" s="790"/>
      <c r="Q48" s="789">
        <v>5822.66</v>
      </c>
      <c r="R48" s="790"/>
      <c r="S48" s="345">
        <v>0</v>
      </c>
      <c r="T48" s="347">
        <v>5822.66</v>
      </c>
      <c r="U48" s="345">
        <v>14</v>
      </c>
      <c r="V48" s="348">
        <v>815.17</v>
      </c>
      <c r="W48" s="358">
        <v>14</v>
      </c>
      <c r="X48" s="800">
        <v>815.17</v>
      </c>
      <c r="Y48" s="801"/>
    </row>
    <row r="49" spans="1:25" ht="15" customHeight="1" x14ac:dyDescent="0.35">
      <c r="A49" s="784">
        <v>40</v>
      </c>
      <c r="B49" s="785"/>
      <c r="C49" s="781" t="s">
        <v>367</v>
      </c>
      <c r="D49" s="782"/>
      <c r="E49" s="781" t="s">
        <v>368</v>
      </c>
      <c r="F49" s="783"/>
      <c r="G49" s="783"/>
      <c r="H49" s="782"/>
      <c r="I49" s="784">
        <v>87089900</v>
      </c>
      <c r="J49" s="785"/>
      <c r="K49" s="345">
        <v>1</v>
      </c>
      <c r="L49" s="356" t="s">
        <v>302</v>
      </c>
      <c r="M49" s="789">
        <v>2603.91</v>
      </c>
      <c r="N49" s="802"/>
      <c r="O49" s="802"/>
      <c r="P49" s="790"/>
      <c r="Q49" s="789">
        <v>2603.91</v>
      </c>
      <c r="R49" s="790"/>
      <c r="S49" s="345">
        <v>0</v>
      </c>
      <c r="T49" s="347">
        <v>2603.91</v>
      </c>
      <c r="U49" s="345">
        <v>14</v>
      </c>
      <c r="V49" s="348">
        <v>364.55</v>
      </c>
      <c r="W49" s="358">
        <v>14</v>
      </c>
      <c r="X49" s="800">
        <v>364.55</v>
      </c>
      <c r="Y49" s="801"/>
    </row>
    <row r="50" spans="1:25" ht="15" customHeight="1" x14ac:dyDescent="0.35">
      <c r="A50" s="784">
        <v>41</v>
      </c>
      <c r="B50" s="785"/>
      <c r="C50" s="781" t="s">
        <v>369</v>
      </c>
      <c r="D50" s="782"/>
      <c r="E50" s="781" t="s">
        <v>370</v>
      </c>
      <c r="F50" s="783"/>
      <c r="G50" s="783"/>
      <c r="H50" s="782"/>
      <c r="I50" s="784">
        <v>87089900</v>
      </c>
      <c r="J50" s="785"/>
      <c r="K50" s="345">
        <v>1</v>
      </c>
      <c r="L50" s="356" t="s">
        <v>302</v>
      </c>
      <c r="M50" s="789">
        <v>9717.19</v>
      </c>
      <c r="N50" s="802"/>
      <c r="O50" s="802"/>
      <c r="P50" s="790"/>
      <c r="Q50" s="789">
        <v>9717.19</v>
      </c>
      <c r="R50" s="790"/>
      <c r="S50" s="345">
        <v>0</v>
      </c>
      <c r="T50" s="347">
        <v>9717.19</v>
      </c>
      <c r="U50" s="345">
        <v>14</v>
      </c>
      <c r="V50" s="347">
        <v>1360.41</v>
      </c>
      <c r="W50" s="358">
        <v>14</v>
      </c>
      <c r="X50" s="791">
        <v>1360.41</v>
      </c>
      <c r="Y50" s="792"/>
    </row>
    <row r="51" spans="1:25" ht="15" customHeight="1" x14ac:dyDescent="0.35">
      <c r="A51" s="784">
        <v>42</v>
      </c>
      <c r="B51" s="785"/>
      <c r="C51" s="781" t="s">
        <v>371</v>
      </c>
      <c r="D51" s="782"/>
      <c r="E51" s="781" t="s">
        <v>372</v>
      </c>
      <c r="F51" s="783"/>
      <c r="G51" s="783"/>
      <c r="H51" s="782"/>
      <c r="I51" s="784">
        <v>87089900</v>
      </c>
      <c r="J51" s="785"/>
      <c r="K51" s="345">
        <v>1</v>
      </c>
      <c r="L51" s="356" t="s">
        <v>302</v>
      </c>
      <c r="M51" s="789">
        <v>1190.6300000000001</v>
      </c>
      <c r="N51" s="802"/>
      <c r="O51" s="802"/>
      <c r="P51" s="790"/>
      <c r="Q51" s="789">
        <v>1190.6300000000001</v>
      </c>
      <c r="R51" s="790"/>
      <c r="S51" s="345">
        <v>0</v>
      </c>
      <c r="T51" s="347">
        <v>1190.6300000000001</v>
      </c>
      <c r="U51" s="345">
        <v>14</v>
      </c>
      <c r="V51" s="348">
        <v>166.69</v>
      </c>
      <c r="W51" s="358">
        <v>14</v>
      </c>
      <c r="X51" s="800">
        <v>166.69</v>
      </c>
      <c r="Y51" s="801"/>
    </row>
    <row r="52" spans="1:25" ht="15" customHeight="1" x14ac:dyDescent="0.35">
      <c r="A52" s="784">
        <v>43</v>
      </c>
      <c r="B52" s="785"/>
      <c r="C52" s="781" t="s">
        <v>373</v>
      </c>
      <c r="D52" s="782"/>
      <c r="E52" s="781" t="s">
        <v>374</v>
      </c>
      <c r="F52" s="783"/>
      <c r="G52" s="783"/>
      <c r="H52" s="782"/>
      <c r="I52" s="784">
        <v>87089100</v>
      </c>
      <c r="J52" s="785"/>
      <c r="K52" s="345">
        <v>1</v>
      </c>
      <c r="L52" s="356" t="s">
        <v>302</v>
      </c>
      <c r="M52" s="803">
        <v>153.91</v>
      </c>
      <c r="N52" s="804"/>
      <c r="O52" s="804"/>
      <c r="P52" s="805"/>
      <c r="Q52" s="803">
        <v>153.91</v>
      </c>
      <c r="R52" s="805"/>
      <c r="S52" s="345">
        <v>0</v>
      </c>
      <c r="T52" s="348">
        <v>153.91</v>
      </c>
      <c r="U52" s="345">
        <v>14</v>
      </c>
      <c r="V52" s="348">
        <v>21.55</v>
      </c>
      <c r="W52" s="358">
        <v>14</v>
      </c>
      <c r="X52" s="800">
        <v>21.55</v>
      </c>
      <c r="Y52" s="801"/>
    </row>
    <row r="53" spans="1:25" ht="15" customHeight="1" x14ac:dyDescent="0.35">
      <c r="A53" s="784">
        <v>44</v>
      </c>
      <c r="B53" s="785"/>
      <c r="C53" s="781" t="s">
        <v>375</v>
      </c>
      <c r="D53" s="782"/>
      <c r="E53" s="781" t="s">
        <v>327</v>
      </c>
      <c r="F53" s="783"/>
      <c r="G53" s="783"/>
      <c r="H53" s="782"/>
      <c r="I53" s="784">
        <v>87082100</v>
      </c>
      <c r="J53" s="785"/>
      <c r="K53" s="345">
        <v>1</v>
      </c>
      <c r="L53" s="356" t="s">
        <v>302</v>
      </c>
      <c r="M53" s="789">
        <v>3207.03</v>
      </c>
      <c r="N53" s="802"/>
      <c r="O53" s="802"/>
      <c r="P53" s="790"/>
      <c r="Q53" s="789">
        <v>3207.03</v>
      </c>
      <c r="R53" s="790"/>
      <c r="S53" s="345">
        <v>0</v>
      </c>
      <c r="T53" s="347">
        <v>3207.03</v>
      </c>
      <c r="U53" s="345">
        <v>14</v>
      </c>
      <c r="V53" s="348">
        <v>448.98</v>
      </c>
      <c r="W53" s="358">
        <v>14</v>
      </c>
      <c r="X53" s="800">
        <v>448.98</v>
      </c>
      <c r="Y53" s="801"/>
    </row>
    <row r="54" spans="1:25" ht="12.75" customHeight="1" x14ac:dyDescent="0.35">
      <c r="A54" s="795" t="s">
        <v>376</v>
      </c>
      <c r="B54" s="796"/>
      <c r="C54" s="796"/>
      <c r="D54" s="797"/>
      <c r="E54" s="773"/>
      <c r="F54" s="798"/>
      <c r="G54" s="798"/>
      <c r="H54" s="774"/>
      <c r="I54" s="773"/>
      <c r="J54" s="774"/>
      <c r="K54" s="793"/>
      <c r="L54" s="793"/>
      <c r="M54" s="773"/>
      <c r="N54" s="798"/>
      <c r="O54" s="798"/>
      <c r="P54" s="774"/>
      <c r="Q54" s="773"/>
      <c r="R54" s="774"/>
      <c r="S54" s="793"/>
      <c r="T54" s="793"/>
      <c r="U54" s="793"/>
      <c r="V54" s="793"/>
      <c r="W54" s="793"/>
      <c r="X54" s="773"/>
      <c r="Y54" s="774"/>
    </row>
    <row r="55" spans="1:25" ht="9" customHeight="1" x14ac:dyDescent="0.35">
      <c r="A55" s="777"/>
      <c r="B55" s="778"/>
      <c r="C55" s="777"/>
      <c r="D55" s="778"/>
      <c r="E55" s="775"/>
      <c r="F55" s="799"/>
      <c r="G55" s="799"/>
      <c r="H55" s="776"/>
      <c r="I55" s="775"/>
      <c r="J55" s="776"/>
      <c r="K55" s="794"/>
      <c r="L55" s="794"/>
      <c r="M55" s="775"/>
      <c r="N55" s="799"/>
      <c r="O55" s="799"/>
      <c r="P55" s="776"/>
      <c r="Q55" s="775"/>
      <c r="R55" s="776"/>
      <c r="S55" s="794"/>
      <c r="T55" s="794"/>
      <c r="U55" s="794"/>
      <c r="V55" s="794"/>
      <c r="W55" s="794"/>
      <c r="X55" s="775"/>
      <c r="Y55" s="776"/>
    </row>
    <row r="56" spans="1:25" ht="21" customHeight="1" x14ac:dyDescent="0.35">
      <c r="A56" s="779">
        <v>1</v>
      </c>
      <c r="B56" s="780"/>
      <c r="C56" s="781" t="s">
        <v>377</v>
      </c>
      <c r="D56" s="782"/>
      <c r="E56" s="781" t="s">
        <v>378</v>
      </c>
      <c r="F56" s="783"/>
      <c r="G56" s="783"/>
      <c r="H56" s="782"/>
      <c r="I56" s="784">
        <v>998729</v>
      </c>
      <c r="J56" s="785"/>
      <c r="K56" s="356" t="s">
        <v>379</v>
      </c>
      <c r="L56" s="356" t="s">
        <v>379</v>
      </c>
      <c r="M56" s="786" t="s">
        <v>379</v>
      </c>
      <c r="N56" s="787"/>
      <c r="O56" s="787"/>
      <c r="P56" s="788"/>
      <c r="Q56" s="789">
        <v>24000</v>
      </c>
      <c r="R56" s="790"/>
      <c r="S56" s="345">
        <v>0</v>
      </c>
      <c r="T56" s="347">
        <v>24000</v>
      </c>
      <c r="U56" s="345">
        <v>9</v>
      </c>
      <c r="V56" s="347">
        <v>2160</v>
      </c>
      <c r="W56" s="357">
        <v>9</v>
      </c>
      <c r="X56" s="791">
        <v>2160</v>
      </c>
      <c r="Y56" s="792"/>
    </row>
    <row r="57" spans="1:25" ht="6" customHeight="1" x14ac:dyDescent="0.35">
      <c r="A57" s="754"/>
      <c r="B57" s="755"/>
      <c r="C57" s="754"/>
      <c r="D57" s="755"/>
      <c r="E57" s="754"/>
      <c r="F57" s="772"/>
      <c r="G57" s="772"/>
      <c r="H57" s="755"/>
      <c r="I57" s="754"/>
      <c r="J57" s="755"/>
      <c r="K57" s="359"/>
      <c r="L57" s="359"/>
      <c r="M57" s="754"/>
      <c r="N57" s="772"/>
      <c r="O57" s="772"/>
      <c r="P57" s="755"/>
      <c r="Q57" s="754"/>
      <c r="R57" s="755"/>
      <c r="S57" s="359"/>
      <c r="T57" s="359"/>
      <c r="U57" s="359"/>
      <c r="V57" s="359"/>
      <c r="W57" s="359"/>
      <c r="X57" s="754"/>
      <c r="Y57" s="755"/>
    </row>
    <row r="58" spans="1:25" ht="27" customHeight="1" x14ac:dyDescent="0.35">
      <c r="A58" s="756" t="s">
        <v>380</v>
      </c>
      <c r="B58" s="757"/>
      <c r="C58" s="757"/>
      <c r="D58" s="757"/>
      <c r="E58" s="757"/>
      <c r="F58" s="757"/>
      <c r="G58" s="757"/>
      <c r="H58" s="757"/>
      <c r="I58" s="757"/>
      <c r="J58" s="757"/>
      <c r="K58" s="757"/>
      <c r="L58" s="757"/>
      <c r="M58" s="757"/>
      <c r="N58" s="757"/>
      <c r="O58" s="757"/>
      <c r="P58" s="758"/>
      <c r="Q58" s="759" t="s">
        <v>381</v>
      </c>
      <c r="R58" s="760"/>
      <c r="S58" s="360">
        <v>0</v>
      </c>
      <c r="T58" s="361" t="s">
        <v>381</v>
      </c>
      <c r="U58" s="761">
        <v>25839.9</v>
      </c>
      <c r="V58" s="762"/>
      <c r="W58" s="761">
        <v>25839.9</v>
      </c>
      <c r="X58" s="763"/>
      <c r="Y58" s="762"/>
    </row>
    <row r="59" spans="1:25" ht="22.5" customHeight="1" x14ac:dyDescent="0.35">
      <c r="A59" s="764" t="s">
        <v>382</v>
      </c>
      <c r="B59" s="765"/>
      <c r="C59" s="765"/>
      <c r="D59" s="765"/>
      <c r="E59" s="765"/>
      <c r="F59" s="765"/>
      <c r="G59" s="765"/>
      <c r="H59" s="765"/>
      <c r="I59" s="766"/>
      <c r="J59" s="766"/>
      <c r="K59" s="766"/>
      <c r="L59" s="766"/>
      <c r="M59" s="766"/>
      <c r="N59" s="766"/>
      <c r="O59" s="766"/>
      <c r="P59" s="766"/>
      <c r="Q59" s="766"/>
      <c r="R59" s="766"/>
      <c r="S59" s="766"/>
      <c r="T59" s="766"/>
      <c r="U59" s="767" t="s">
        <v>383</v>
      </c>
      <c r="V59" s="768"/>
      <c r="W59" s="769" t="s">
        <v>384</v>
      </c>
      <c r="X59" s="770"/>
      <c r="Y59" s="771"/>
    </row>
    <row r="60" spans="1:25" ht="21" customHeight="1" x14ac:dyDescent="0.35">
      <c r="A60" s="741" t="s">
        <v>385</v>
      </c>
      <c r="B60" s="742"/>
      <c r="C60" s="742"/>
      <c r="D60" s="742"/>
      <c r="E60" s="742"/>
      <c r="F60" s="742"/>
      <c r="G60" s="742"/>
      <c r="H60" s="742"/>
      <c r="I60" s="743"/>
      <c r="J60" s="743"/>
      <c r="K60" s="743"/>
      <c r="L60" s="743"/>
      <c r="M60" s="743"/>
      <c r="N60" s="743"/>
      <c r="O60" s="743"/>
      <c r="P60" s="743"/>
      <c r="Q60" s="743"/>
      <c r="R60" s="743"/>
      <c r="S60" s="743"/>
      <c r="T60" s="743"/>
      <c r="U60" s="744" t="s">
        <v>386</v>
      </c>
      <c r="V60" s="745"/>
      <c r="W60" s="746">
        <v>-0.13</v>
      </c>
      <c r="X60" s="718"/>
      <c r="Y60" s="747"/>
    </row>
    <row r="61" spans="1:25" ht="29.15" customHeight="1" x14ac:dyDescent="0.35">
      <c r="A61" s="748" t="s">
        <v>387</v>
      </c>
      <c r="B61" s="749"/>
      <c r="C61" s="749"/>
      <c r="D61" s="749"/>
      <c r="E61" s="749"/>
      <c r="F61" s="749"/>
      <c r="G61" s="749"/>
      <c r="H61" s="749"/>
      <c r="I61" s="749"/>
      <c r="J61" s="749"/>
      <c r="K61" s="749"/>
      <c r="L61" s="749"/>
      <c r="M61" s="749"/>
      <c r="N61" s="749"/>
      <c r="O61" s="749"/>
      <c r="P61" s="749"/>
      <c r="Q61" s="749"/>
      <c r="R61" s="749"/>
      <c r="S61" s="749"/>
      <c r="T61" s="749"/>
      <c r="U61" s="749"/>
      <c r="V61" s="750"/>
      <c r="W61" s="751" t="s">
        <v>388</v>
      </c>
      <c r="X61" s="752"/>
      <c r="Y61" s="753"/>
    </row>
    <row r="62" spans="1:25" ht="29.15" customHeight="1" x14ac:dyDescent="0.35">
      <c r="A62" s="663" t="s">
        <v>389</v>
      </c>
      <c r="B62" s="664"/>
      <c r="C62" s="664"/>
      <c r="D62" s="664"/>
      <c r="E62" s="664"/>
      <c r="F62" s="664"/>
      <c r="G62" s="664"/>
      <c r="H62" s="664"/>
      <c r="I62" s="664"/>
      <c r="J62" s="664"/>
      <c r="K62" s="664"/>
      <c r="L62" s="664"/>
      <c r="M62" s="664"/>
      <c r="N62" s="664"/>
      <c r="O62" s="664"/>
      <c r="P62" s="664"/>
      <c r="Q62" s="664"/>
      <c r="R62" s="664"/>
      <c r="S62" s="664"/>
      <c r="T62" s="664"/>
      <c r="U62" s="664"/>
      <c r="V62" s="664"/>
      <c r="W62" s="664"/>
      <c r="X62" s="664"/>
      <c r="Y62" s="665"/>
    </row>
    <row r="63" spans="1:25" ht="50.15" customHeight="1" x14ac:dyDescent="0.35">
      <c r="A63" s="657" t="s">
        <v>390</v>
      </c>
      <c r="B63" s="658"/>
      <c r="C63" s="658"/>
      <c r="D63" s="658"/>
      <c r="E63" s="658"/>
      <c r="F63" s="658"/>
      <c r="G63" s="658"/>
      <c r="H63" s="658"/>
      <c r="I63" s="658"/>
      <c r="J63" s="658"/>
      <c r="K63" s="658"/>
      <c r="L63" s="658"/>
      <c r="M63" s="658"/>
      <c r="N63" s="658"/>
      <c r="O63" s="658"/>
      <c r="P63" s="658"/>
      <c r="Q63" s="658"/>
      <c r="R63" s="658"/>
      <c r="S63" s="658"/>
      <c r="T63" s="658"/>
      <c r="U63" s="658"/>
      <c r="V63" s="658"/>
      <c r="W63" s="658"/>
      <c r="X63" s="658"/>
      <c r="Y63" s="659"/>
    </row>
    <row r="64" spans="1:25" ht="22" customHeight="1" x14ac:dyDescent="0.35">
      <c r="A64" s="738" t="s">
        <v>391</v>
      </c>
      <c r="B64" s="739"/>
      <c r="C64" s="739"/>
      <c r="D64" s="739"/>
      <c r="E64" s="739"/>
      <c r="F64" s="739"/>
      <c r="G64" s="739"/>
      <c r="H64" s="739"/>
      <c r="I64" s="739"/>
      <c r="J64" s="739"/>
      <c r="K64" s="739"/>
      <c r="L64" s="739"/>
      <c r="M64" s="739"/>
      <c r="N64" s="739"/>
      <c r="O64" s="739"/>
      <c r="P64" s="739"/>
      <c r="Q64" s="739"/>
      <c r="R64" s="739"/>
      <c r="S64" s="739"/>
      <c r="T64" s="739"/>
      <c r="U64" s="739"/>
      <c r="V64" s="739"/>
      <c r="W64" s="739"/>
      <c r="X64" s="739"/>
      <c r="Y64" s="740"/>
    </row>
    <row r="65" spans="1:27" ht="20.9" customHeight="1" x14ac:dyDescent="0.35">
      <c r="A65" s="657" t="s">
        <v>392</v>
      </c>
      <c r="B65" s="658"/>
      <c r="C65" s="658"/>
      <c r="D65" s="658"/>
      <c r="E65" s="658"/>
      <c r="F65" s="658"/>
      <c r="G65" s="658"/>
      <c r="H65" s="658"/>
      <c r="I65" s="658"/>
      <c r="J65" s="658"/>
      <c r="K65" s="658"/>
      <c r="L65" s="658"/>
      <c r="M65" s="658"/>
      <c r="N65" s="658"/>
      <c r="O65" s="658"/>
      <c r="P65" s="658"/>
      <c r="Q65" s="658"/>
      <c r="R65" s="658"/>
      <c r="S65" s="658"/>
      <c r="T65" s="658"/>
      <c r="U65" s="658"/>
      <c r="V65" s="658"/>
      <c r="W65" s="658"/>
      <c r="X65" s="658"/>
      <c r="Y65" s="659"/>
    </row>
    <row r="66" spans="1:27" ht="353.15" customHeight="1" x14ac:dyDescent="0.35"/>
    <row r="67" spans="1:27" ht="17.25" customHeight="1" x14ac:dyDescent="0.35">
      <c r="A67" s="691" t="s">
        <v>269</v>
      </c>
      <c r="B67" s="692"/>
      <c r="C67" s="692"/>
      <c r="D67" s="692"/>
      <c r="E67" s="692"/>
      <c r="F67" s="692"/>
      <c r="G67" s="692"/>
      <c r="H67" s="692"/>
      <c r="I67" s="692"/>
      <c r="J67" s="692"/>
      <c r="K67" s="692"/>
      <c r="L67" s="692"/>
      <c r="M67" s="692"/>
      <c r="N67" s="692"/>
      <c r="O67" s="692"/>
      <c r="P67" s="692"/>
      <c r="Q67" s="692"/>
      <c r="R67" s="692"/>
      <c r="S67" s="692"/>
      <c r="T67" s="692"/>
      <c r="U67" s="692"/>
      <c r="V67" s="692"/>
      <c r="W67" s="692"/>
      <c r="X67" s="692"/>
      <c r="Y67" s="693"/>
      <c r="Z67" s="682"/>
      <c r="AA67" s="682"/>
    </row>
    <row r="68" spans="1:27" ht="15.75" customHeight="1" x14ac:dyDescent="0.35">
      <c r="A68" s="694" t="s">
        <v>270</v>
      </c>
      <c r="B68" s="695"/>
      <c r="C68" s="695"/>
      <c r="D68" s="695"/>
      <c r="E68" s="695"/>
      <c r="F68" s="695"/>
      <c r="G68" s="695"/>
      <c r="H68" s="695"/>
      <c r="I68" s="695"/>
      <c r="J68" s="695"/>
      <c r="K68" s="695"/>
      <c r="L68" s="695"/>
      <c r="M68" s="695"/>
      <c r="N68" s="695"/>
      <c r="O68" s="695"/>
      <c r="P68" s="695"/>
      <c r="Q68" s="695"/>
      <c r="R68" s="695"/>
      <c r="S68" s="695"/>
      <c r="T68" s="695"/>
      <c r="U68" s="695"/>
      <c r="V68" s="695"/>
      <c r="W68" s="695"/>
      <c r="X68" s="695"/>
      <c r="Y68" s="696"/>
      <c r="Z68" s="709"/>
      <c r="AA68" s="709"/>
    </row>
    <row r="69" spans="1:27" ht="25.5" customHeight="1" x14ac:dyDescent="0.35">
      <c r="A69" s="697" t="s">
        <v>393</v>
      </c>
      <c r="B69" s="698"/>
      <c r="C69" s="698"/>
      <c r="D69" s="698"/>
      <c r="E69" s="698"/>
      <c r="F69" s="698"/>
      <c r="G69" s="698"/>
      <c r="H69" s="698"/>
      <c r="I69" s="698"/>
      <c r="J69" s="698"/>
      <c r="K69" s="698"/>
      <c r="L69" s="698"/>
      <c r="M69" s="698"/>
      <c r="N69" s="698"/>
      <c r="O69" s="698"/>
      <c r="P69" s="698"/>
      <c r="Q69" s="698"/>
      <c r="R69" s="698"/>
      <c r="S69" s="698"/>
      <c r="T69" s="698"/>
      <c r="U69" s="698"/>
      <c r="V69" s="698"/>
      <c r="W69" s="698"/>
      <c r="X69" s="698"/>
      <c r="Y69" s="699"/>
      <c r="Z69" s="682"/>
      <c r="AA69" s="682"/>
    </row>
    <row r="70" spans="1:27" ht="6" customHeight="1" x14ac:dyDescent="0.35">
      <c r="A70" s="362"/>
      <c r="B70" s="709"/>
      <c r="C70" s="709"/>
      <c r="D70" s="709"/>
      <c r="E70" s="709"/>
      <c r="F70" s="709"/>
      <c r="G70" s="709"/>
      <c r="H70" s="709"/>
      <c r="I70" s="709"/>
      <c r="J70" s="709"/>
      <c r="K70" s="709"/>
      <c r="L70" s="709"/>
      <c r="M70" s="709"/>
      <c r="N70" s="709"/>
      <c r="O70" s="709"/>
      <c r="P70" s="709"/>
      <c r="Q70" s="709"/>
      <c r="R70" s="709"/>
      <c r="S70" s="709"/>
      <c r="T70" s="709"/>
      <c r="U70" s="709"/>
      <c r="V70" s="709"/>
      <c r="W70" s="709"/>
      <c r="X70" s="709"/>
      <c r="Y70" s="709"/>
      <c r="Z70" s="709"/>
      <c r="AA70" s="709"/>
    </row>
    <row r="71" spans="1:27" ht="13.5" customHeight="1" x14ac:dyDescent="0.35">
      <c r="A71" s="362"/>
      <c r="B71" s="732" t="s">
        <v>394</v>
      </c>
      <c r="C71" s="733"/>
      <c r="D71" s="733"/>
      <c r="E71" s="733"/>
      <c r="F71" s="733"/>
      <c r="G71" s="733"/>
      <c r="H71" s="733"/>
      <c r="I71" s="733"/>
      <c r="J71" s="733"/>
      <c r="K71" s="733"/>
      <c r="L71" s="733"/>
      <c r="M71" s="734"/>
      <c r="N71" s="709"/>
      <c r="O71" s="709"/>
      <c r="P71" s="709"/>
      <c r="Q71" s="709"/>
      <c r="R71" s="709"/>
      <c r="S71" s="709"/>
      <c r="T71" s="709"/>
      <c r="U71" s="709"/>
      <c r="V71" s="709"/>
      <c r="W71" s="709"/>
      <c r="X71" s="709"/>
      <c r="Y71" s="709"/>
      <c r="Z71" s="709"/>
      <c r="AA71" s="709"/>
    </row>
    <row r="72" spans="1:27" ht="12.75" customHeight="1" x14ac:dyDescent="0.35">
      <c r="A72" s="363"/>
      <c r="B72" s="735" t="s">
        <v>395</v>
      </c>
      <c r="C72" s="736"/>
      <c r="D72" s="736"/>
      <c r="E72" s="736"/>
      <c r="F72" s="737"/>
      <c r="G72" s="732" t="s">
        <v>396</v>
      </c>
      <c r="H72" s="733"/>
      <c r="I72" s="734"/>
      <c r="J72" s="732" t="s">
        <v>397</v>
      </c>
      <c r="K72" s="733"/>
      <c r="L72" s="733"/>
      <c r="M72" s="734"/>
      <c r="N72" s="682"/>
      <c r="O72" s="682"/>
      <c r="P72" s="682"/>
      <c r="Q72" s="682"/>
      <c r="R72" s="682"/>
      <c r="S72" s="682"/>
      <c r="T72" s="682"/>
      <c r="U72" s="682"/>
      <c r="V72" s="682"/>
      <c r="W72" s="682"/>
      <c r="X72" s="682"/>
      <c r="Y72" s="682"/>
      <c r="Z72" s="682"/>
      <c r="AA72" s="682"/>
    </row>
    <row r="73" spans="1:27" ht="38.25" customHeight="1" x14ac:dyDescent="0.2">
      <c r="A73" s="364"/>
      <c r="B73" s="726" t="s">
        <v>398</v>
      </c>
      <c r="C73" s="727"/>
      <c r="D73" s="727"/>
      <c r="E73" s="727"/>
      <c r="F73" s="727"/>
      <c r="G73" s="728">
        <v>0</v>
      </c>
      <c r="H73" s="728"/>
      <c r="I73" s="728"/>
      <c r="J73" s="729">
        <v>13245</v>
      </c>
      <c r="K73" s="729"/>
      <c r="L73" s="729"/>
      <c r="M73" s="730"/>
      <c r="N73" s="731"/>
      <c r="O73" s="731"/>
      <c r="P73" s="731"/>
      <c r="Q73" s="731"/>
      <c r="R73" s="731"/>
      <c r="S73" s="731"/>
      <c r="T73" s="731"/>
      <c r="U73" s="731"/>
      <c r="V73" s="731"/>
      <c r="W73" s="731"/>
      <c r="X73" s="731"/>
      <c r="Y73" s="731"/>
      <c r="Z73" s="731"/>
      <c r="AA73" s="731"/>
    </row>
    <row r="74" spans="1:27" ht="18" customHeight="1" x14ac:dyDescent="0.35">
      <c r="A74" s="363"/>
      <c r="B74" s="721" t="s">
        <v>399</v>
      </c>
      <c r="C74" s="722"/>
      <c r="D74" s="722"/>
      <c r="E74" s="722"/>
      <c r="F74" s="722"/>
      <c r="G74" s="714">
        <v>0</v>
      </c>
      <c r="H74" s="714"/>
      <c r="I74" s="714"/>
      <c r="J74" s="713">
        <v>10434.9</v>
      </c>
      <c r="K74" s="713"/>
      <c r="L74" s="713"/>
      <c r="M74" s="725"/>
      <c r="N74" s="682"/>
      <c r="O74" s="682"/>
      <c r="P74" s="682"/>
      <c r="Q74" s="682"/>
      <c r="R74" s="682"/>
      <c r="S74" s="682"/>
      <c r="T74" s="682"/>
      <c r="U74" s="682"/>
      <c r="V74" s="682"/>
      <c r="W74" s="682"/>
      <c r="X74" s="682"/>
      <c r="Y74" s="682"/>
      <c r="Z74" s="682"/>
      <c r="AA74" s="682"/>
    </row>
    <row r="75" spans="1:27" ht="18" customHeight="1" x14ac:dyDescent="0.35">
      <c r="A75" s="363"/>
      <c r="B75" s="721" t="s">
        <v>399</v>
      </c>
      <c r="C75" s="722"/>
      <c r="D75" s="722"/>
      <c r="E75" s="722"/>
      <c r="F75" s="722"/>
      <c r="G75" s="713">
        <v>2160</v>
      </c>
      <c r="H75" s="713"/>
      <c r="I75" s="713"/>
      <c r="J75" s="714">
        <v>0</v>
      </c>
      <c r="K75" s="714"/>
      <c r="L75" s="714"/>
      <c r="M75" s="715"/>
      <c r="N75" s="682"/>
      <c r="O75" s="682"/>
      <c r="P75" s="682"/>
      <c r="Q75" s="682"/>
      <c r="R75" s="682"/>
      <c r="S75" s="682"/>
      <c r="T75" s="682"/>
      <c r="U75" s="682"/>
      <c r="V75" s="682"/>
      <c r="W75" s="682"/>
      <c r="X75" s="682"/>
      <c r="Y75" s="682"/>
      <c r="Z75" s="682"/>
      <c r="AA75" s="682"/>
    </row>
    <row r="76" spans="1:27" ht="18" customHeight="1" x14ac:dyDescent="0.35">
      <c r="A76" s="363"/>
      <c r="B76" s="723" t="s">
        <v>400</v>
      </c>
      <c r="C76" s="724"/>
      <c r="D76" s="724"/>
      <c r="E76" s="724"/>
      <c r="F76" s="724"/>
      <c r="G76" s="714">
        <v>0</v>
      </c>
      <c r="H76" s="714"/>
      <c r="I76" s="714"/>
      <c r="J76" s="713">
        <v>13245</v>
      </c>
      <c r="K76" s="713"/>
      <c r="L76" s="713"/>
      <c r="M76" s="725"/>
      <c r="N76" s="682"/>
      <c r="O76" s="682"/>
      <c r="P76" s="682"/>
      <c r="Q76" s="682"/>
      <c r="R76" s="682"/>
      <c r="S76" s="682"/>
      <c r="T76" s="682"/>
      <c r="U76" s="682"/>
      <c r="V76" s="682"/>
      <c r="W76" s="682"/>
      <c r="X76" s="682"/>
      <c r="Y76" s="682"/>
      <c r="Z76" s="682"/>
      <c r="AA76" s="682"/>
    </row>
    <row r="77" spans="1:27" ht="18" customHeight="1" x14ac:dyDescent="0.35">
      <c r="A77" s="363"/>
      <c r="B77" s="711" t="s">
        <v>401</v>
      </c>
      <c r="C77" s="712"/>
      <c r="D77" s="712"/>
      <c r="E77" s="712"/>
      <c r="F77" s="712"/>
      <c r="G77" s="713">
        <v>2160</v>
      </c>
      <c r="H77" s="713"/>
      <c r="I77" s="713"/>
      <c r="J77" s="714">
        <v>0</v>
      </c>
      <c r="K77" s="714"/>
      <c r="L77" s="714"/>
      <c r="M77" s="715"/>
      <c r="N77" s="682"/>
      <c r="O77" s="682"/>
      <c r="P77" s="682"/>
      <c r="Q77" s="682"/>
      <c r="R77" s="682"/>
      <c r="S77" s="682"/>
      <c r="T77" s="682"/>
      <c r="U77" s="682"/>
      <c r="V77" s="682"/>
      <c r="W77" s="682"/>
      <c r="X77" s="682"/>
      <c r="Y77" s="682"/>
      <c r="Z77" s="682"/>
      <c r="AA77" s="682"/>
    </row>
    <row r="78" spans="1:27" ht="18" customHeight="1" x14ac:dyDescent="0.35">
      <c r="A78" s="363"/>
      <c r="B78" s="716" t="s">
        <v>401</v>
      </c>
      <c r="C78" s="717"/>
      <c r="D78" s="717"/>
      <c r="E78" s="717"/>
      <c r="F78" s="717"/>
      <c r="G78" s="718">
        <v>0</v>
      </c>
      <c r="H78" s="718"/>
      <c r="I78" s="718"/>
      <c r="J78" s="719">
        <v>10434.9</v>
      </c>
      <c r="K78" s="719"/>
      <c r="L78" s="719"/>
      <c r="M78" s="720"/>
      <c r="N78" s="682"/>
      <c r="O78" s="682"/>
      <c r="P78" s="682"/>
      <c r="Q78" s="682"/>
      <c r="R78" s="682"/>
      <c r="S78" s="682"/>
      <c r="T78" s="682"/>
      <c r="U78" s="682"/>
      <c r="V78" s="682"/>
      <c r="W78" s="682"/>
      <c r="X78" s="682"/>
      <c r="Y78" s="682"/>
      <c r="Z78" s="682"/>
      <c r="AA78" s="682"/>
    </row>
    <row r="79" spans="1:27" ht="16.5" customHeight="1" x14ac:dyDescent="0.35">
      <c r="A79" s="362"/>
      <c r="B79" s="703" t="s">
        <v>402</v>
      </c>
      <c r="C79" s="704"/>
      <c r="D79" s="704"/>
      <c r="E79" s="704"/>
      <c r="F79" s="705"/>
      <c r="G79" s="706">
        <v>4320</v>
      </c>
      <c r="H79" s="707"/>
      <c r="I79" s="708"/>
      <c r="J79" s="706">
        <v>47359.8</v>
      </c>
      <c r="K79" s="707"/>
      <c r="L79" s="707"/>
      <c r="M79" s="708"/>
      <c r="N79" s="709"/>
      <c r="O79" s="709"/>
      <c r="P79" s="709"/>
      <c r="Q79" s="709"/>
      <c r="R79" s="709"/>
      <c r="S79" s="709"/>
      <c r="T79" s="709"/>
      <c r="U79" s="709"/>
      <c r="V79" s="709"/>
      <c r="W79" s="709"/>
      <c r="X79" s="709"/>
      <c r="Y79" s="709"/>
      <c r="Z79" s="709"/>
      <c r="AA79" s="709"/>
    </row>
    <row r="80" spans="1:27" ht="36" customHeight="1" x14ac:dyDescent="0.35">
      <c r="A80" s="710" t="s">
        <v>403</v>
      </c>
      <c r="B80" s="710"/>
      <c r="C80" s="710"/>
      <c r="D80" s="710"/>
      <c r="E80" s="710"/>
      <c r="F80" s="710"/>
      <c r="G80" s="710"/>
      <c r="H80" s="710"/>
      <c r="I80" s="710"/>
      <c r="J80" s="710"/>
      <c r="K80" s="710"/>
      <c r="L80" s="710"/>
      <c r="M80" s="710"/>
      <c r="N80" s="710"/>
      <c r="O80" s="710"/>
      <c r="P80" s="710"/>
      <c r="Q80" s="710"/>
      <c r="R80" s="710"/>
      <c r="S80" s="710"/>
      <c r="T80" s="710"/>
      <c r="U80" s="710"/>
      <c r="V80" s="710"/>
      <c r="W80" s="710"/>
      <c r="X80" s="710"/>
      <c r="Y80" s="710"/>
      <c r="Z80" s="710"/>
      <c r="AA80" s="710"/>
    </row>
    <row r="81" spans="1:26" ht="11.15" customHeight="1" x14ac:dyDescent="0.35"/>
    <row r="82" spans="1:26" ht="14.15" customHeight="1" x14ac:dyDescent="0.35"/>
    <row r="83" spans="1:26" ht="62.15" customHeight="1" x14ac:dyDescent="0.35"/>
    <row r="84" spans="1:26" ht="17.25" customHeight="1" x14ac:dyDescent="0.35">
      <c r="A84" s="691" t="s">
        <v>269</v>
      </c>
      <c r="B84" s="692"/>
      <c r="C84" s="692"/>
      <c r="D84" s="692"/>
      <c r="E84" s="692"/>
      <c r="F84" s="692"/>
      <c r="G84" s="692"/>
      <c r="H84" s="692"/>
      <c r="I84" s="692"/>
      <c r="J84" s="692"/>
      <c r="K84" s="692"/>
      <c r="L84" s="692"/>
      <c r="M84" s="692"/>
      <c r="N84" s="692"/>
      <c r="O84" s="692"/>
      <c r="P84" s="692"/>
      <c r="Q84" s="692"/>
      <c r="R84" s="692"/>
      <c r="S84" s="692"/>
      <c r="T84" s="692"/>
      <c r="U84" s="692"/>
      <c r="V84" s="692"/>
      <c r="W84" s="692"/>
      <c r="X84" s="692"/>
      <c r="Y84" s="692"/>
      <c r="Z84" s="693"/>
    </row>
    <row r="85" spans="1:26" ht="15.75" customHeight="1" x14ac:dyDescent="0.35">
      <c r="A85" s="694" t="s">
        <v>270</v>
      </c>
      <c r="B85" s="695"/>
      <c r="C85" s="695"/>
      <c r="D85" s="695"/>
      <c r="E85" s="695"/>
      <c r="F85" s="695"/>
      <c r="G85" s="695"/>
      <c r="H85" s="695"/>
      <c r="I85" s="695"/>
      <c r="J85" s="695"/>
      <c r="K85" s="695"/>
      <c r="L85" s="695"/>
      <c r="M85" s="695"/>
      <c r="N85" s="695"/>
      <c r="O85" s="695"/>
      <c r="P85" s="695"/>
      <c r="Q85" s="695"/>
      <c r="R85" s="695"/>
      <c r="S85" s="695"/>
      <c r="T85" s="695"/>
      <c r="U85" s="695"/>
      <c r="V85" s="695"/>
      <c r="W85" s="695"/>
      <c r="X85" s="695"/>
      <c r="Y85" s="695"/>
      <c r="Z85" s="696"/>
    </row>
    <row r="86" spans="1:26" ht="25.75" customHeight="1" x14ac:dyDescent="0.35">
      <c r="A86" s="697" t="s">
        <v>393</v>
      </c>
      <c r="B86" s="698"/>
      <c r="C86" s="698"/>
      <c r="D86" s="698"/>
      <c r="E86" s="698"/>
      <c r="F86" s="698"/>
      <c r="G86" s="698"/>
      <c r="H86" s="698"/>
      <c r="I86" s="698"/>
      <c r="J86" s="698"/>
      <c r="K86" s="698"/>
      <c r="L86" s="698"/>
      <c r="M86" s="698"/>
      <c r="N86" s="698"/>
      <c r="O86" s="698"/>
      <c r="P86" s="698"/>
      <c r="Q86" s="698"/>
      <c r="R86" s="698"/>
      <c r="S86" s="698"/>
      <c r="T86" s="698"/>
      <c r="U86" s="698"/>
      <c r="V86" s="698"/>
      <c r="W86" s="698"/>
      <c r="X86" s="698"/>
      <c r="Y86" s="698"/>
      <c r="Z86" s="699"/>
    </row>
    <row r="87" spans="1:26" ht="14.25" customHeight="1" x14ac:dyDescent="0.35">
      <c r="A87" s="654" t="s">
        <v>404</v>
      </c>
      <c r="B87" s="655"/>
      <c r="C87" s="655"/>
      <c r="D87" s="655"/>
      <c r="E87" s="655"/>
      <c r="F87" s="655"/>
      <c r="G87" s="655"/>
      <c r="H87" s="655"/>
      <c r="I87" s="655"/>
      <c r="J87" s="655"/>
      <c r="K87" s="655"/>
      <c r="L87" s="655"/>
      <c r="M87" s="655"/>
      <c r="N87" s="655"/>
      <c r="O87" s="655"/>
      <c r="P87" s="655"/>
      <c r="Q87" s="655"/>
      <c r="R87" s="655"/>
      <c r="S87" s="655"/>
      <c r="T87" s="655"/>
      <c r="U87" s="655"/>
      <c r="V87" s="655"/>
      <c r="W87" s="655"/>
      <c r="X87" s="655"/>
      <c r="Y87" s="655"/>
      <c r="Z87" s="656"/>
    </row>
    <row r="88" spans="1:26" ht="145" customHeight="1" x14ac:dyDescent="0.35">
      <c r="A88" s="657" t="s">
        <v>405</v>
      </c>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9"/>
    </row>
    <row r="89" spans="1:26" ht="44.5" customHeight="1" x14ac:dyDescent="0.35">
      <c r="A89" s="700" t="s">
        <v>406</v>
      </c>
      <c r="B89" s="701"/>
      <c r="C89" s="701"/>
      <c r="D89" s="701"/>
      <c r="E89" s="701"/>
      <c r="F89" s="701"/>
      <c r="G89" s="701"/>
      <c r="H89" s="701"/>
      <c r="I89" s="701"/>
      <c r="J89" s="701"/>
      <c r="K89" s="701"/>
      <c r="L89" s="701"/>
      <c r="M89" s="701"/>
      <c r="N89" s="701"/>
      <c r="O89" s="701"/>
      <c r="P89" s="701"/>
      <c r="Q89" s="701"/>
      <c r="R89" s="701"/>
      <c r="S89" s="701"/>
      <c r="T89" s="701"/>
      <c r="U89" s="701"/>
      <c r="V89" s="701"/>
      <c r="W89" s="701"/>
      <c r="X89" s="701"/>
      <c r="Y89" s="701"/>
      <c r="Z89" s="702"/>
    </row>
    <row r="90" spans="1:26" ht="14.15" customHeight="1" x14ac:dyDescent="0.35">
      <c r="A90" s="675" t="s">
        <v>407</v>
      </c>
      <c r="B90" s="676"/>
      <c r="C90" s="676"/>
      <c r="D90" s="676"/>
      <c r="E90" s="676"/>
      <c r="F90" s="676"/>
      <c r="G90" s="676"/>
      <c r="H90" s="676"/>
      <c r="I90" s="676"/>
      <c r="J90" s="676"/>
      <c r="K90" s="676"/>
      <c r="L90" s="676"/>
      <c r="M90" s="676"/>
      <c r="N90" s="676"/>
      <c r="O90" s="676"/>
      <c r="P90" s="676"/>
      <c r="Q90" s="676"/>
      <c r="R90" s="676"/>
      <c r="S90" s="676"/>
      <c r="T90" s="676"/>
      <c r="U90" s="676"/>
      <c r="V90" s="676"/>
      <c r="W90" s="676"/>
      <c r="X90" s="676"/>
      <c r="Y90" s="676"/>
      <c r="Z90" s="677"/>
    </row>
    <row r="91" spans="1:26" ht="5.25" customHeight="1" x14ac:dyDescent="0.35">
      <c r="A91" s="678"/>
      <c r="B91" s="679"/>
      <c r="C91" s="679"/>
      <c r="D91" s="680"/>
      <c r="E91" s="680"/>
      <c r="F91" s="680"/>
      <c r="G91" s="680"/>
      <c r="H91" s="680"/>
      <c r="I91" s="680"/>
      <c r="J91" s="680"/>
      <c r="K91" s="680"/>
      <c r="L91" s="680"/>
      <c r="M91" s="680"/>
      <c r="N91" s="680"/>
      <c r="O91" s="680"/>
      <c r="P91" s="680"/>
      <c r="Q91" s="680"/>
      <c r="R91" s="680"/>
      <c r="S91" s="680"/>
      <c r="T91" s="680"/>
      <c r="U91" s="680"/>
      <c r="V91" s="680"/>
      <c r="W91" s="680"/>
      <c r="X91" s="680"/>
      <c r="Y91" s="365"/>
      <c r="Z91" s="366"/>
    </row>
    <row r="92" spans="1:26" ht="13.4" customHeight="1" x14ac:dyDescent="0.35">
      <c r="A92" s="681"/>
      <c r="B92" s="682"/>
      <c r="C92" s="682"/>
      <c r="D92" s="683" t="s">
        <v>408</v>
      </c>
      <c r="E92" s="684"/>
      <c r="F92" s="685" t="s">
        <v>409</v>
      </c>
      <c r="G92" s="686"/>
      <c r="H92" s="686"/>
      <c r="I92" s="686"/>
      <c r="J92" s="686"/>
      <c r="K92" s="686"/>
      <c r="L92" s="686"/>
      <c r="M92" s="686"/>
      <c r="N92" s="686"/>
      <c r="O92" s="686"/>
      <c r="P92" s="686"/>
      <c r="Q92" s="687"/>
      <c r="R92" s="685" t="s">
        <v>410</v>
      </c>
      <c r="S92" s="686"/>
      <c r="T92" s="687"/>
      <c r="U92" s="685" t="s">
        <v>411</v>
      </c>
      <c r="V92" s="686"/>
      <c r="W92" s="686"/>
      <c r="X92" s="687"/>
      <c r="Y92" s="682"/>
      <c r="Z92" s="688"/>
    </row>
    <row r="93" spans="1:26" ht="12.75" customHeight="1" x14ac:dyDescent="0.35">
      <c r="A93" s="681"/>
      <c r="B93" s="682"/>
      <c r="C93" s="682"/>
      <c r="D93" s="689">
        <v>1</v>
      </c>
      <c r="E93" s="690"/>
      <c r="F93" s="669" t="s">
        <v>412</v>
      </c>
      <c r="G93" s="670"/>
      <c r="H93" s="670"/>
      <c r="I93" s="670"/>
      <c r="J93" s="670"/>
      <c r="K93" s="670"/>
      <c r="L93" s="670"/>
      <c r="M93" s="670"/>
      <c r="N93" s="670"/>
      <c r="O93" s="670"/>
      <c r="P93" s="670"/>
      <c r="Q93" s="671"/>
      <c r="R93" s="669" t="s">
        <v>413</v>
      </c>
      <c r="S93" s="670"/>
      <c r="T93" s="671"/>
      <c r="U93" s="669" t="s">
        <v>414</v>
      </c>
      <c r="V93" s="670"/>
      <c r="W93" s="670"/>
      <c r="X93" s="671"/>
      <c r="Y93" s="682"/>
      <c r="Z93" s="688"/>
    </row>
    <row r="94" spans="1:26" ht="12.25" customHeight="1" x14ac:dyDescent="0.35">
      <c r="A94" s="672"/>
      <c r="B94" s="673"/>
      <c r="C94" s="673"/>
      <c r="D94" s="673"/>
      <c r="E94" s="673"/>
      <c r="F94" s="673"/>
      <c r="G94" s="673"/>
      <c r="H94" s="673"/>
      <c r="I94" s="673"/>
      <c r="J94" s="673"/>
      <c r="K94" s="673"/>
      <c r="L94" s="673"/>
      <c r="M94" s="673"/>
      <c r="N94" s="673"/>
      <c r="O94" s="673"/>
      <c r="P94" s="673"/>
      <c r="Q94" s="673"/>
      <c r="R94" s="673"/>
      <c r="S94" s="673"/>
      <c r="T94" s="673"/>
      <c r="U94" s="673"/>
      <c r="V94" s="673"/>
      <c r="W94" s="673"/>
      <c r="X94" s="673"/>
      <c r="Y94" s="673"/>
      <c r="Z94" s="674"/>
    </row>
    <row r="95" spans="1:26" ht="12.75" customHeight="1" x14ac:dyDescent="0.35">
      <c r="A95" s="663" t="s">
        <v>415</v>
      </c>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5"/>
    </row>
    <row r="96" spans="1:26" ht="13.5" customHeight="1" x14ac:dyDescent="0.35">
      <c r="A96" s="663" t="s">
        <v>416</v>
      </c>
      <c r="B96" s="664"/>
      <c r="C96" s="664"/>
      <c r="D96" s="664"/>
      <c r="E96" s="664"/>
      <c r="F96" s="664"/>
      <c r="G96" s="664"/>
      <c r="H96" s="664"/>
      <c r="I96" s="664"/>
      <c r="J96" s="664"/>
      <c r="K96" s="664"/>
      <c r="L96" s="664"/>
      <c r="M96" s="664"/>
      <c r="N96" s="664"/>
      <c r="O96" s="664"/>
      <c r="P96" s="664"/>
      <c r="Q96" s="664"/>
      <c r="R96" s="664"/>
      <c r="S96" s="664"/>
      <c r="T96" s="664"/>
      <c r="U96" s="664"/>
      <c r="V96" s="664"/>
      <c r="W96" s="664"/>
      <c r="X96" s="664"/>
      <c r="Y96" s="664"/>
      <c r="Z96" s="665"/>
    </row>
    <row r="97" spans="1:26" ht="14.25" customHeight="1" x14ac:dyDescent="0.35">
      <c r="A97" s="654" t="s">
        <v>417</v>
      </c>
      <c r="B97" s="655"/>
      <c r="C97" s="655"/>
      <c r="D97" s="655"/>
      <c r="E97" s="655"/>
      <c r="F97" s="655"/>
      <c r="G97" s="655"/>
      <c r="H97" s="655"/>
      <c r="I97" s="655"/>
      <c r="J97" s="655"/>
      <c r="K97" s="655"/>
      <c r="L97" s="655"/>
      <c r="M97" s="655"/>
      <c r="N97" s="655"/>
      <c r="O97" s="655"/>
      <c r="P97" s="655"/>
      <c r="Q97" s="655"/>
      <c r="R97" s="655"/>
      <c r="S97" s="655"/>
      <c r="T97" s="655"/>
      <c r="U97" s="655"/>
      <c r="V97" s="655"/>
      <c r="W97" s="655"/>
      <c r="X97" s="655"/>
      <c r="Y97" s="655"/>
      <c r="Z97" s="656"/>
    </row>
    <row r="98" spans="1:26" ht="80.25" customHeight="1" x14ac:dyDescent="0.35">
      <c r="A98" s="657" t="s">
        <v>418</v>
      </c>
      <c r="B98" s="658"/>
      <c r="C98" s="658"/>
      <c r="D98" s="658"/>
      <c r="E98" s="658"/>
      <c r="F98" s="658"/>
      <c r="G98" s="658"/>
      <c r="H98" s="658"/>
      <c r="I98" s="658"/>
      <c r="J98" s="658"/>
      <c r="K98" s="658"/>
      <c r="L98" s="658"/>
      <c r="M98" s="658"/>
      <c r="N98" s="658"/>
      <c r="O98" s="659"/>
      <c r="P98" s="660" t="s">
        <v>419</v>
      </c>
      <c r="Q98" s="661"/>
      <c r="R98" s="661"/>
      <c r="S98" s="661"/>
      <c r="T98" s="661"/>
      <c r="U98" s="661"/>
      <c r="V98" s="661"/>
      <c r="W98" s="661"/>
      <c r="X98" s="661"/>
      <c r="Y98" s="661"/>
      <c r="Z98" s="662"/>
    </row>
    <row r="99" spans="1:26" ht="32.15" customHeight="1" x14ac:dyDescent="0.35">
      <c r="A99" s="663" t="s">
        <v>420</v>
      </c>
      <c r="B99" s="664"/>
      <c r="C99" s="664"/>
      <c r="D99" s="664"/>
      <c r="E99" s="664"/>
      <c r="F99" s="664"/>
      <c r="G99" s="664"/>
      <c r="H99" s="664"/>
      <c r="I99" s="664"/>
      <c r="J99" s="664"/>
      <c r="K99" s="664"/>
      <c r="L99" s="664"/>
      <c r="M99" s="664"/>
      <c r="N99" s="664"/>
      <c r="O99" s="665"/>
      <c r="P99" s="663" t="s">
        <v>421</v>
      </c>
      <c r="Q99" s="664"/>
      <c r="R99" s="664"/>
      <c r="S99" s="664"/>
      <c r="T99" s="664"/>
      <c r="U99" s="664"/>
      <c r="V99" s="664"/>
      <c r="W99" s="664"/>
      <c r="X99" s="664"/>
      <c r="Y99" s="664"/>
      <c r="Z99" s="665"/>
    </row>
    <row r="100" spans="1:26" ht="5.25" customHeight="1" x14ac:dyDescent="0.35">
      <c r="A100" s="666"/>
      <c r="B100" s="667"/>
      <c r="C100" s="667"/>
      <c r="D100" s="667"/>
      <c r="E100" s="667"/>
      <c r="F100" s="667"/>
      <c r="G100" s="667"/>
      <c r="H100" s="667"/>
      <c r="I100" s="667"/>
      <c r="J100" s="667"/>
      <c r="K100" s="667"/>
      <c r="L100" s="667"/>
      <c r="M100" s="667"/>
      <c r="N100" s="667"/>
      <c r="O100" s="668"/>
      <c r="P100" s="666"/>
      <c r="Q100" s="667"/>
      <c r="R100" s="667"/>
      <c r="S100" s="667"/>
      <c r="T100" s="667"/>
      <c r="U100" s="667"/>
      <c r="V100" s="667"/>
      <c r="W100" s="667"/>
      <c r="X100" s="667"/>
      <c r="Y100" s="667"/>
      <c r="Z100" s="668"/>
    </row>
    <row r="101" spans="1:26" ht="31.5" customHeight="1" x14ac:dyDescent="0.35">
      <c r="A101" s="651"/>
      <c r="B101" s="652"/>
      <c r="C101" s="652"/>
      <c r="D101" s="652"/>
      <c r="E101" s="652"/>
      <c r="F101" s="652"/>
      <c r="G101" s="652"/>
      <c r="H101" s="652"/>
      <c r="I101" s="652"/>
      <c r="J101" s="652"/>
      <c r="K101" s="652"/>
      <c r="L101" s="653"/>
    </row>
  </sheetData>
  <mergeCells count="475">
    <mergeCell ref="A1:Y1"/>
    <mergeCell ref="A2:Y2"/>
    <mergeCell ref="A3:T3"/>
    <mergeCell ref="U3:Y3"/>
    <mergeCell ref="A4:G4"/>
    <mergeCell ref="H4:N4"/>
    <mergeCell ref="O4:T4"/>
    <mergeCell ref="U4:Y4"/>
    <mergeCell ref="A5:G5"/>
    <mergeCell ref="H5:N5"/>
    <mergeCell ref="O5:T5"/>
    <mergeCell ref="U5:Y5"/>
    <mergeCell ref="A6:Y6"/>
    <mergeCell ref="A7:B8"/>
    <mergeCell ref="C7:D8"/>
    <mergeCell ref="E7:H8"/>
    <mergeCell ref="I7:J8"/>
    <mergeCell ref="K7:K8"/>
    <mergeCell ref="X10:Y10"/>
    <mergeCell ref="A10:B10"/>
    <mergeCell ref="C10:D10"/>
    <mergeCell ref="E10:H10"/>
    <mergeCell ref="I10:J10"/>
    <mergeCell ref="M10:P10"/>
    <mergeCell ref="Q10:R10"/>
    <mergeCell ref="W7:Y7"/>
    <mergeCell ref="X8:Y8"/>
    <mergeCell ref="A9:B9"/>
    <mergeCell ref="C9:D9"/>
    <mergeCell ref="E9:H9"/>
    <mergeCell ref="I9:J9"/>
    <mergeCell ref="M9:P9"/>
    <mergeCell ref="Q9:R9"/>
    <mergeCell ref="X9:Y9"/>
    <mergeCell ref="L7:L8"/>
    <mergeCell ref="M7:P8"/>
    <mergeCell ref="Q7:R8"/>
    <mergeCell ref="S7:S8"/>
    <mergeCell ref="T7:T8"/>
    <mergeCell ref="U7:V7"/>
    <mergeCell ref="X12:Y12"/>
    <mergeCell ref="A12:B12"/>
    <mergeCell ref="C12:D12"/>
    <mergeCell ref="E12:H12"/>
    <mergeCell ref="I12:J12"/>
    <mergeCell ref="M12:P12"/>
    <mergeCell ref="Q12:R12"/>
    <mergeCell ref="X11:Y11"/>
    <mergeCell ref="A11:B11"/>
    <mergeCell ref="C11:D11"/>
    <mergeCell ref="E11:H11"/>
    <mergeCell ref="I11:J11"/>
    <mergeCell ref="M11:P11"/>
    <mergeCell ref="Q11:R11"/>
    <mergeCell ref="A15:B15"/>
    <mergeCell ref="C15:D15"/>
    <mergeCell ref="E15:H15"/>
    <mergeCell ref="I15:J15"/>
    <mergeCell ref="M15:P15"/>
    <mergeCell ref="Q15:R15"/>
    <mergeCell ref="X15:Y15"/>
    <mergeCell ref="X13:Y13"/>
    <mergeCell ref="A14:B14"/>
    <mergeCell ref="C14:D14"/>
    <mergeCell ref="E14:H14"/>
    <mergeCell ref="I14:J14"/>
    <mergeCell ref="M14:P14"/>
    <mergeCell ref="Q14:R14"/>
    <mergeCell ref="X14:Y14"/>
    <mergeCell ref="A13:B13"/>
    <mergeCell ref="C13:D13"/>
    <mergeCell ref="E13:H13"/>
    <mergeCell ref="I13:J13"/>
    <mergeCell ref="M13:P13"/>
    <mergeCell ref="Q13:R13"/>
    <mergeCell ref="X17:Y17"/>
    <mergeCell ref="A17:B17"/>
    <mergeCell ref="C17:D17"/>
    <mergeCell ref="E17:H17"/>
    <mergeCell ref="I17:J17"/>
    <mergeCell ref="M17:P17"/>
    <mergeCell ref="Q17:R17"/>
    <mergeCell ref="X16:Y16"/>
    <mergeCell ref="A16:B16"/>
    <mergeCell ref="C16:D16"/>
    <mergeCell ref="E16:H16"/>
    <mergeCell ref="I16:J16"/>
    <mergeCell ref="M16:P16"/>
    <mergeCell ref="Q16:R16"/>
    <mergeCell ref="A20:B20"/>
    <mergeCell ref="C20:D20"/>
    <mergeCell ref="E20:H20"/>
    <mergeCell ref="I20:J20"/>
    <mergeCell ref="M20:P20"/>
    <mergeCell ref="Q20:R20"/>
    <mergeCell ref="X20:Y20"/>
    <mergeCell ref="X18:Y18"/>
    <mergeCell ref="A19:B19"/>
    <mergeCell ref="C19:D19"/>
    <mergeCell ref="E19:H19"/>
    <mergeCell ref="I19:J19"/>
    <mergeCell ref="M19:P19"/>
    <mergeCell ref="Q19:R19"/>
    <mergeCell ref="X19:Y19"/>
    <mergeCell ref="A18:B18"/>
    <mergeCell ref="C18:D18"/>
    <mergeCell ref="E18:H18"/>
    <mergeCell ref="I18:J18"/>
    <mergeCell ref="M18:P18"/>
    <mergeCell ref="Q18:R18"/>
    <mergeCell ref="X22:Y22"/>
    <mergeCell ref="A22:B22"/>
    <mergeCell ref="C22:D22"/>
    <mergeCell ref="E22:H22"/>
    <mergeCell ref="I22:J22"/>
    <mergeCell ref="M22:P22"/>
    <mergeCell ref="Q22:R22"/>
    <mergeCell ref="A21:B21"/>
    <mergeCell ref="C21:D21"/>
    <mergeCell ref="E21:H21"/>
    <mergeCell ref="I21:J21"/>
    <mergeCell ref="M21:P21"/>
    <mergeCell ref="Q21:R21"/>
    <mergeCell ref="X21:Y21"/>
    <mergeCell ref="X24:Y24"/>
    <mergeCell ref="A24:B24"/>
    <mergeCell ref="C24:D24"/>
    <mergeCell ref="E24:H24"/>
    <mergeCell ref="I24:J24"/>
    <mergeCell ref="M24:P24"/>
    <mergeCell ref="Q24:R24"/>
    <mergeCell ref="X23:Y23"/>
    <mergeCell ref="A23:B23"/>
    <mergeCell ref="C23:D23"/>
    <mergeCell ref="E23:H23"/>
    <mergeCell ref="I23:J23"/>
    <mergeCell ref="M23:P23"/>
    <mergeCell ref="Q23:R23"/>
    <mergeCell ref="X26:Y26"/>
    <mergeCell ref="A26:B26"/>
    <mergeCell ref="C26:D26"/>
    <mergeCell ref="E26:H26"/>
    <mergeCell ref="I26:J26"/>
    <mergeCell ref="M26:P26"/>
    <mergeCell ref="Q26:R26"/>
    <mergeCell ref="X25:Y25"/>
    <mergeCell ref="A25:B25"/>
    <mergeCell ref="C25:D25"/>
    <mergeCell ref="E25:H25"/>
    <mergeCell ref="I25:J25"/>
    <mergeCell ref="M25:P25"/>
    <mergeCell ref="Q25:R25"/>
    <mergeCell ref="X28:Y28"/>
    <mergeCell ref="A28:B28"/>
    <mergeCell ref="C28:D28"/>
    <mergeCell ref="E28:H28"/>
    <mergeCell ref="I28:J28"/>
    <mergeCell ref="M28:P28"/>
    <mergeCell ref="Q28:R28"/>
    <mergeCell ref="X27:Y27"/>
    <mergeCell ref="A27:B27"/>
    <mergeCell ref="C27:D27"/>
    <mergeCell ref="E27:H27"/>
    <mergeCell ref="I27:J27"/>
    <mergeCell ref="M27:P27"/>
    <mergeCell ref="Q27:R27"/>
    <mergeCell ref="X30:Y30"/>
    <mergeCell ref="A30:B30"/>
    <mergeCell ref="C30:D30"/>
    <mergeCell ref="E30:H30"/>
    <mergeCell ref="I30:J30"/>
    <mergeCell ref="M30:P30"/>
    <mergeCell ref="Q30:R30"/>
    <mergeCell ref="X29:Y29"/>
    <mergeCell ref="A29:B29"/>
    <mergeCell ref="C29:D29"/>
    <mergeCell ref="E29:H29"/>
    <mergeCell ref="I29:J29"/>
    <mergeCell ref="M29:P29"/>
    <mergeCell ref="Q29:R29"/>
    <mergeCell ref="X32:Y32"/>
    <mergeCell ref="A32:B32"/>
    <mergeCell ref="C32:D32"/>
    <mergeCell ref="E32:H32"/>
    <mergeCell ref="I32:J32"/>
    <mergeCell ref="M32:P32"/>
    <mergeCell ref="Q32:R32"/>
    <mergeCell ref="X31:Y31"/>
    <mergeCell ref="A31:B31"/>
    <mergeCell ref="C31:D31"/>
    <mergeCell ref="E31:H31"/>
    <mergeCell ref="I31:J31"/>
    <mergeCell ref="M31:P31"/>
    <mergeCell ref="Q31:R31"/>
    <mergeCell ref="A35:B35"/>
    <mergeCell ref="C35:D35"/>
    <mergeCell ref="E35:H35"/>
    <mergeCell ref="I35:J35"/>
    <mergeCell ref="M35:P35"/>
    <mergeCell ref="Q35:R35"/>
    <mergeCell ref="X35:Y35"/>
    <mergeCell ref="X33:Y33"/>
    <mergeCell ref="A34:B34"/>
    <mergeCell ref="C34:D34"/>
    <mergeCell ref="E34:H34"/>
    <mergeCell ref="I34:J34"/>
    <mergeCell ref="M34:P34"/>
    <mergeCell ref="Q34:R34"/>
    <mergeCell ref="X34:Y34"/>
    <mergeCell ref="A33:B33"/>
    <mergeCell ref="C33:D33"/>
    <mergeCell ref="E33:H33"/>
    <mergeCell ref="I33:J33"/>
    <mergeCell ref="M33:P33"/>
    <mergeCell ref="Q33:R33"/>
    <mergeCell ref="X37:Y37"/>
    <mergeCell ref="A37:B37"/>
    <mergeCell ref="C37:D37"/>
    <mergeCell ref="E37:H37"/>
    <mergeCell ref="I37:J37"/>
    <mergeCell ref="M37:P37"/>
    <mergeCell ref="Q37:R37"/>
    <mergeCell ref="X36:Y36"/>
    <mergeCell ref="A36:B36"/>
    <mergeCell ref="C36:D36"/>
    <mergeCell ref="E36:H36"/>
    <mergeCell ref="I36:J36"/>
    <mergeCell ref="M36:P36"/>
    <mergeCell ref="Q36:R36"/>
    <mergeCell ref="A40:B40"/>
    <mergeCell ref="C40:D40"/>
    <mergeCell ref="E40:H40"/>
    <mergeCell ref="I40:J40"/>
    <mergeCell ref="M40:P40"/>
    <mergeCell ref="Q40:R40"/>
    <mergeCell ref="X40:Y40"/>
    <mergeCell ref="X38:Y38"/>
    <mergeCell ref="A39:B39"/>
    <mergeCell ref="C39:D39"/>
    <mergeCell ref="E39:H39"/>
    <mergeCell ref="I39:J39"/>
    <mergeCell ref="M39:P39"/>
    <mergeCell ref="Q39:R39"/>
    <mergeCell ref="X39:Y39"/>
    <mergeCell ref="A38:B38"/>
    <mergeCell ref="C38:D38"/>
    <mergeCell ref="E38:H38"/>
    <mergeCell ref="I38:J38"/>
    <mergeCell ref="M38:P38"/>
    <mergeCell ref="Q38:R38"/>
    <mergeCell ref="A42:B42"/>
    <mergeCell ref="C42:D42"/>
    <mergeCell ref="E42:H42"/>
    <mergeCell ref="I42:J42"/>
    <mergeCell ref="M42:P42"/>
    <mergeCell ref="Q42:R42"/>
    <mergeCell ref="X42:Y42"/>
    <mergeCell ref="A41:B41"/>
    <mergeCell ref="C41:D41"/>
    <mergeCell ref="E41:H41"/>
    <mergeCell ref="I41:J41"/>
    <mergeCell ref="M41:P41"/>
    <mergeCell ref="Q41:R41"/>
    <mergeCell ref="X41:Y41"/>
    <mergeCell ref="A44:B44"/>
    <mergeCell ref="C44:D44"/>
    <mergeCell ref="E44:H44"/>
    <mergeCell ref="I44:J44"/>
    <mergeCell ref="M44:P44"/>
    <mergeCell ref="Q44:R44"/>
    <mergeCell ref="X44:Y44"/>
    <mergeCell ref="A43:B43"/>
    <mergeCell ref="C43:D43"/>
    <mergeCell ref="E43:H43"/>
    <mergeCell ref="I43:J43"/>
    <mergeCell ref="M43:P43"/>
    <mergeCell ref="Q43:R43"/>
    <mergeCell ref="X43:Y43"/>
    <mergeCell ref="A47:B47"/>
    <mergeCell ref="C47:D47"/>
    <mergeCell ref="E47:H47"/>
    <mergeCell ref="I47:J47"/>
    <mergeCell ref="M47:P47"/>
    <mergeCell ref="Q47:R47"/>
    <mergeCell ref="X47:Y47"/>
    <mergeCell ref="X45:Y45"/>
    <mergeCell ref="A46:B46"/>
    <mergeCell ref="C46:D46"/>
    <mergeCell ref="E46:H46"/>
    <mergeCell ref="I46:J46"/>
    <mergeCell ref="M46:P46"/>
    <mergeCell ref="Q46:R46"/>
    <mergeCell ref="X46:Y46"/>
    <mergeCell ref="A45:B45"/>
    <mergeCell ref="C45:D45"/>
    <mergeCell ref="E45:H45"/>
    <mergeCell ref="I45:J45"/>
    <mergeCell ref="M45:P45"/>
    <mergeCell ref="Q45:R45"/>
    <mergeCell ref="A49:B49"/>
    <mergeCell ref="C49:D49"/>
    <mergeCell ref="E49:H49"/>
    <mergeCell ref="I49:J49"/>
    <mergeCell ref="M49:P49"/>
    <mergeCell ref="Q49:R49"/>
    <mergeCell ref="X49:Y49"/>
    <mergeCell ref="A48:B48"/>
    <mergeCell ref="C48:D48"/>
    <mergeCell ref="E48:H48"/>
    <mergeCell ref="I48:J48"/>
    <mergeCell ref="M48:P48"/>
    <mergeCell ref="Q48:R48"/>
    <mergeCell ref="X48:Y48"/>
    <mergeCell ref="A51:B51"/>
    <mergeCell ref="C51:D51"/>
    <mergeCell ref="E51:H51"/>
    <mergeCell ref="I51:J51"/>
    <mergeCell ref="M51:P51"/>
    <mergeCell ref="Q51:R51"/>
    <mergeCell ref="X51:Y51"/>
    <mergeCell ref="A50:B50"/>
    <mergeCell ref="C50:D50"/>
    <mergeCell ref="E50:H50"/>
    <mergeCell ref="I50:J50"/>
    <mergeCell ref="M50:P50"/>
    <mergeCell ref="Q50:R50"/>
    <mergeCell ref="X50:Y50"/>
    <mergeCell ref="X53:Y53"/>
    <mergeCell ref="A53:B53"/>
    <mergeCell ref="C53:D53"/>
    <mergeCell ref="E53:H53"/>
    <mergeCell ref="I53:J53"/>
    <mergeCell ref="M53:P53"/>
    <mergeCell ref="Q53:R53"/>
    <mergeCell ref="A52:B52"/>
    <mergeCell ref="C52:D52"/>
    <mergeCell ref="E52:H52"/>
    <mergeCell ref="I52:J52"/>
    <mergeCell ref="M52:P52"/>
    <mergeCell ref="Q52:R52"/>
    <mergeCell ref="X52:Y52"/>
    <mergeCell ref="X54:Y55"/>
    <mergeCell ref="A55:B55"/>
    <mergeCell ref="C55:D55"/>
    <mergeCell ref="A56:B56"/>
    <mergeCell ref="C56:D56"/>
    <mergeCell ref="E56:H56"/>
    <mergeCell ref="I56:J56"/>
    <mergeCell ref="M56:P56"/>
    <mergeCell ref="Q56:R56"/>
    <mergeCell ref="X56:Y56"/>
    <mergeCell ref="Q54:R55"/>
    <mergeCell ref="S54:S55"/>
    <mergeCell ref="T54:T55"/>
    <mergeCell ref="U54:U55"/>
    <mergeCell ref="V54:V55"/>
    <mergeCell ref="W54:W55"/>
    <mergeCell ref="A54:D54"/>
    <mergeCell ref="E54:H55"/>
    <mergeCell ref="I54:J55"/>
    <mergeCell ref="K54:K55"/>
    <mergeCell ref="L54:L55"/>
    <mergeCell ref="M54:P55"/>
    <mergeCell ref="X57:Y57"/>
    <mergeCell ref="A58:P58"/>
    <mergeCell ref="Q58:R58"/>
    <mergeCell ref="U58:V58"/>
    <mergeCell ref="W58:Y58"/>
    <mergeCell ref="A59:H59"/>
    <mergeCell ref="I59:J59"/>
    <mergeCell ref="K59:T59"/>
    <mergeCell ref="U59:V59"/>
    <mergeCell ref="W59:Y59"/>
    <mergeCell ref="A57:B57"/>
    <mergeCell ref="C57:D57"/>
    <mergeCell ref="E57:H57"/>
    <mergeCell ref="I57:J57"/>
    <mergeCell ref="M57:P57"/>
    <mergeCell ref="Q57:R57"/>
    <mergeCell ref="A62:Y62"/>
    <mergeCell ref="A63:Y63"/>
    <mergeCell ref="A64:Y64"/>
    <mergeCell ref="A65:Y65"/>
    <mergeCell ref="A67:Y67"/>
    <mergeCell ref="Z67:AA67"/>
    <mergeCell ref="A60:H60"/>
    <mergeCell ref="I60:J60"/>
    <mergeCell ref="K60:T60"/>
    <mergeCell ref="U60:V60"/>
    <mergeCell ref="W60:Y60"/>
    <mergeCell ref="A61:V61"/>
    <mergeCell ref="W61:Y61"/>
    <mergeCell ref="B71:M71"/>
    <mergeCell ref="N71:Y71"/>
    <mergeCell ref="Z71:AA71"/>
    <mergeCell ref="B72:F72"/>
    <mergeCell ref="G72:I72"/>
    <mergeCell ref="J72:M72"/>
    <mergeCell ref="N72:Y72"/>
    <mergeCell ref="Z72:AA72"/>
    <mergeCell ref="A68:Y68"/>
    <mergeCell ref="Z68:AA68"/>
    <mergeCell ref="A69:Y69"/>
    <mergeCell ref="Z69:AA69"/>
    <mergeCell ref="B70:F70"/>
    <mergeCell ref="G70:I70"/>
    <mergeCell ref="J70:M70"/>
    <mergeCell ref="N70:Y70"/>
    <mergeCell ref="Z70:AA70"/>
    <mergeCell ref="B73:F73"/>
    <mergeCell ref="G73:I73"/>
    <mergeCell ref="J73:M73"/>
    <mergeCell ref="N73:Y73"/>
    <mergeCell ref="Z73:AA73"/>
    <mergeCell ref="B74:F74"/>
    <mergeCell ref="G74:I74"/>
    <mergeCell ref="J74:M74"/>
    <mergeCell ref="N74:Y74"/>
    <mergeCell ref="Z74:AA74"/>
    <mergeCell ref="B75:F75"/>
    <mergeCell ref="G75:I75"/>
    <mergeCell ref="J75:M75"/>
    <mergeCell ref="N75:Y75"/>
    <mergeCell ref="Z75:AA75"/>
    <mergeCell ref="B76:F76"/>
    <mergeCell ref="G76:I76"/>
    <mergeCell ref="J76:M76"/>
    <mergeCell ref="N76:Y76"/>
    <mergeCell ref="Z76:AA76"/>
    <mergeCell ref="B77:F77"/>
    <mergeCell ref="G77:I77"/>
    <mergeCell ref="J77:M77"/>
    <mergeCell ref="N77:Y77"/>
    <mergeCell ref="Z77:AA77"/>
    <mergeCell ref="B78:F78"/>
    <mergeCell ref="G78:I78"/>
    <mergeCell ref="J78:M78"/>
    <mergeCell ref="N78:Y78"/>
    <mergeCell ref="Z78:AA78"/>
    <mergeCell ref="A84:Z84"/>
    <mergeCell ref="A85:Z85"/>
    <mergeCell ref="A86:Z86"/>
    <mergeCell ref="A87:Z87"/>
    <mergeCell ref="A88:Z88"/>
    <mergeCell ref="A89:Z89"/>
    <mergeCell ref="B79:F79"/>
    <mergeCell ref="G79:I79"/>
    <mergeCell ref="J79:M79"/>
    <mergeCell ref="N79:Y79"/>
    <mergeCell ref="Z79:AA79"/>
    <mergeCell ref="A80:AA80"/>
    <mergeCell ref="A90:Z90"/>
    <mergeCell ref="A91:C91"/>
    <mergeCell ref="D91:X91"/>
    <mergeCell ref="A92:C93"/>
    <mergeCell ref="D92:E92"/>
    <mergeCell ref="F92:Q92"/>
    <mergeCell ref="R92:T92"/>
    <mergeCell ref="U92:X92"/>
    <mergeCell ref="Y92:Z93"/>
    <mergeCell ref="D93:E93"/>
    <mergeCell ref="A101:L101"/>
    <mergeCell ref="A97:Z97"/>
    <mergeCell ref="A98:O98"/>
    <mergeCell ref="P98:Z98"/>
    <mergeCell ref="A99:O99"/>
    <mergeCell ref="P99:Z99"/>
    <mergeCell ref="A100:O100"/>
    <mergeCell ref="P100:Z100"/>
    <mergeCell ref="F93:Q93"/>
    <mergeCell ref="R93:T93"/>
    <mergeCell ref="U93:X93"/>
    <mergeCell ref="A94:Z94"/>
    <mergeCell ref="A95:Z95"/>
    <mergeCell ref="A96:Z96"/>
  </mergeCells>
  <hyperlinks>
    <hyperlink ref="A80" r:id="rId1" display="mailto:customercare@mahindra.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Repair Assessment Sheet</vt:lpstr>
      <vt:lpstr>Survey Report </vt:lpstr>
      <vt:lpstr>ICan Upload </vt:lpstr>
      <vt:lpstr>ICan Upload  (2)</vt:lpstr>
      <vt:lpstr>Bill</vt:lpstr>
      <vt:lpstr>'Repair Assessment Sheet'!Print_Area</vt:lpstr>
      <vt:lpstr>'Survey Report '!Print_Area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VGOWRIN</dc:creator>
  <cp:lastModifiedBy>Administrator</cp:lastModifiedBy>
  <cp:lastPrinted>2023-02-28T05:27:39Z</cp:lastPrinted>
  <dcterms:created xsi:type="dcterms:W3CDTF">2017-12-05T12:17:23Z</dcterms:created>
  <dcterms:modified xsi:type="dcterms:W3CDTF">2026-01-28T11:35:24Z</dcterms:modified>
</cp:coreProperties>
</file>