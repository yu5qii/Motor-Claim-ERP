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IFFCO Docs\Prelim approval sheets\"/>
    </mc:Choice>
  </mc:AlternateContent>
  <bookViews>
    <workbookView xWindow="0" yWindow="0" windowWidth="15480" windowHeight="8190" tabRatio="371"/>
  </bookViews>
  <sheets>
    <sheet name="Assessment sheet" sheetId="1" r:id="rId1"/>
    <sheet name="Survey Report " sheetId="2" r:id="rId2"/>
    <sheet name="Sheet2" sheetId="3" r:id="rId3"/>
  </sheets>
  <calcPr calcId="152511"/>
</workbook>
</file>

<file path=xl/calcChain.xml><?xml version="1.0" encoding="utf-8"?>
<calcChain xmlns="http://schemas.openxmlformats.org/spreadsheetml/2006/main">
  <c r="E124" i="2" l="1"/>
  <c r="E126" i="2" s="1"/>
  <c r="E100" i="2"/>
  <c r="D82" i="2"/>
  <c r="D66" i="2"/>
  <c r="F16" i="2"/>
  <c r="F15" i="2"/>
  <c r="F14" i="2"/>
  <c r="B103" i="2"/>
  <c r="G101" i="2"/>
  <c r="E101" i="2"/>
  <c r="B101" i="2"/>
  <c r="G100" i="2"/>
  <c r="B100" i="2"/>
  <c r="C106" i="2" l="1"/>
  <c r="G25" i="1"/>
  <c r="I25" i="1" s="1"/>
  <c r="J25" i="1" s="1"/>
  <c r="K25" i="1" s="1"/>
  <c r="L25" i="1" s="1"/>
  <c r="G24" i="1"/>
  <c r="I24" i="1" s="1"/>
  <c r="J24" i="1" s="1"/>
  <c r="K24" i="1" s="1"/>
  <c r="L24" i="1" s="1"/>
  <c r="N24" i="1"/>
  <c r="U24" i="1"/>
  <c r="N25" i="1"/>
  <c r="U25" i="1"/>
  <c r="G26" i="1"/>
  <c r="I26" i="1" s="1"/>
  <c r="J26" i="1" s="1"/>
  <c r="K26" i="1" s="1"/>
  <c r="L26" i="1" s="1"/>
  <c r="U26" i="1"/>
  <c r="G27" i="1"/>
  <c r="J27" i="1" s="1"/>
  <c r="K27" i="1" s="1"/>
  <c r="L27" i="1" s="1"/>
  <c r="U27" i="1"/>
  <c r="G28" i="1"/>
  <c r="I28" i="1" s="1"/>
  <c r="J28" i="1" s="1"/>
  <c r="K28" i="1" s="1"/>
  <c r="L28" i="1" s="1"/>
  <c r="U28" i="1"/>
  <c r="G29" i="1"/>
  <c r="I29" i="1" s="1"/>
  <c r="J29" i="1" s="1"/>
  <c r="K29" i="1" s="1"/>
  <c r="L29" i="1"/>
  <c r="N29" i="1"/>
  <c r="U29" i="1"/>
  <c r="G30" i="1"/>
  <c r="I30" i="1" s="1"/>
  <c r="J30" i="1" s="1"/>
  <c r="K30" i="1" s="1"/>
  <c r="L30" i="1"/>
  <c r="N30" i="1"/>
  <c r="U30" i="1"/>
  <c r="U14" i="1"/>
  <c r="U15" i="1"/>
  <c r="U16" i="1"/>
  <c r="U17" i="1"/>
  <c r="U18" i="1"/>
  <c r="U19" i="1"/>
  <c r="U20" i="1"/>
  <c r="U21" i="1"/>
  <c r="U22" i="1"/>
  <c r="U23" i="1"/>
  <c r="U31" i="1"/>
  <c r="M29" i="1" l="1"/>
  <c r="M30" i="1"/>
  <c r="N28" i="1"/>
  <c r="N27" i="1"/>
  <c r="N26" i="1"/>
  <c r="M27" i="1"/>
  <c r="M25" i="1"/>
  <c r="M24" i="1"/>
  <c r="M28" i="1"/>
  <c r="M26" i="1"/>
  <c r="T56" i="1"/>
  <c r="R56" i="1"/>
  <c r="P56" i="1"/>
  <c r="N13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13" i="1"/>
  <c r="N45" i="1"/>
  <c r="L45" i="1"/>
  <c r="G45" i="1"/>
  <c r="N44" i="1"/>
  <c r="L44" i="1"/>
  <c r="G44" i="1"/>
  <c r="N43" i="1"/>
  <c r="L43" i="1"/>
  <c r="G43" i="1"/>
  <c r="N42" i="1"/>
  <c r="L42" i="1"/>
  <c r="G42" i="1"/>
  <c r="N41" i="1"/>
  <c r="L41" i="1"/>
  <c r="G41" i="1"/>
  <c r="N40" i="1"/>
  <c r="L40" i="1"/>
  <c r="G40" i="1"/>
  <c r="I40" i="1" s="1"/>
  <c r="N39" i="1"/>
  <c r="L39" i="1"/>
  <c r="G39" i="1"/>
  <c r="N38" i="1"/>
  <c r="L38" i="1"/>
  <c r="G38" i="1"/>
  <c r="N37" i="1"/>
  <c r="L37" i="1"/>
  <c r="G37" i="1"/>
  <c r="N36" i="1"/>
  <c r="L36" i="1"/>
  <c r="G36" i="1"/>
  <c r="N35" i="1"/>
  <c r="L35" i="1"/>
  <c r="G35" i="1"/>
  <c r="N34" i="1"/>
  <c r="L34" i="1"/>
  <c r="G34" i="1"/>
  <c r="N33" i="1"/>
  <c r="L33" i="1"/>
  <c r="G33" i="1"/>
  <c r="I35" i="1" l="1"/>
  <c r="J35" i="1" s="1"/>
  <c r="K35" i="1" s="1"/>
  <c r="M35" i="1" s="1"/>
  <c r="I39" i="1"/>
  <c r="J39" i="1" s="1"/>
  <c r="K39" i="1" s="1"/>
  <c r="M39" i="1" s="1"/>
  <c r="I43" i="1"/>
  <c r="J43" i="1" s="1"/>
  <c r="K43" i="1" s="1"/>
  <c r="M43" i="1" s="1"/>
  <c r="I38" i="1"/>
  <c r="J38" i="1" s="1"/>
  <c r="K38" i="1" s="1"/>
  <c r="M38" i="1" s="1"/>
  <c r="J40" i="1"/>
  <c r="K40" i="1" s="1"/>
  <c r="M40" i="1" s="1"/>
  <c r="I44" i="1"/>
  <c r="J44" i="1" s="1"/>
  <c r="K44" i="1" s="1"/>
  <c r="M44" i="1" s="1"/>
  <c r="I36" i="1"/>
  <c r="J36" i="1" s="1"/>
  <c r="K36" i="1" s="1"/>
  <c r="M36" i="1" s="1"/>
  <c r="I33" i="1"/>
  <c r="J33" i="1" s="1"/>
  <c r="K33" i="1" s="1"/>
  <c r="M33" i="1" s="1"/>
  <c r="I37" i="1"/>
  <c r="J37" i="1" s="1"/>
  <c r="K37" i="1" s="1"/>
  <c r="M37" i="1" s="1"/>
  <c r="I41" i="1"/>
  <c r="J41" i="1" s="1"/>
  <c r="K41" i="1" s="1"/>
  <c r="M41" i="1" s="1"/>
  <c r="I45" i="1"/>
  <c r="J45" i="1" s="1"/>
  <c r="K45" i="1" s="1"/>
  <c r="M45" i="1" s="1"/>
  <c r="I42" i="1"/>
  <c r="J42" i="1" s="1"/>
  <c r="K42" i="1" s="1"/>
  <c r="M42" i="1" s="1"/>
  <c r="I34" i="1"/>
  <c r="J34" i="1" s="1"/>
  <c r="K34" i="1" s="1"/>
  <c r="M34" i="1" s="1"/>
  <c r="N52" i="1"/>
  <c r="L52" i="1"/>
  <c r="G52" i="1"/>
  <c r="N51" i="1"/>
  <c r="L51" i="1"/>
  <c r="G51" i="1"/>
  <c r="N50" i="1"/>
  <c r="L50" i="1"/>
  <c r="G50" i="1"/>
  <c r="N49" i="1"/>
  <c r="L49" i="1"/>
  <c r="G49" i="1"/>
  <c r="N48" i="1"/>
  <c r="L48" i="1"/>
  <c r="G48" i="1"/>
  <c r="N47" i="1"/>
  <c r="L47" i="1"/>
  <c r="G47" i="1"/>
  <c r="N46" i="1"/>
  <c r="L46" i="1"/>
  <c r="G46" i="1"/>
  <c r="G32" i="1"/>
  <c r="I32" i="1" s="1"/>
  <c r="J32" i="1" s="1"/>
  <c r="K32" i="1" s="1"/>
  <c r="N32" i="1" s="1"/>
  <c r="N31" i="1"/>
  <c r="L31" i="1"/>
  <c r="G31" i="1"/>
  <c r="N23" i="1"/>
  <c r="G23" i="1"/>
  <c r="G22" i="1"/>
  <c r="N21" i="1"/>
  <c r="G21" i="1"/>
  <c r="N20" i="1"/>
  <c r="G20" i="1"/>
  <c r="N19" i="1"/>
  <c r="G19" i="1"/>
  <c r="G18" i="1"/>
  <c r="G17" i="1"/>
  <c r="G16" i="1"/>
  <c r="F56" i="1"/>
  <c r="G13" i="1"/>
  <c r="G55" i="1"/>
  <c r="G15" i="1"/>
  <c r="G14" i="1"/>
  <c r="G53" i="1"/>
  <c r="G54" i="1"/>
  <c r="O56" i="1"/>
  <c r="Q56" i="1"/>
  <c r="S56" i="1"/>
  <c r="U59" i="1"/>
  <c r="U60" i="1"/>
  <c r="U68" i="1"/>
  <c r="I47" i="1" l="1"/>
  <c r="J47" i="1" s="1"/>
  <c r="K47" i="1" s="1"/>
  <c r="M47" i="1" s="1"/>
  <c r="I49" i="1"/>
  <c r="J49" i="1" s="1"/>
  <c r="K49" i="1" s="1"/>
  <c r="M49" i="1" s="1"/>
  <c r="I48" i="1"/>
  <c r="J48" i="1" s="1"/>
  <c r="K48" i="1" s="1"/>
  <c r="M48" i="1" s="1"/>
  <c r="I52" i="1"/>
  <c r="J52" i="1" s="1"/>
  <c r="K52" i="1" s="1"/>
  <c r="M52" i="1" s="1"/>
  <c r="I54" i="1"/>
  <c r="J54" i="1" s="1"/>
  <c r="K54" i="1" s="1"/>
  <c r="I51" i="1"/>
  <c r="J51" i="1" s="1"/>
  <c r="K51" i="1" s="1"/>
  <c r="M51" i="1" s="1"/>
  <c r="I53" i="1"/>
  <c r="J53" i="1" s="1"/>
  <c r="K53" i="1" s="1"/>
  <c r="L32" i="1"/>
  <c r="M32" i="1" s="1"/>
  <c r="I46" i="1"/>
  <c r="J46" i="1" s="1"/>
  <c r="K46" i="1" s="1"/>
  <c r="M46" i="1" s="1"/>
  <c r="I50" i="1"/>
  <c r="J50" i="1" s="1"/>
  <c r="K50" i="1" s="1"/>
  <c r="M50" i="1" s="1"/>
  <c r="N55" i="1"/>
  <c r="I55" i="1"/>
  <c r="J55" i="1" s="1"/>
  <c r="K55" i="1" s="1"/>
  <c r="I16" i="1"/>
  <c r="J16" i="1" s="1"/>
  <c r="K16" i="1" s="1"/>
  <c r="I14" i="1"/>
  <c r="J14" i="1" s="1"/>
  <c r="K14" i="1" s="1"/>
  <c r="N14" i="1" s="1"/>
  <c r="I13" i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31" i="1"/>
  <c r="J31" i="1" s="1"/>
  <c r="K31" i="1" s="1"/>
  <c r="M31" i="1" s="1"/>
  <c r="I15" i="1"/>
  <c r="J15" i="1" s="1"/>
  <c r="K15" i="1" s="1"/>
  <c r="U56" i="1"/>
  <c r="U57" i="1" s="1"/>
  <c r="U58" i="1" s="1"/>
  <c r="G56" i="1"/>
  <c r="L55" i="1"/>
  <c r="N53" i="1"/>
  <c r="L54" i="1"/>
  <c r="L23" i="1" l="1"/>
  <c r="M23" i="1" s="1"/>
  <c r="N22" i="1"/>
  <c r="L22" i="1"/>
  <c r="M22" i="1" s="1"/>
  <c r="L21" i="1"/>
  <c r="M21" i="1" s="1"/>
  <c r="L20" i="1"/>
  <c r="M20" i="1" s="1"/>
  <c r="L19" i="1"/>
  <c r="M19" i="1" s="1"/>
  <c r="N18" i="1"/>
  <c r="L18" i="1"/>
  <c r="M18" i="1" s="1"/>
  <c r="L17" i="1"/>
  <c r="M17" i="1" s="1"/>
  <c r="N17" i="1"/>
  <c r="N16" i="1"/>
  <c r="L16" i="1"/>
  <c r="M16" i="1" s="1"/>
  <c r="L14" i="1"/>
  <c r="M14" i="1" s="1"/>
  <c r="N15" i="1"/>
  <c r="L15" i="1"/>
  <c r="M15" i="1" s="1"/>
  <c r="M54" i="1"/>
  <c r="I56" i="1"/>
  <c r="M55" i="1"/>
  <c r="J13" i="1"/>
  <c r="K13" i="1" s="1"/>
  <c r="L13" i="1" s="1"/>
  <c r="L53" i="1"/>
  <c r="M53" i="1" s="1"/>
  <c r="B59" i="1"/>
  <c r="U61" i="1"/>
  <c r="N54" i="1"/>
  <c r="U65" i="1" l="1"/>
  <c r="L56" i="1"/>
  <c r="N56" i="1"/>
  <c r="M58" i="1" s="1"/>
  <c r="U69" i="1" s="1"/>
  <c r="J56" i="1"/>
  <c r="K56" i="1"/>
  <c r="B58" i="1" s="1"/>
  <c r="M13" i="1"/>
  <c r="M56" i="1" s="1"/>
  <c r="U62" i="1" l="1"/>
  <c r="U70" i="1" s="1"/>
  <c r="U72" i="1" s="1"/>
  <c r="U67" i="1"/>
  <c r="U63" i="1"/>
  <c r="U64" i="1" s="1"/>
  <c r="P66" i="1"/>
  <c r="U66" i="1"/>
</calcChain>
</file>

<file path=xl/sharedStrings.xml><?xml version="1.0" encoding="utf-8"?>
<sst xmlns="http://schemas.openxmlformats.org/spreadsheetml/2006/main" count="262" uniqueCount="151">
  <si>
    <t>MODEL :</t>
  </si>
  <si>
    <t>REGN.NO. :</t>
  </si>
  <si>
    <t>A.R. AUTOMOBILES LTD.</t>
  </si>
  <si>
    <t>SALVAGE</t>
  </si>
  <si>
    <t>Re Sale Tax</t>
  </si>
  <si>
    <r>
      <t xml:space="preserve"> </t>
    </r>
    <r>
      <rPr>
        <b/>
        <u/>
        <sz val="9"/>
        <rFont val="Verdana"/>
        <family val="2"/>
      </rPr>
      <t>Comments</t>
    </r>
    <r>
      <rPr>
        <b/>
        <sz val="9"/>
        <rFont val="Verdana"/>
        <family val="2"/>
      </rPr>
      <t xml:space="preserve">: </t>
    </r>
  </si>
  <si>
    <t>Sr. No.</t>
  </si>
  <si>
    <t>Part Name</t>
  </si>
  <si>
    <t>Type Part</t>
  </si>
  <si>
    <t>Tax</t>
  </si>
  <si>
    <t>Qty.</t>
  </si>
  <si>
    <t>Part Amt.</t>
  </si>
  <si>
    <t>Total Parts Amt.</t>
  </si>
  <si>
    <t>Total Tax Amt.</t>
  </si>
  <si>
    <t>Gross Amt.</t>
  </si>
  <si>
    <t>Depr.</t>
  </si>
  <si>
    <t>Net Amt.</t>
  </si>
  <si>
    <t>Salvage</t>
  </si>
  <si>
    <t>Labour Details</t>
  </si>
  <si>
    <t>Total Labour Amt.</t>
  </si>
  <si>
    <t>O/F</t>
  </si>
  <si>
    <t>DT</t>
  </si>
  <si>
    <t>PT</t>
  </si>
  <si>
    <t>Estimate</t>
  </si>
  <si>
    <t>Appr</t>
  </si>
  <si>
    <t>TOTAL</t>
  </si>
  <si>
    <t>PAYABLE</t>
  </si>
  <si>
    <t>LABOUR</t>
  </si>
  <si>
    <t>Parts</t>
  </si>
  <si>
    <t xml:space="preserve">Salvage </t>
  </si>
  <si>
    <t>SR TAX</t>
  </si>
  <si>
    <t>N</t>
  </si>
  <si>
    <t>Y</t>
  </si>
  <si>
    <t>Lab</t>
  </si>
  <si>
    <t>EXCESS</t>
  </si>
  <si>
    <t>WCT</t>
  </si>
  <si>
    <t>VOLUNTARY</t>
  </si>
  <si>
    <t>WCTP</t>
  </si>
  <si>
    <t>TOTAL LABOUR</t>
  </si>
  <si>
    <t>Labour</t>
  </si>
  <si>
    <t>TOTAL DEDUCTION :</t>
  </si>
  <si>
    <t>Depreciation</t>
  </si>
  <si>
    <t>Excess</t>
  </si>
  <si>
    <t>Insurance</t>
  </si>
  <si>
    <t>Invoice</t>
  </si>
  <si>
    <t>Difference</t>
  </si>
  <si>
    <t>PREPARED BY : RAHUL</t>
  </si>
  <si>
    <t>G</t>
  </si>
  <si>
    <t>GST</t>
  </si>
  <si>
    <t>S</t>
  </si>
  <si>
    <t>TAX</t>
  </si>
  <si>
    <t xml:space="preserve">MOHD YAMIN </t>
  </si>
  <si>
    <t>DEDUCTION ON METAL PARTS. 40%</t>
  </si>
  <si>
    <t>M</t>
  </si>
  <si>
    <t>P</t>
  </si>
  <si>
    <t xml:space="preserve">As per claim form, </t>
  </si>
  <si>
    <t>MOHD.YAMIN</t>
  </si>
  <si>
    <t>Flat 29 , Shubham Aptts ,</t>
  </si>
  <si>
    <t>Surveyor &amp; Loss Assessor</t>
  </si>
  <si>
    <t xml:space="preserve">I.P.Extn , New Delhi </t>
  </si>
  <si>
    <t>Lic No.72970,Valid upto 23/08/2026</t>
  </si>
  <si>
    <t>Mobile:+91-9818430881</t>
  </si>
  <si>
    <t>MOTOR SURVEY REPORT [FINAL]</t>
  </si>
  <si>
    <t>Claim No</t>
  </si>
  <si>
    <t>Report Ref No.</t>
  </si>
  <si>
    <t>Date</t>
  </si>
  <si>
    <t>Policy No.</t>
  </si>
  <si>
    <t>Period :</t>
  </si>
  <si>
    <t>TO</t>
  </si>
  <si>
    <t xml:space="preserve">Insured </t>
  </si>
  <si>
    <t>Address</t>
  </si>
  <si>
    <t>As per RC</t>
  </si>
  <si>
    <t>As per Insurance</t>
  </si>
  <si>
    <t>Registration No</t>
  </si>
  <si>
    <t>Chassis No.</t>
  </si>
  <si>
    <t>Engine No.</t>
  </si>
  <si>
    <t>Vehicle Particulars</t>
  </si>
  <si>
    <t>RC</t>
  </si>
  <si>
    <t xml:space="preserve">Verified </t>
  </si>
  <si>
    <t>Cubic Capacity</t>
  </si>
  <si>
    <t>Chassis No</t>
  </si>
  <si>
    <t>Make/Model</t>
  </si>
  <si>
    <t>Engine No</t>
  </si>
  <si>
    <t>Date Of Registration</t>
  </si>
  <si>
    <t>Odometer Reading</t>
  </si>
  <si>
    <t>Color</t>
  </si>
  <si>
    <t>Driving Particulars</t>
  </si>
  <si>
    <t>DL</t>
  </si>
  <si>
    <t>Name</t>
  </si>
  <si>
    <t>Driving Licence No.</t>
  </si>
  <si>
    <t>Issue Date</t>
  </si>
  <si>
    <t>Expiring On</t>
  </si>
  <si>
    <t>Valid For</t>
  </si>
  <si>
    <t>Issuing Authority</t>
  </si>
  <si>
    <t>Accident Particulars</t>
  </si>
  <si>
    <t>Date of Accident</t>
  </si>
  <si>
    <t>Place of Accident &amp; Time</t>
  </si>
  <si>
    <t>Place of Survey</t>
  </si>
  <si>
    <t>Date of Survey</t>
  </si>
  <si>
    <t>Date of Re-inspection</t>
  </si>
  <si>
    <t>Details of Accident &amp; Comments</t>
  </si>
  <si>
    <t>Police Report</t>
  </si>
  <si>
    <t>No,as per Claimform.</t>
  </si>
  <si>
    <t>Injuries to Driver/Passengers/Third Parties or Damage to properties of Third Party.</t>
  </si>
  <si>
    <t>Remarks :</t>
  </si>
  <si>
    <t xml:space="preserve">The vehicle repair cost was exceeding 75% of IDV and therfore other options of loss settlement were </t>
  </si>
  <si>
    <t xml:space="preserve">explored.Net of Salvage settlement was found to be more economical and therfore this claim is been </t>
  </si>
  <si>
    <t>recommended to be settled as Net of Salvage Basis.</t>
  </si>
  <si>
    <t>ASSESSMENT AS PER TOTAL LOSS BASIS</t>
  </si>
  <si>
    <t>If the vehicle was considered for Total Loss then liability of the underwriters would come to:</t>
  </si>
  <si>
    <t xml:space="preserve">Total IDV of the vehicle </t>
  </si>
  <si>
    <t>Less:Excess Clause</t>
  </si>
  <si>
    <t xml:space="preserve">Add: Towing Charges </t>
  </si>
  <si>
    <t>Total</t>
  </si>
  <si>
    <t xml:space="preserve">ASSESSMENT AS PER NET OF SALVAGE BASIS </t>
  </si>
  <si>
    <t xml:space="preserve">The undersigned also explored the possibility of settlement as per net of salvage basis in which the </t>
  </si>
  <si>
    <t xml:space="preserve">captioned vehicle is valued on 'as is where is' basis and best value for the vehicle is arrived at and </t>
  </si>
  <si>
    <t>then final liabilty is calculated.</t>
  </si>
  <si>
    <t>Final liability can be significantly reduced if we opt for settlement as per Net of salvage basis . The</t>
  </si>
  <si>
    <t>undersigned then contacted the insured and informed the same and he agreed to retain / sell</t>
  </si>
  <si>
    <t>Total IDV of the vehicle</t>
  </si>
  <si>
    <t>then by Repair Basis or Total Loss Basis.</t>
  </si>
  <si>
    <t>This Report is issued without prejudice subject to the terms &amp; conditions of the Insurance Policy.</t>
  </si>
  <si>
    <t>Registration No.</t>
  </si>
  <si>
    <t>SURVEY FEE BILL</t>
  </si>
  <si>
    <t>S.No.</t>
  </si>
  <si>
    <t>Particulars</t>
  </si>
  <si>
    <t>Amount</t>
  </si>
  <si>
    <t>Survey Fee Final</t>
  </si>
  <si>
    <t>Conveyance Final</t>
  </si>
  <si>
    <t xml:space="preserve">Photo Charges Final </t>
  </si>
  <si>
    <t>A/C No. 50200045633320</t>
  </si>
  <si>
    <t xml:space="preserve">HDFC BANK , KRISHNA NAGAR </t>
  </si>
  <si>
    <t>IFSC : HDFC0000709</t>
  </si>
  <si>
    <t>[ MOHD. YAMIN ]</t>
  </si>
  <si>
    <t xml:space="preserve">         SURVEYOR</t>
  </si>
  <si>
    <t xml:space="preserve">208 , Rishabh corporate tower </t>
  </si>
  <si>
    <t>Karkardooma community centre, Delhi</t>
  </si>
  <si>
    <t>Tata-</t>
  </si>
  <si>
    <t>Expected wreck value of the vehicle in "As is where is condition" and with RC without RC is Rs 152,000/-</t>
  </si>
  <si>
    <t>Vehicle is financed from Axis Bank and Payment to be made in favour of Axis Bank ( EFT details attached ) and RC Cancellation from RTO to be collected before final settlement.</t>
  </si>
  <si>
    <r>
      <t xml:space="preserve">Hence liablity on Total Loss Basis come to </t>
    </r>
    <r>
      <rPr>
        <b/>
        <sz val="10"/>
        <rFont val="Verdana"/>
        <family val="2"/>
      </rPr>
      <t>Rs. 7,85,344/-</t>
    </r>
  </si>
  <si>
    <t>the vehicle at his end for salvage/wreck value of Rs 152,000/-.</t>
  </si>
  <si>
    <t xml:space="preserve">Wreck value without RC </t>
  </si>
  <si>
    <r>
      <t xml:space="preserve">Hence liability under Net of Salvage basis comes to </t>
    </r>
    <r>
      <rPr>
        <b/>
        <sz val="10"/>
        <rFont val="Verdana"/>
        <family val="2"/>
      </rPr>
      <t>Rs 6,33,344/-</t>
    </r>
  </si>
  <si>
    <t>Therfore the Claim is recommended to be settled for Rs 6,33,344/-as it is more reasonable</t>
  </si>
  <si>
    <t xml:space="preserve">As per Claimform, </t>
  </si>
  <si>
    <t>--</t>
  </si>
  <si>
    <t xml:space="preserve">Depreciation Reimbursement </t>
  </si>
  <si>
    <t xml:space="preserve">Net Amount </t>
  </si>
  <si>
    <t>Total 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</si>
</sst>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0.00\ ;\(0.00\)"/>
    <numFmt numFmtId="165" formatCode="d\-mmm\-yyyy"/>
    <numFmt numFmtId="166" formatCode="#,##0.00\ ;&quot; (&quot;#,##0.00\);&quot; -&quot;#\ ;@\ "/>
    <numFmt numFmtId="167" formatCode="#,##0\ ;&quot; (&quot;#,##0\);&quot; -&quot;#\ ;@\ "/>
    <numFmt numFmtId="168" formatCode="_(* #,##0.00_);_(* \(#,##0.00\);_(* &quot;-&quot;??_);_(@_)"/>
    <numFmt numFmtId="169" formatCode="_-* #,##0.00_-;\-* #,##0.00_-;_-* &quot;-&quot;??_-;_-@_-"/>
    <numFmt numFmtId="170" formatCode="0.0%"/>
  </numFmts>
  <fonts count="29" x14ac:knownFonts="1">
    <font>
      <sz val="10"/>
      <name val="Arial"/>
      <family val="2"/>
    </font>
    <font>
      <b/>
      <sz val="9"/>
      <name val="Verdana"/>
      <family val="2"/>
    </font>
    <font>
      <b/>
      <sz val="12"/>
      <color indexed="8"/>
      <name val="Verdana"/>
      <family val="2"/>
    </font>
    <font>
      <b/>
      <sz val="10"/>
      <name val="Verdana"/>
      <family val="2"/>
    </font>
    <font>
      <b/>
      <sz val="14"/>
      <name val="Verdana"/>
      <family val="2"/>
    </font>
    <font>
      <b/>
      <sz val="9"/>
      <color indexed="8"/>
      <name val="Verdana"/>
      <family val="2"/>
    </font>
    <font>
      <b/>
      <sz val="20"/>
      <name val="Verdana"/>
      <family val="2"/>
    </font>
    <font>
      <b/>
      <u/>
      <sz val="9"/>
      <name val="Lucida Sans Unicode"/>
      <family val="2"/>
    </font>
    <font>
      <b/>
      <u/>
      <sz val="9"/>
      <name val="Verdana"/>
      <family val="2"/>
    </font>
    <font>
      <b/>
      <sz val="8"/>
      <color indexed="8"/>
      <name val="Verdana"/>
      <family val="2"/>
    </font>
    <font>
      <b/>
      <sz val="8"/>
      <name val="Verdana"/>
      <family val="2"/>
    </font>
    <font>
      <b/>
      <i/>
      <sz val="10"/>
      <name val="Verdana"/>
      <family val="2"/>
    </font>
    <font>
      <b/>
      <i/>
      <sz val="8"/>
      <name val="Verdana"/>
      <family val="2"/>
    </font>
    <font>
      <b/>
      <u/>
      <sz val="10"/>
      <name val="Verdana"/>
      <family val="2"/>
    </font>
    <font>
      <b/>
      <i/>
      <sz val="9"/>
      <name val="Verdana"/>
      <family val="2"/>
    </font>
    <font>
      <b/>
      <sz val="7"/>
      <name val="Verdana"/>
      <family val="2"/>
    </font>
    <font>
      <sz val="10"/>
      <name val="Arial"/>
      <family val="2"/>
    </font>
    <font>
      <b/>
      <sz val="20"/>
      <color indexed="8"/>
      <name val="Verdana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name val="Verdana"/>
      <family val="2"/>
    </font>
    <font>
      <b/>
      <u/>
      <sz val="12"/>
      <name val="Verdana"/>
      <family val="2"/>
    </font>
    <font>
      <sz val="12"/>
      <name val="Verdana"/>
      <family val="2"/>
    </font>
    <font>
      <b/>
      <sz val="1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</borders>
  <cellStyleXfs count="4">
    <xf numFmtId="0" fontId="0" fillId="0" borderId="0"/>
    <xf numFmtId="166" fontId="16" fillId="0" borderId="0" applyFill="0" applyBorder="0" applyAlignment="0" applyProtection="0"/>
    <xf numFmtId="0" fontId="16" fillId="0" borderId="0"/>
    <xf numFmtId="170" fontId="16" fillId="0" borderId="0" applyFont="0" applyFill="0" applyBorder="0" applyAlignment="0" applyProtection="0"/>
  </cellStyleXfs>
  <cellXfs count="343">
    <xf numFmtId="0" fontId="0" fillId="0" borderId="0" xfId="0"/>
    <xf numFmtId="0" fontId="1" fillId="2" borderId="0" xfId="0" applyFont="1" applyFill="1" applyProtection="1">
      <protection locked="0"/>
    </xf>
    <xf numFmtId="164" fontId="1" fillId="2" borderId="0" xfId="0" applyNumberFormat="1" applyFont="1" applyFill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Border="1" applyProtection="1"/>
    <xf numFmtId="0" fontId="3" fillId="2" borderId="0" xfId="0" applyFont="1" applyFill="1" applyBorder="1" applyAlignment="1" applyProtection="1"/>
    <xf numFmtId="0" fontId="3" fillId="2" borderId="0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164" fontId="3" fillId="2" borderId="0" xfId="0" applyNumberFormat="1" applyFont="1" applyFill="1" applyBorder="1" applyAlignment="1" applyProtection="1">
      <alignment vertical="center"/>
      <protection locked="0"/>
    </xf>
    <xf numFmtId="9" fontId="4" fillId="2" borderId="0" xfId="0" applyNumberFormat="1" applyFont="1" applyFill="1" applyBorder="1" applyAlignment="1" applyProtection="1">
      <alignment horizontal="right" vertical="center"/>
      <protection locked="0"/>
    </xf>
    <xf numFmtId="165" fontId="3" fillId="2" borderId="0" xfId="0" applyNumberFormat="1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right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Protection="1">
      <protection locked="0"/>
    </xf>
    <xf numFmtId="0" fontId="3" fillId="2" borderId="3" xfId="0" applyFont="1" applyFill="1" applyBorder="1" applyAlignment="1" applyProtection="1">
      <protection locked="0"/>
    </xf>
    <xf numFmtId="0" fontId="3" fillId="2" borderId="4" xfId="0" applyFont="1" applyFill="1" applyBorder="1" applyAlignment="1" applyProtection="1">
      <alignment horizontal="right"/>
      <protection locked="0"/>
    </xf>
    <xf numFmtId="0" fontId="5" fillId="2" borderId="5" xfId="0" applyFont="1" applyFill="1" applyBorder="1" applyAlignment="1" applyProtection="1">
      <alignment horizontal="center" vertical="center" wrapText="1"/>
    </xf>
    <xf numFmtId="10" fontId="6" fillId="3" borderId="5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wrapText="1"/>
    </xf>
    <xf numFmtId="10" fontId="1" fillId="3" borderId="5" xfId="0" applyNumberFormat="1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 applyProtection="1">
      <alignment horizontal="center" vertical="center" wrapText="1"/>
    </xf>
    <xf numFmtId="164" fontId="10" fillId="2" borderId="9" xfId="1" applyNumberFormat="1" applyFont="1" applyFill="1" applyBorder="1" applyAlignment="1" applyProtection="1">
      <alignment horizontal="center" vertical="center"/>
      <protection locked="0"/>
    </xf>
    <xf numFmtId="166" fontId="10" fillId="2" borderId="9" xfId="0" applyNumberFormat="1" applyFont="1" applyFill="1" applyBorder="1" applyAlignment="1" applyProtection="1">
      <alignment horizontal="center" vertical="center"/>
    </xf>
    <xf numFmtId="166" fontId="10" fillId="2" borderId="9" xfId="0" applyNumberFormat="1" applyFont="1" applyFill="1" applyBorder="1" applyAlignment="1" applyProtection="1">
      <alignment horizontal="center" vertical="center"/>
      <protection locked="0"/>
    </xf>
    <xf numFmtId="166" fontId="10" fillId="2" borderId="9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0" fillId="2" borderId="7" xfId="0" applyFont="1" applyFill="1" applyBorder="1" applyProtection="1">
      <protection locked="0"/>
    </xf>
    <xf numFmtId="0" fontId="10" fillId="2" borderId="0" xfId="0" applyFont="1" applyFill="1" applyBorder="1" applyProtection="1">
      <protection locked="0"/>
    </xf>
    <xf numFmtId="164" fontId="10" fillId="2" borderId="9" xfId="0" applyNumberFormat="1" applyFont="1" applyFill="1" applyBorder="1" applyAlignment="1" applyProtection="1">
      <alignment horizontal="center"/>
    </xf>
    <xf numFmtId="166" fontId="10" fillId="2" borderId="9" xfId="0" applyNumberFormat="1" applyFont="1" applyFill="1" applyBorder="1" applyAlignment="1" applyProtection="1">
      <alignment horizontal="center"/>
    </xf>
    <xf numFmtId="166" fontId="10" fillId="2" borderId="9" xfId="0" applyNumberFormat="1" applyFont="1" applyFill="1" applyBorder="1" applyAlignment="1" applyProtection="1">
      <alignment horizontal="right"/>
    </xf>
    <xf numFmtId="0" fontId="10" fillId="2" borderId="11" xfId="0" applyFont="1" applyFill="1" applyBorder="1" applyProtection="1"/>
    <xf numFmtId="0" fontId="10" fillId="2" borderId="12" xfId="0" applyFont="1" applyFill="1" applyBorder="1" applyProtection="1">
      <protection locked="0"/>
    </xf>
    <xf numFmtId="164" fontId="10" fillId="2" borderId="0" xfId="0" applyNumberFormat="1" applyFont="1" applyFill="1" applyBorder="1" applyProtection="1">
      <protection locked="0"/>
    </xf>
    <xf numFmtId="0" fontId="10" fillId="2" borderId="0" xfId="0" applyFont="1" applyFill="1" applyBorder="1" applyAlignment="1" applyProtection="1">
      <alignment horizontal="center"/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/>
    <xf numFmtId="0" fontId="10" fillId="2" borderId="10" xfId="0" applyFont="1" applyFill="1" applyBorder="1" applyProtection="1"/>
    <xf numFmtId="166" fontId="10" fillId="2" borderId="13" xfId="1" applyFont="1" applyFill="1" applyBorder="1" applyAlignment="1" applyProtection="1">
      <protection locked="0"/>
    </xf>
    <xf numFmtId="166" fontId="10" fillId="2" borderId="12" xfId="0" applyNumberFormat="1" applyFont="1" applyFill="1" applyBorder="1" applyProtection="1">
      <protection locked="0"/>
    </xf>
    <xf numFmtId="166" fontId="10" fillId="2" borderId="0" xfId="0" applyNumberFormat="1" applyFont="1" applyFill="1" applyBorder="1" applyProtection="1">
      <protection locked="0"/>
    </xf>
    <xf numFmtId="0" fontId="10" fillId="3" borderId="0" xfId="0" applyFont="1" applyFill="1" applyBorder="1" applyProtection="1">
      <protection locked="0"/>
    </xf>
    <xf numFmtId="0" fontId="10" fillId="2" borderId="14" xfId="0" applyFont="1" applyFill="1" applyBorder="1" applyProtection="1"/>
    <xf numFmtId="166" fontId="10" fillId="2" borderId="15" xfId="1" applyFont="1" applyFill="1" applyBorder="1" applyAlignment="1" applyProtection="1">
      <protection locked="0"/>
    </xf>
    <xf numFmtId="166" fontId="10" fillId="2" borderId="13" xfId="0" applyNumberFormat="1" applyFont="1" applyFill="1" applyBorder="1" applyProtection="1">
      <protection locked="0"/>
    </xf>
    <xf numFmtId="0" fontId="10" fillId="2" borderId="16" xfId="0" applyFont="1" applyFill="1" applyBorder="1" applyProtection="1"/>
    <xf numFmtId="0" fontId="10" fillId="2" borderId="17" xfId="0" applyFont="1" applyFill="1" applyBorder="1" applyProtection="1">
      <protection locked="0"/>
    </xf>
    <xf numFmtId="0" fontId="10" fillId="2" borderId="18" xfId="0" applyFont="1" applyFill="1" applyBorder="1" applyProtection="1">
      <protection locked="0"/>
    </xf>
    <xf numFmtId="0" fontId="10" fillId="2" borderId="14" xfId="0" applyFont="1" applyFill="1" applyBorder="1" applyProtection="1">
      <protection locked="0"/>
    </xf>
    <xf numFmtId="166" fontId="10" fillId="2" borderId="15" xfId="0" applyNumberFormat="1" applyFont="1" applyFill="1" applyBorder="1" applyAlignment="1" applyProtection="1">
      <alignment horizontal="right"/>
      <protection locked="0"/>
    </xf>
    <xf numFmtId="166" fontId="10" fillId="2" borderId="19" xfId="0" applyNumberFormat="1" applyFont="1" applyFill="1" applyBorder="1" applyAlignment="1" applyProtection="1">
      <alignment horizontal="right"/>
    </xf>
    <xf numFmtId="164" fontId="10" fillId="2" borderId="3" xfId="0" applyNumberFormat="1" applyFont="1" applyFill="1" applyBorder="1" applyProtection="1">
      <protection locked="0"/>
    </xf>
    <xf numFmtId="0" fontId="10" fillId="2" borderId="3" xfId="0" applyFont="1" applyFill="1" applyBorder="1" applyProtection="1">
      <protection locked="0"/>
    </xf>
    <xf numFmtId="0" fontId="10" fillId="2" borderId="3" xfId="0" applyFont="1" applyFill="1" applyBorder="1" applyAlignment="1" applyProtection="1">
      <alignment horizontal="center"/>
    </xf>
    <xf numFmtId="0" fontId="10" fillId="2" borderId="3" xfId="0" applyFont="1" applyFill="1" applyBorder="1" applyProtection="1"/>
    <xf numFmtId="0" fontId="10" fillId="2" borderId="3" xfId="0" applyFont="1" applyFill="1" applyBorder="1" applyAlignment="1" applyProtection="1">
      <protection locked="0"/>
    </xf>
    <xf numFmtId="0" fontId="10" fillId="4" borderId="17" xfId="0" applyFont="1" applyFill="1" applyBorder="1" applyProtection="1">
      <protection locked="0"/>
    </xf>
    <xf numFmtId="0" fontId="3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166" fontId="12" fillId="2" borderId="0" xfId="0" applyNumberFormat="1" applyFont="1" applyFill="1" applyBorder="1" applyAlignment="1" applyProtection="1">
      <protection locked="0"/>
    </xf>
    <xf numFmtId="0" fontId="12" fillId="2" borderId="10" xfId="0" applyFont="1" applyFill="1" applyBorder="1" applyProtection="1"/>
    <xf numFmtId="167" fontId="12" fillId="2" borderId="13" xfId="0" applyNumberFormat="1" applyFont="1" applyFill="1" applyBorder="1" applyAlignment="1" applyProtection="1">
      <alignment horizontal="right"/>
    </xf>
    <xf numFmtId="0" fontId="3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4" fontId="10" fillId="2" borderId="0" xfId="0" applyNumberFormat="1" applyFont="1" applyFill="1" applyProtection="1">
      <protection locked="0"/>
    </xf>
    <xf numFmtId="0" fontId="10" fillId="2" borderId="0" xfId="0" applyFont="1" applyFill="1" applyAlignment="1" applyProtection="1">
      <alignment horizontal="center"/>
      <protection locked="0"/>
    </xf>
    <xf numFmtId="166" fontId="10" fillId="2" borderId="0" xfId="0" applyNumberFormat="1" applyFont="1" applyFill="1" applyProtection="1">
      <protection locked="0"/>
    </xf>
    <xf numFmtId="0" fontId="10" fillId="2" borderId="0" xfId="0" applyFont="1" applyFill="1" applyAlignment="1" applyProtection="1">
      <protection locked="0"/>
    </xf>
    <xf numFmtId="166" fontId="12" fillId="2" borderId="13" xfId="0" applyNumberFormat="1" applyFont="1" applyFill="1" applyBorder="1" applyAlignment="1" applyProtection="1">
      <alignment horizontal="right"/>
    </xf>
    <xf numFmtId="166" fontId="12" fillId="2" borderId="13" xfId="1" applyFont="1" applyFill="1" applyBorder="1" applyAlignment="1" applyProtection="1">
      <alignment horizontal="right"/>
      <protection locked="0"/>
    </xf>
    <xf numFmtId="0" fontId="11" fillId="2" borderId="0" xfId="0" applyFont="1" applyFill="1" applyProtection="1">
      <protection locked="0"/>
    </xf>
    <xf numFmtId="0" fontId="12" fillId="2" borderId="14" xfId="0" applyFont="1" applyFill="1" applyBorder="1" applyProtection="1"/>
    <xf numFmtId="166" fontId="12" fillId="2" borderId="15" xfId="1" applyFont="1" applyFill="1" applyBorder="1" applyAlignment="1" applyProtection="1">
      <alignment horizontal="right"/>
    </xf>
    <xf numFmtId="0" fontId="14" fillId="2" borderId="0" xfId="0" applyFont="1" applyFill="1" applyProtection="1">
      <protection locked="0"/>
    </xf>
    <xf numFmtId="0" fontId="15" fillId="2" borderId="0" xfId="0" applyFont="1" applyFill="1" applyProtection="1">
      <protection locked="0"/>
    </xf>
    <xf numFmtId="0" fontId="17" fillId="2" borderId="20" xfId="0" applyFont="1" applyFill="1" applyBorder="1" applyAlignment="1" applyProtection="1">
      <alignment vertical="center"/>
    </xf>
    <xf numFmtId="0" fontId="2" fillId="2" borderId="21" xfId="0" applyFont="1" applyFill="1" applyBorder="1" applyAlignment="1" applyProtection="1">
      <alignment vertical="center"/>
    </xf>
    <xf numFmtId="0" fontId="2" fillId="2" borderId="23" xfId="0" applyFont="1" applyFill="1" applyBorder="1" applyAlignment="1" applyProtection="1">
      <alignment vertical="center"/>
    </xf>
    <xf numFmtId="0" fontId="9" fillId="2" borderId="9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wrapText="1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/>
    <xf numFmtId="0" fontId="9" fillId="2" borderId="26" xfId="0" applyFont="1" applyFill="1" applyBorder="1" applyAlignment="1" applyProtection="1">
      <alignment horizontal="center" vertical="center" wrapText="1"/>
    </xf>
    <xf numFmtId="0" fontId="10" fillId="2" borderId="27" xfId="0" applyFont="1" applyFill="1" applyBorder="1" applyAlignment="1" applyProtection="1">
      <alignment horizontal="center" vertical="center" wrapText="1"/>
      <protection locked="0"/>
    </xf>
    <xf numFmtId="0" fontId="18" fillId="0" borderId="25" xfId="0" applyFont="1" applyBorder="1"/>
    <xf numFmtId="0" fontId="9" fillId="2" borderId="28" xfId="0" applyFont="1" applyFill="1" applyBorder="1" applyAlignment="1" applyProtection="1">
      <alignment horizontal="center" vertical="center" wrapText="1"/>
    </xf>
    <xf numFmtId="166" fontId="10" fillId="2" borderId="27" xfId="0" applyNumberFormat="1" applyFont="1" applyFill="1" applyBorder="1" applyAlignment="1" applyProtection="1">
      <alignment horizontal="center" vertical="center"/>
    </xf>
    <xf numFmtId="164" fontId="10" fillId="2" borderId="8" xfId="1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/>
    </xf>
    <xf numFmtId="166" fontId="0" fillId="2" borderId="9" xfId="0" applyNumberFormat="1" applyFont="1" applyFill="1" applyBorder="1" applyAlignment="1" applyProtection="1">
      <alignment horizontal="center"/>
    </xf>
    <xf numFmtId="0" fontId="18" fillId="0" borderId="29" xfId="0" applyFont="1" applyBorder="1"/>
    <xf numFmtId="0" fontId="10" fillId="2" borderId="29" xfId="0" applyFont="1" applyFill="1" applyBorder="1" applyAlignment="1" applyProtection="1">
      <alignment horizontal="left" vertical="center" wrapText="1"/>
      <protection locked="0"/>
    </xf>
    <xf numFmtId="0" fontId="10" fillId="2" borderId="30" xfId="0" applyFont="1" applyFill="1" applyBorder="1" applyAlignment="1" applyProtection="1">
      <alignment horizontal="left" vertical="center" wrapText="1"/>
      <protection locked="0"/>
    </xf>
    <xf numFmtId="0" fontId="9" fillId="2" borderId="25" xfId="0" applyFont="1" applyFill="1" applyBorder="1" applyAlignment="1" applyProtection="1">
      <alignment horizontal="center" vertical="center" wrapText="1"/>
    </xf>
    <xf numFmtId="0" fontId="20" fillId="5" borderId="0" xfId="2" applyFont="1" applyFill="1" applyBorder="1" applyAlignment="1"/>
    <xf numFmtId="0" fontId="16" fillId="0" borderId="0" xfId="2" applyBorder="1"/>
    <xf numFmtId="0" fontId="16" fillId="5" borderId="0" xfId="2" applyFont="1" applyFill="1" applyBorder="1" applyAlignment="1"/>
    <xf numFmtId="0" fontId="16" fillId="5" borderId="0" xfId="2" applyFont="1" applyFill="1" applyBorder="1" applyAlignment="1">
      <alignment horizontal="center"/>
    </xf>
    <xf numFmtId="0" fontId="18" fillId="5" borderId="0" xfId="2" applyFont="1" applyFill="1" applyBorder="1" applyAlignment="1"/>
    <xf numFmtId="0" fontId="16" fillId="0" borderId="0" xfId="2"/>
    <xf numFmtId="0" fontId="16" fillId="5" borderId="31" xfId="2" applyFont="1" applyFill="1" applyBorder="1" applyAlignment="1"/>
    <xf numFmtId="0" fontId="16" fillId="5" borderId="31" xfId="2" applyFill="1" applyBorder="1" applyAlignment="1"/>
    <xf numFmtId="0" fontId="16" fillId="0" borderId="31" xfId="2" applyBorder="1"/>
    <xf numFmtId="0" fontId="20" fillId="5" borderId="31" xfId="2" applyFont="1" applyFill="1" applyBorder="1" applyAlignment="1">
      <alignment horizontal="center"/>
    </xf>
    <xf numFmtId="0" fontId="16" fillId="5" borderId="0" xfId="2" applyFill="1" applyBorder="1" applyAlignment="1"/>
    <xf numFmtId="0" fontId="20" fillId="5" borderId="0" xfId="2" applyFont="1" applyFill="1" applyBorder="1" applyAlignment="1">
      <alignment horizontal="center"/>
    </xf>
    <xf numFmtId="0" fontId="18" fillId="5" borderId="32" xfId="2" applyFont="1" applyFill="1" applyBorder="1"/>
    <xf numFmtId="0" fontId="18" fillId="5" borderId="33" xfId="2" applyFont="1" applyFill="1" applyBorder="1" applyAlignment="1"/>
    <xf numFmtId="0" fontId="16" fillId="5" borderId="25" xfId="2" applyFont="1" applyFill="1" applyBorder="1" applyAlignment="1"/>
    <xf numFmtId="0" fontId="18" fillId="5" borderId="25" xfId="2" applyFont="1" applyFill="1" applyBorder="1" applyAlignment="1">
      <alignment horizontal="right"/>
    </xf>
    <xf numFmtId="14" fontId="16" fillId="5" borderId="29" xfId="2" applyNumberFormat="1" applyFill="1" applyBorder="1" applyAlignment="1">
      <alignment horizontal="left"/>
    </xf>
    <xf numFmtId="0" fontId="18" fillId="5" borderId="25" xfId="2" applyFont="1" applyFill="1" applyBorder="1"/>
    <xf numFmtId="0" fontId="18" fillId="5" borderId="25" xfId="2" applyNumberFormat="1" applyFont="1" applyFill="1" applyBorder="1" applyAlignment="1">
      <alignment horizontal="right"/>
    </xf>
    <xf numFmtId="14" fontId="16" fillId="0" borderId="0" xfId="2" quotePrefix="1" applyNumberFormat="1"/>
    <xf numFmtId="0" fontId="16" fillId="5" borderId="25" xfId="2" applyNumberFormat="1" applyFill="1" applyBorder="1" applyAlignment="1">
      <alignment horizontal="center"/>
    </xf>
    <xf numFmtId="14" fontId="16" fillId="0" borderId="0" xfId="2" quotePrefix="1" applyNumberFormat="1" applyAlignment="1">
      <alignment horizontal="center"/>
    </xf>
    <xf numFmtId="0" fontId="18" fillId="5" borderId="39" xfId="2" applyFont="1" applyFill="1" applyBorder="1" applyAlignment="1"/>
    <xf numFmtId="15" fontId="16" fillId="5" borderId="39" xfId="2" applyNumberFormat="1" applyFill="1" applyBorder="1" applyAlignment="1"/>
    <xf numFmtId="0" fontId="16" fillId="5" borderId="31" xfId="2" applyFill="1" applyBorder="1" applyAlignment="1">
      <alignment horizontal="center"/>
    </xf>
    <xf numFmtId="0" fontId="18" fillId="5" borderId="25" xfId="2" applyFont="1" applyFill="1" applyBorder="1" applyAlignment="1">
      <alignment horizontal="center"/>
    </xf>
    <xf numFmtId="0" fontId="16" fillId="5" borderId="33" xfId="2" applyFont="1" applyFill="1" applyBorder="1" applyAlignment="1"/>
    <xf numFmtId="0" fontId="16" fillId="0" borderId="29" xfId="2" applyBorder="1" applyAlignment="1">
      <alignment horizontal="center"/>
    </xf>
    <xf numFmtId="1" fontId="16" fillId="0" borderId="25" xfId="2" quotePrefix="1" applyNumberFormat="1" applyBorder="1" applyAlignment="1">
      <alignment horizontal="center"/>
    </xf>
    <xf numFmtId="14" fontId="16" fillId="0" borderId="25" xfId="2" quotePrefix="1" applyNumberFormat="1" applyBorder="1" applyAlignment="1">
      <alignment horizontal="center"/>
    </xf>
    <xf numFmtId="0" fontId="16" fillId="0" borderId="39" xfId="2" applyBorder="1"/>
    <xf numFmtId="0" fontId="23" fillId="5" borderId="39" xfId="2" applyFont="1" applyFill="1" applyBorder="1" applyAlignment="1"/>
    <xf numFmtId="0" fontId="23" fillId="5" borderId="29" xfId="2" applyFont="1" applyFill="1" applyBorder="1" applyAlignment="1"/>
    <xf numFmtId="0" fontId="18" fillId="5" borderId="0" xfId="2" applyFont="1" applyFill="1" applyBorder="1" applyAlignment="1">
      <alignment horizontal="center"/>
    </xf>
    <xf numFmtId="0" fontId="16" fillId="0" borderId="33" xfId="2" applyFont="1" applyBorder="1" applyAlignment="1"/>
    <xf numFmtId="0" fontId="16" fillId="0" borderId="29" xfId="2" applyFont="1" applyBorder="1" applyAlignment="1"/>
    <xf numFmtId="0" fontId="18" fillId="5" borderId="29" xfId="2" applyFont="1" applyFill="1" applyBorder="1" applyAlignment="1"/>
    <xf numFmtId="0" fontId="16" fillId="5" borderId="25" xfId="2" applyFill="1" applyBorder="1" applyAlignment="1">
      <alignment vertical="top" wrapText="1"/>
    </xf>
    <xf numFmtId="14" fontId="16" fillId="5" borderId="40" xfId="2" applyNumberFormat="1" applyFill="1" applyBorder="1" applyAlignment="1">
      <alignment horizontal="left" vertical="top" wrapText="1"/>
    </xf>
    <xf numFmtId="0" fontId="16" fillId="5" borderId="25" xfId="2" applyFill="1" applyBorder="1" applyAlignment="1">
      <alignment horizontal="justify" vertical="top" wrapText="1"/>
    </xf>
    <xf numFmtId="0" fontId="16" fillId="5" borderId="29" xfId="2" applyFill="1" applyBorder="1" applyAlignment="1">
      <alignment horizontal="justify" vertical="top" wrapText="1"/>
    </xf>
    <xf numFmtId="0" fontId="16" fillId="0" borderId="25" xfId="2" applyBorder="1" applyAlignment="1">
      <alignment horizontal="center"/>
    </xf>
    <xf numFmtId="0" fontId="16" fillId="5" borderId="0" xfId="2" applyFill="1" applyBorder="1" applyAlignment="1">
      <alignment horizontal="left" vertical="top" wrapText="1"/>
    </xf>
    <xf numFmtId="0" fontId="16" fillId="5" borderId="0" xfId="2" applyFill="1" applyBorder="1" applyAlignment="1">
      <alignment horizontal="center"/>
    </xf>
    <xf numFmtId="0" fontId="16" fillId="0" borderId="42" xfId="2" applyBorder="1" applyAlignment="1">
      <alignment horizontal="center"/>
    </xf>
    <xf numFmtId="0" fontId="16" fillId="5" borderId="31" xfId="2" applyFill="1" applyBorder="1" applyAlignment="1">
      <alignment horizontal="left" vertical="top" wrapText="1"/>
    </xf>
    <xf numFmtId="0" fontId="16" fillId="0" borderId="31" xfId="2" applyBorder="1" applyAlignment="1">
      <alignment horizontal="center"/>
    </xf>
    <xf numFmtId="0" fontId="18" fillId="5" borderId="31" xfId="2" applyFont="1" applyFill="1" applyBorder="1" applyAlignment="1">
      <alignment wrapText="1"/>
    </xf>
    <xf numFmtId="0" fontId="16" fillId="5" borderId="40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left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left" wrapText="1"/>
    </xf>
    <xf numFmtId="0" fontId="13" fillId="0" borderId="0" xfId="0" applyFont="1"/>
    <xf numFmtId="0" fontId="25" fillId="0" borderId="0" xfId="0" applyFont="1"/>
    <xf numFmtId="168" fontId="25" fillId="0" borderId="0" xfId="1" applyNumberFormat="1" applyFont="1"/>
    <xf numFmtId="168" fontId="25" fillId="0" borderId="39" xfId="1" applyNumberFormat="1" applyFont="1" applyBorder="1"/>
    <xf numFmtId="169" fontId="25" fillId="0" borderId="0" xfId="0" applyNumberFormat="1" applyFont="1" applyBorder="1"/>
    <xf numFmtId="0" fontId="25" fillId="0" borderId="0" xfId="0" applyFont="1" applyBorder="1"/>
    <xf numFmtId="0" fontId="3" fillId="0" borderId="0" xfId="0" applyFont="1"/>
    <xf numFmtId="168" fontId="3" fillId="0" borderId="39" xfId="1" applyNumberFormat="1" applyFont="1" applyBorder="1"/>
    <xf numFmtId="0" fontId="3" fillId="0" borderId="0" xfId="0" applyFont="1" applyBorder="1"/>
    <xf numFmtId="0" fontId="16" fillId="5" borderId="31" xfId="2" applyFont="1" applyFill="1" applyBorder="1" applyAlignment="1">
      <alignment wrapText="1"/>
    </xf>
    <xf numFmtId="0" fontId="16" fillId="0" borderId="0" xfId="2" applyBorder="1" applyAlignment="1">
      <alignment horizontal="left"/>
    </xf>
    <xf numFmtId="0" fontId="18" fillId="0" borderId="0" xfId="2" applyFont="1"/>
    <xf numFmtId="0" fontId="16" fillId="0" borderId="0" xfId="2" applyFont="1" applyBorder="1"/>
    <xf numFmtId="14" fontId="16" fillId="5" borderId="33" xfId="2" applyNumberFormat="1" applyFill="1" applyBorder="1" applyAlignment="1"/>
    <xf numFmtId="14" fontId="16" fillId="5" borderId="25" xfId="2" applyNumberFormat="1" applyFill="1" applyBorder="1" applyAlignment="1">
      <alignment horizontal="left"/>
    </xf>
    <xf numFmtId="0" fontId="13" fillId="0" borderId="0" xfId="2" applyFont="1"/>
    <xf numFmtId="0" fontId="3" fillId="0" borderId="0" xfId="2" applyFont="1" applyAlignment="1">
      <alignment horizontal="left"/>
    </xf>
    <xf numFmtId="0" fontId="25" fillId="0" borderId="0" xfId="2" applyFont="1" applyAlignment="1">
      <alignment horizontal="left"/>
    </xf>
    <xf numFmtId="0" fontId="3" fillId="0" borderId="25" xfId="2" applyFont="1" applyBorder="1"/>
    <xf numFmtId="0" fontId="13" fillId="0" borderId="25" xfId="2" applyFont="1" applyBorder="1"/>
    <xf numFmtId="0" fontId="13" fillId="0" borderId="0" xfId="2" applyFont="1" applyBorder="1"/>
    <xf numFmtId="0" fontId="3" fillId="0" borderId="0" xfId="2" applyFont="1" applyBorder="1" applyAlignment="1">
      <alignment horizontal="left"/>
    </xf>
    <xf numFmtId="0" fontId="25" fillId="0" borderId="0" xfId="2" applyFont="1" applyBorder="1" applyAlignment="1">
      <alignment horizontal="left"/>
    </xf>
    <xf numFmtId="0" fontId="25" fillId="0" borderId="0" xfId="2" applyFont="1"/>
    <xf numFmtId="0" fontId="3" fillId="0" borderId="0" xfId="2" applyFont="1"/>
    <xf numFmtId="0" fontId="26" fillId="0" borderId="0" xfId="2" applyFont="1"/>
    <xf numFmtId="0" fontId="27" fillId="0" borderId="0" xfId="2" applyFont="1"/>
    <xf numFmtId="0" fontId="3" fillId="0" borderId="0" xfId="2" applyFont="1" applyBorder="1"/>
    <xf numFmtId="0" fontId="13" fillId="0" borderId="0" xfId="2" applyFont="1" applyBorder="1" applyAlignment="1">
      <alignment horizontal="left"/>
    </xf>
    <xf numFmtId="43" fontId="13" fillId="0" borderId="0" xfId="3" applyNumberFormat="1" applyFont="1" applyBorder="1" applyAlignment="1">
      <alignment horizontal="right"/>
    </xf>
    <xf numFmtId="43" fontId="25" fillId="0" borderId="0" xfId="3" applyNumberFormat="1" applyFont="1" applyAlignment="1"/>
    <xf numFmtId="43" fontId="25" fillId="0" borderId="0" xfId="3" applyNumberFormat="1" applyFont="1" applyAlignment="1">
      <alignment horizontal="center"/>
    </xf>
    <xf numFmtId="43" fontId="25" fillId="0" borderId="0" xfId="3" applyNumberFormat="1" applyFont="1" applyBorder="1" applyAlignment="1">
      <alignment horizontal="center"/>
    </xf>
    <xf numFmtId="43" fontId="3" fillId="0" borderId="0" xfId="3" applyNumberFormat="1" applyFont="1" applyBorder="1" applyAlignment="1">
      <alignment horizontal="center"/>
    </xf>
    <xf numFmtId="43" fontId="3" fillId="0" borderId="35" xfId="3" applyNumberFormat="1" applyFont="1" applyBorder="1" applyAlignment="1">
      <alignment horizontal="center"/>
    </xf>
    <xf numFmtId="0" fontId="25" fillId="0" borderId="0" xfId="2" applyFont="1" applyAlignment="1">
      <alignment horizontal="right"/>
    </xf>
    <xf numFmtId="43" fontId="3" fillId="0" borderId="43" xfId="3" applyNumberFormat="1" applyFont="1" applyBorder="1" applyAlignment="1">
      <alignment horizontal="center"/>
    </xf>
    <xf numFmtId="0" fontId="25" fillId="0" borderId="0" xfId="2" applyFont="1" applyAlignment="1">
      <alignment horizontal="center"/>
    </xf>
    <xf numFmtId="0" fontId="28" fillId="0" borderId="0" xfId="2" applyFont="1" applyAlignment="1">
      <alignment horizontal="left"/>
    </xf>
    <xf numFmtId="0" fontId="0" fillId="5" borderId="0" xfId="2" applyFont="1" applyFill="1" applyBorder="1" applyAlignment="1"/>
    <xf numFmtId="0" fontId="0" fillId="5" borderId="25" xfId="2" applyFont="1" applyFill="1" applyBorder="1" applyAlignment="1"/>
    <xf numFmtId="14" fontId="0" fillId="5" borderId="29" xfId="2" quotePrefix="1" applyNumberFormat="1" applyFont="1" applyFill="1" applyBorder="1" applyAlignment="1">
      <alignment horizontal="left"/>
    </xf>
    <xf numFmtId="15" fontId="0" fillId="0" borderId="25" xfId="2" quotePrefix="1" applyNumberFormat="1" applyFont="1" applyBorder="1" applyAlignment="1">
      <alignment horizontal="center"/>
    </xf>
    <xf numFmtId="15" fontId="0" fillId="0" borderId="29" xfId="2" applyNumberFormat="1" applyFont="1" applyBorder="1" applyAlignment="1">
      <alignment horizontal="center"/>
    </xf>
    <xf numFmtId="0" fontId="0" fillId="5" borderId="25" xfId="2" applyNumberFormat="1" applyFont="1" applyFill="1" applyBorder="1" applyAlignment="1">
      <alignment horizontal="center"/>
    </xf>
    <xf numFmtId="0" fontId="25" fillId="0" borderId="0" xfId="0" quotePrefix="1" applyFont="1"/>
    <xf numFmtId="164" fontId="9" fillId="2" borderId="9" xfId="0" applyNumberFormat="1" applyFont="1" applyFill="1" applyBorder="1" applyAlignment="1" applyProtection="1">
      <alignment horizontal="center" vertical="center" wrapText="1"/>
    </xf>
    <xf numFmtId="164" fontId="9" fillId="2" borderId="19" xfId="0" applyNumberFormat="1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left" vertical="center" wrapText="1"/>
      <protection locked="0"/>
    </xf>
    <xf numFmtId="0" fontId="5" fillId="2" borderId="20" xfId="0" applyFont="1" applyFill="1" applyBorder="1" applyAlignment="1" applyProtection="1">
      <alignment horizontal="center" wrapText="1"/>
    </xf>
    <xf numFmtId="0" fontId="5" fillId="2" borderId="21" xfId="0" applyFont="1" applyFill="1" applyBorder="1" applyAlignment="1" applyProtection="1">
      <alignment horizontal="center" wrapText="1"/>
    </xf>
    <xf numFmtId="0" fontId="5" fillId="2" borderId="23" xfId="0" applyFont="1" applyFill="1" applyBorder="1" applyAlignment="1" applyProtection="1">
      <alignment horizontal="center" wrapText="1"/>
    </xf>
    <xf numFmtId="0" fontId="3" fillId="2" borderId="22" xfId="0" applyFont="1" applyFill="1" applyBorder="1" applyAlignment="1" applyProtection="1">
      <alignment wrapText="1"/>
    </xf>
    <xf numFmtId="0" fontId="3" fillId="2" borderId="16" xfId="0" applyFont="1" applyFill="1" applyBorder="1" applyAlignment="1" applyProtection="1">
      <alignment wrapText="1"/>
    </xf>
    <xf numFmtId="0" fontId="3" fillId="2" borderId="17" xfId="0" applyFont="1" applyFill="1" applyBorder="1" applyAlignment="1" applyProtection="1">
      <alignment wrapText="1"/>
    </xf>
    <xf numFmtId="0" fontId="3" fillId="2" borderId="17" xfId="0" applyFont="1" applyFill="1" applyBorder="1" applyAlignment="1" applyProtection="1">
      <alignment wrapText="1"/>
      <protection locked="0"/>
    </xf>
    <xf numFmtId="0" fontId="3" fillId="2" borderId="0" xfId="0" applyFont="1" applyFill="1" applyBorder="1" applyAlignment="1" applyProtection="1">
      <alignment wrapText="1"/>
      <protection locked="0"/>
    </xf>
    <xf numFmtId="0" fontId="3" fillId="2" borderId="7" xfId="0" applyFont="1" applyFill="1" applyBorder="1" applyAlignment="1" applyProtection="1">
      <alignment wrapText="1"/>
    </xf>
    <xf numFmtId="0" fontId="3" fillId="2" borderId="0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</xf>
    <xf numFmtId="0" fontId="1" fillId="2" borderId="23" xfId="0" applyFont="1" applyFill="1" applyBorder="1" applyAlignment="1" applyProtection="1">
      <alignment horizontal="left" vertical="top" wrapText="1"/>
      <protection locked="0"/>
    </xf>
    <xf numFmtId="0" fontId="9" fillId="2" borderId="10" xfId="0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right" vertical="center" wrapText="1"/>
    </xf>
    <xf numFmtId="49" fontId="9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9" fillId="2" borderId="9" xfId="0" applyFont="1" applyFill="1" applyBorder="1" applyAlignment="1" applyProtection="1">
      <alignment horizontal="center" vertical="center"/>
    </xf>
    <xf numFmtId="0" fontId="16" fillId="5" borderId="33" xfId="2" applyFont="1" applyFill="1" applyBorder="1" applyAlignment="1">
      <alignment horizontal="left"/>
    </xf>
    <xf numFmtId="0" fontId="16" fillId="5" borderId="39" xfId="2" applyFont="1" applyFill="1" applyBorder="1" applyAlignment="1">
      <alignment horizontal="left"/>
    </xf>
    <xf numFmtId="15" fontId="0" fillId="5" borderId="33" xfId="2" applyNumberFormat="1" applyFont="1" applyFill="1" applyBorder="1" applyAlignment="1">
      <alignment horizontal="center"/>
    </xf>
    <xf numFmtId="0" fontId="16" fillId="5" borderId="29" xfId="2" applyNumberFormat="1" applyFill="1" applyBorder="1" applyAlignment="1">
      <alignment horizontal="center"/>
    </xf>
    <xf numFmtId="15" fontId="16" fillId="5" borderId="33" xfId="2" applyNumberFormat="1" applyFill="1" applyBorder="1" applyAlignment="1">
      <alignment horizontal="center"/>
    </xf>
    <xf numFmtId="15" fontId="16" fillId="5" borderId="29" xfId="2" applyNumberFormat="1" applyFill="1" applyBorder="1" applyAlignment="1">
      <alignment horizontal="center"/>
    </xf>
    <xf numFmtId="0" fontId="19" fillId="5" borderId="0" xfId="2" applyFont="1" applyFill="1" applyBorder="1" applyAlignment="1">
      <alignment horizontal="left"/>
    </xf>
    <xf numFmtId="0" fontId="18" fillId="5" borderId="0" xfId="2" applyFont="1" applyFill="1" applyBorder="1" applyAlignment="1">
      <alignment horizontal="left"/>
    </xf>
    <xf numFmtId="0" fontId="21" fillId="5" borderId="0" xfId="2" applyFont="1" applyFill="1" applyBorder="1" applyAlignment="1">
      <alignment horizontal="center"/>
    </xf>
    <xf numFmtId="0" fontId="0" fillId="5" borderId="33" xfId="2" applyFont="1" applyFill="1" applyBorder="1" applyAlignment="1">
      <alignment horizontal="left"/>
    </xf>
    <xf numFmtId="0" fontId="16" fillId="5" borderId="29" xfId="2" applyFill="1" applyBorder="1" applyAlignment="1">
      <alignment horizontal="left"/>
    </xf>
    <xf numFmtId="1" fontId="0" fillId="5" borderId="33" xfId="2" applyNumberFormat="1" applyFont="1" applyFill="1" applyBorder="1" applyAlignment="1">
      <alignment horizontal="left"/>
    </xf>
    <xf numFmtId="1" fontId="16" fillId="5" borderId="29" xfId="2" applyNumberFormat="1" applyFill="1" applyBorder="1" applyAlignment="1">
      <alignment horizontal="left"/>
    </xf>
    <xf numFmtId="0" fontId="18" fillId="5" borderId="29" xfId="2" applyFont="1" applyFill="1" applyBorder="1" applyAlignment="1">
      <alignment horizontal="center"/>
    </xf>
    <xf numFmtId="0" fontId="18" fillId="5" borderId="25" xfId="2" applyFont="1" applyFill="1" applyBorder="1" applyAlignment="1">
      <alignment horizontal="center"/>
    </xf>
    <xf numFmtId="0" fontId="18" fillId="5" borderId="33" xfId="2" applyFont="1" applyFill="1" applyBorder="1" applyAlignment="1">
      <alignment horizontal="center"/>
    </xf>
    <xf numFmtId="0" fontId="0" fillId="5" borderId="25" xfId="2" applyFont="1" applyFill="1" applyBorder="1" applyAlignment="1">
      <alignment horizontal="left" vertical="top" wrapText="1"/>
    </xf>
    <xf numFmtId="0" fontId="16" fillId="5" borderId="25" xfId="2" applyFill="1" applyBorder="1" applyAlignment="1">
      <alignment horizontal="left" vertical="top" wrapText="1"/>
    </xf>
    <xf numFmtId="0" fontId="18" fillId="5" borderId="25" xfId="2" applyFont="1" applyFill="1" applyBorder="1" applyAlignment="1">
      <alignment wrapText="1"/>
    </xf>
    <xf numFmtId="0" fontId="0" fillId="5" borderId="34" xfId="2" applyFont="1" applyFill="1" applyBorder="1" applyAlignment="1">
      <alignment horizontal="left" vertical="top" wrapText="1"/>
    </xf>
    <xf numFmtId="0" fontId="16" fillId="5" borderId="35" xfId="2" applyFont="1" applyFill="1" applyBorder="1" applyAlignment="1">
      <alignment horizontal="left" vertical="top" wrapText="1"/>
    </xf>
    <xf numFmtId="0" fontId="16" fillId="5" borderId="36" xfId="2" applyFont="1" applyFill="1" applyBorder="1" applyAlignment="1">
      <alignment horizontal="left" vertical="top" wrapText="1"/>
    </xf>
    <xf numFmtId="0" fontId="16" fillId="5" borderId="37" xfId="2" applyFont="1" applyFill="1" applyBorder="1" applyAlignment="1">
      <alignment horizontal="left" vertical="top" wrapText="1"/>
    </xf>
    <xf numFmtId="0" fontId="16" fillId="5" borderId="31" xfId="2" applyFont="1" applyFill="1" applyBorder="1" applyAlignment="1">
      <alignment horizontal="left" vertical="top" wrapText="1"/>
    </xf>
    <xf numFmtId="0" fontId="16" fillId="5" borderId="38" xfId="2" applyFont="1" applyFill="1" applyBorder="1" applyAlignment="1">
      <alignment horizontal="left" vertical="top" wrapText="1"/>
    </xf>
    <xf numFmtId="0" fontId="18" fillId="0" borderId="33" xfId="2" applyFont="1" applyBorder="1" applyAlignment="1">
      <alignment horizontal="center"/>
    </xf>
    <xf numFmtId="0" fontId="18" fillId="0" borderId="29" xfId="2" applyFont="1" applyBorder="1" applyAlignment="1">
      <alignment horizontal="center"/>
    </xf>
    <xf numFmtId="0" fontId="16" fillId="5" borderId="34" xfId="2" applyNumberFormat="1" applyFont="1" applyFill="1" applyBorder="1" applyAlignment="1">
      <alignment horizontal="center"/>
    </xf>
    <xf numFmtId="0" fontId="16" fillId="5" borderId="36" xfId="2" applyNumberFormat="1" applyFont="1" applyFill="1" applyBorder="1" applyAlignment="1">
      <alignment horizontal="center"/>
    </xf>
    <xf numFmtId="1" fontId="16" fillId="5" borderId="33" xfId="2" applyNumberFormat="1" applyFill="1" applyBorder="1" applyAlignment="1">
      <alignment horizontal="center"/>
    </xf>
    <xf numFmtId="0" fontId="16" fillId="5" borderId="33" xfId="2" applyNumberFormat="1" applyFill="1" applyBorder="1" applyAlignment="1">
      <alignment horizontal="center"/>
    </xf>
    <xf numFmtId="0" fontId="16" fillId="5" borderId="31" xfId="2" applyFill="1" applyBorder="1" applyAlignment="1">
      <alignment horizontal="center"/>
    </xf>
    <xf numFmtId="0" fontId="18" fillId="5" borderId="39" xfId="2" applyFont="1" applyFill="1" applyBorder="1" applyAlignment="1">
      <alignment horizontal="center"/>
    </xf>
    <xf numFmtId="15" fontId="16" fillId="5" borderId="34" xfId="2" applyNumberFormat="1" applyFont="1" applyFill="1" applyBorder="1" applyAlignment="1">
      <alignment horizontal="center"/>
    </xf>
    <xf numFmtId="15" fontId="16" fillId="5" borderId="36" xfId="2" applyNumberFormat="1" applyFont="1" applyFill="1" applyBorder="1" applyAlignment="1">
      <alignment horizontal="center"/>
    </xf>
    <xf numFmtId="1" fontId="16" fillId="5" borderId="34" xfId="2" applyNumberFormat="1" applyFont="1" applyFill="1" applyBorder="1" applyAlignment="1">
      <alignment horizontal="center"/>
    </xf>
    <xf numFmtId="1" fontId="16" fillId="5" borderId="33" xfId="2" applyNumberFormat="1" applyFont="1" applyFill="1" applyBorder="1" applyAlignment="1">
      <alignment horizontal="center"/>
    </xf>
    <xf numFmtId="0" fontId="16" fillId="5" borderId="29" xfId="2" applyNumberFormat="1" applyFont="1" applyFill="1" applyBorder="1" applyAlignment="1">
      <alignment horizontal="center"/>
    </xf>
    <xf numFmtId="0" fontId="22" fillId="5" borderId="39" xfId="2" applyFont="1" applyFill="1" applyBorder="1" applyAlignment="1">
      <alignment horizontal="center"/>
    </xf>
    <xf numFmtId="0" fontId="16" fillId="5" borderId="29" xfId="2" applyFont="1" applyFill="1" applyBorder="1" applyAlignment="1">
      <alignment horizontal="left"/>
    </xf>
    <xf numFmtId="15" fontId="0" fillId="5" borderId="25" xfId="2" applyNumberFormat="1" applyFont="1" applyFill="1" applyBorder="1" applyAlignment="1">
      <alignment horizontal="center"/>
    </xf>
    <xf numFmtId="0" fontId="16" fillId="5" borderId="25" xfId="2" applyNumberFormat="1" applyFont="1" applyFill="1" applyBorder="1" applyAlignment="1">
      <alignment horizontal="center"/>
    </xf>
    <xf numFmtId="0" fontId="16" fillId="5" borderId="33" xfId="2" applyFont="1" applyFill="1" applyBorder="1" applyAlignment="1">
      <alignment horizontal="center"/>
    </xf>
    <xf numFmtId="0" fontId="16" fillId="5" borderId="29" xfId="2" applyFont="1" applyFill="1" applyBorder="1" applyAlignment="1">
      <alignment horizontal="center"/>
    </xf>
    <xf numFmtId="0" fontId="16" fillId="5" borderId="25" xfId="2" applyFont="1" applyFill="1" applyBorder="1" applyAlignment="1">
      <alignment horizontal="left"/>
    </xf>
    <xf numFmtId="14" fontId="16" fillId="5" borderId="25" xfId="2" applyNumberFormat="1" applyFont="1" applyFill="1" applyBorder="1" applyAlignment="1">
      <alignment horizontal="center"/>
    </xf>
    <xf numFmtId="0" fontId="16" fillId="0" borderId="25" xfId="2" applyFont="1" applyBorder="1" applyAlignment="1">
      <alignment horizontal="left"/>
    </xf>
    <xf numFmtId="14" fontId="0" fillId="5" borderId="25" xfId="2" quotePrefix="1" applyNumberFormat="1" applyFont="1" applyFill="1" applyBorder="1" applyAlignment="1">
      <alignment horizontal="center"/>
    </xf>
    <xf numFmtId="0" fontId="16" fillId="5" borderId="25" xfId="2" applyFont="1" applyFill="1" applyBorder="1" applyAlignment="1">
      <alignment horizontal="left" vertical="top" wrapText="1"/>
    </xf>
    <xf numFmtId="14" fontId="0" fillId="5" borderId="25" xfId="2" applyNumberFormat="1" applyFont="1" applyFill="1" applyBorder="1" applyAlignment="1">
      <alignment horizontal="center" vertical="top" wrapText="1"/>
    </xf>
    <xf numFmtId="0" fontId="16" fillId="5" borderId="25" xfId="2" applyFont="1" applyFill="1" applyBorder="1" applyAlignment="1">
      <alignment horizontal="center" vertical="top" wrapText="1"/>
    </xf>
    <xf numFmtId="0" fontId="0" fillId="5" borderId="25" xfId="2" applyFont="1" applyFill="1" applyBorder="1" applyAlignment="1">
      <alignment horizontal="center" vertical="top" wrapText="1"/>
    </xf>
    <xf numFmtId="0" fontId="18" fillId="0" borderId="37" xfId="2" applyFont="1" applyBorder="1" applyAlignment="1">
      <alignment horizontal="center"/>
    </xf>
    <xf numFmtId="0" fontId="18" fillId="0" borderId="38" xfId="2" applyFont="1" applyBorder="1" applyAlignment="1">
      <alignment horizontal="center"/>
    </xf>
    <xf numFmtId="0" fontId="16" fillId="5" borderId="39" xfId="2" applyFill="1" applyBorder="1" applyAlignment="1">
      <alignment horizontal="center"/>
    </xf>
    <xf numFmtId="14" fontId="0" fillId="5" borderId="34" xfId="2" applyNumberFormat="1" applyFont="1" applyFill="1" applyBorder="1" applyAlignment="1">
      <alignment horizontal="center"/>
    </xf>
    <xf numFmtId="20" fontId="16" fillId="5" borderId="35" xfId="2" applyNumberFormat="1" applyFont="1" applyFill="1" applyBorder="1" applyAlignment="1">
      <alignment horizontal="center"/>
    </xf>
    <xf numFmtId="15" fontId="0" fillId="5" borderId="34" xfId="2" applyNumberFormat="1" applyFont="1" applyFill="1" applyBorder="1" applyAlignment="1">
      <alignment horizontal="center"/>
    </xf>
    <xf numFmtId="0" fontId="16" fillId="5" borderId="34" xfId="2" applyFill="1" applyBorder="1" applyAlignment="1">
      <alignment horizontal="left" vertical="top" wrapText="1"/>
    </xf>
    <xf numFmtId="0" fontId="16" fillId="5" borderId="35" xfId="2" applyFill="1" applyBorder="1" applyAlignment="1">
      <alignment horizontal="left" vertical="top" wrapText="1"/>
    </xf>
    <xf numFmtId="0" fontId="16" fillId="5" borderId="37" xfId="2" applyFill="1" applyBorder="1" applyAlignment="1">
      <alignment horizontal="left" vertical="top" wrapText="1"/>
    </xf>
    <xf numFmtId="0" fontId="16" fillId="5" borderId="31" xfId="2" applyFill="1" applyBorder="1" applyAlignment="1">
      <alignment horizontal="left" vertical="top" wrapText="1"/>
    </xf>
    <xf numFmtId="0" fontId="16" fillId="5" borderId="33" xfId="2" applyFill="1" applyBorder="1" applyAlignment="1">
      <alignment horizontal="center" vertical="top" wrapText="1"/>
    </xf>
    <xf numFmtId="0" fontId="16" fillId="5" borderId="39" xfId="2" applyFill="1" applyBorder="1" applyAlignment="1">
      <alignment horizontal="center" vertical="top" wrapText="1"/>
    </xf>
    <xf numFmtId="0" fontId="16" fillId="5" borderId="29" xfId="2" applyFill="1" applyBorder="1" applyAlignment="1">
      <alignment horizontal="center" vertical="top" wrapText="1"/>
    </xf>
    <xf numFmtId="0" fontId="16" fillId="5" borderId="25" xfId="2" applyFill="1" applyBorder="1" applyAlignment="1">
      <alignment horizontal="center"/>
    </xf>
    <xf numFmtId="0" fontId="16" fillId="5" borderId="34" xfId="2" applyFont="1" applyFill="1" applyBorder="1" applyAlignment="1">
      <alignment horizontal="left"/>
    </xf>
    <xf numFmtId="0" fontId="16" fillId="5" borderId="35" xfId="2" applyFont="1" applyFill="1" applyBorder="1" applyAlignment="1">
      <alignment horizontal="left"/>
    </xf>
    <xf numFmtId="14" fontId="16" fillId="5" borderId="34" xfId="2" applyNumberFormat="1" applyFont="1" applyFill="1" applyBorder="1" applyAlignment="1">
      <alignment horizontal="left"/>
    </xf>
    <xf numFmtId="0" fontId="16" fillId="5" borderId="36" xfId="2" applyFont="1" applyFill="1" applyBorder="1" applyAlignment="1">
      <alignment horizontal="left"/>
    </xf>
    <xf numFmtId="0" fontId="16" fillId="5" borderId="37" xfId="2" applyFont="1" applyFill="1" applyBorder="1" applyAlignment="1">
      <alignment horizontal="center"/>
    </xf>
    <xf numFmtId="0" fontId="16" fillId="5" borderId="31" xfId="2" applyFont="1" applyFill="1" applyBorder="1" applyAlignment="1">
      <alignment horizontal="center"/>
    </xf>
    <xf numFmtId="0" fontId="16" fillId="5" borderId="38" xfId="2" applyFont="1" applyFill="1" applyBorder="1" applyAlignment="1">
      <alignment horizontal="center"/>
    </xf>
    <xf numFmtId="0" fontId="18" fillId="0" borderId="37" xfId="2" applyFont="1" applyBorder="1" applyAlignment="1">
      <alignment horizontal="left"/>
    </xf>
    <xf numFmtId="0" fontId="18" fillId="0" borderId="31" xfId="2" applyFont="1" applyBorder="1" applyAlignment="1">
      <alignment horizontal="left"/>
    </xf>
    <xf numFmtId="0" fontId="18" fillId="0" borderId="38" xfId="2" applyFont="1" applyBorder="1" applyAlignment="1">
      <alignment horizontal="left"/>
    </xf>
    <xf numFmtId="20" fontId="24" fillId="5" borderId="37" xfId="2" applyNumberFormat="1" applyFont="1" applyFill="1" applyBorder="1" applyAlignment="1">
      <alignment horizontal="center"/>
    </xf>
    <xf numFmtId="20" fontId="24" fillId="5" borderId="31" xfId="2" applyNumberFormat="1" applyFont="1" applyFill="1" applyBorder="1" applyAlignment="1">
      <alignment horizontal="center"/>
    </xf>
    <xf numFmtId="20" fontId="24" fillId="5" borderId="38" xfId="2" applyNumberFormat="1" applyFont="1" applyFill="1" applyBorder="1" applyAlignment="1">
      <alignment horizontal="center"/>
    </xf>
    <xf numFmtId="0" fontId="0" fillId="5" borderId="34" xfId="2" applyFont="1" applyFill="1" applyBorder="1" applyAlignment="1">
      <alignment horizontal="justify" vertical="top" wrapText="1"/>
    </xf>
    <xf numFmtId="0" fontId="16" fillId="5" borderId="35" xfId="2" applyFill="1" applyBorder="1" applyAlignment="1">
      <alignment horizontal="justify" vertical="top" wrapText="1"/>
    </xf>
    <xf numFmtId="0" fontId="16" fillId="5" borderId="36" xfId="2" applyFill="1" applyBorder="1" applyAlignment="1">
      <alignment horizontal="justify" vertical="top" wrapText="1"/>
    </xf>
    <xf numFmtId="0" fontId="16" fillId="5" borderId="41" xfId="2" applyFill="1" applyBorder="1" applyAlignment="1">
      <alignment horizontal="justify" vertical="top" wrapText="1"/>
    </xf>
    <xf numFmtId="0" fontId="16" fillId="5" borderId="0" xfId="2" applyFill="1" applyBorder="1" applyAlignment="1">
      <alignment horizontal="justify" vertical="top" wrapText="1"/>
    </xf>
    <xf numFmtId="0" fontId="16" fillId="5" borderId="42" xfId="2" applyFill="1" applyBorder="1" applyAlignment="1">
      <alignment horizontal="justify" vertical="top" wrapText="1"/>
    </xf>
    <xf numFmtId="0" fontId="18" fillId="5" borderId="25" xfId="2" applyFont="1" applyFill="1" applyBorder="1" applyAlignment="1">
      <alignment horizontal="center" vertical="top" wrapText="1"/>
    </xf>
    <xf numFmtId="0" fontId="18" fillId="5" borderId="31" xfId="2" applyFont="1" applyFill="1" applyBorder="1" applyAlignment="1">
      <alignment horizontal="left" wrapText="1"/>
    </xf>
    <xf numFmtId="0" fontId="16" fillId="5" borderId="35" xfId="0" applyFont="1" applyFill="1" applyBorder="1" applyAlignment="1">
      <alignment horizontal="left" wrapText="1"/>
    </xf>
    <xf numFmtId="0" fontId="16" fillId="5" borderId="0" xfId="0" applyFont="1" applyFill="1" applyBorder="1" applyAlignment="1">
      <alignment horizontal="left" wrapText="1"/>
    </xf>
    <xf numFmtId="0" fontId="0" fillId="5" borderId="39" xfId="0" applyFont="1" applyFill="1" applyBorder="1" applyAlignment="1">
      <alignment horizontal="left" vertical="center" wrapText="1"/>
    </xf>
    <xf numFmtId="0" fontId="16" fillId="5" borderId="39" xfId="0" applyFont="1" applyFill="1" applyBorder="1" applyAlignment="1">
      <alignment horizontal="left" vertical="center" wrapText="1"/>
    </xf>
    <xf numFmtId="0" fontId="16" fillId="5" borderId="29" xfId="0" applyFont="1" applyFill="1" applyBorder="1" applyAlignment="1">
      <alignment horizontal="left" vertical="center" wrapText="1"/>
    </xf>
    <xf numFmtId="2" fontId="16" fillId="5" borderId="33" xfId="2" applyNumberFormat="1" applyFill="1" applyBorder="1" applyAlignment="1">
      <alignment horizontal="left"/>
    </xf>
    <xf numFmtId="2" fontId="16" fillId="5" borderId="29" xfId="2" applyNumberFormat="1" applyFill="1" applyBorder="1" applyAlignment="1">
      <alignment horizontal="left"/>
    </xf>
    <xf numFmtId="0" fontId="16" fillId="5" borderId="33" xfId="2" applyFill="1" applyBorder="1" applyAlignment="1">
      <alignment horizontal="left" vertical="top" wrapText="1"/>
    </xf>
    <xf numFmtId="0" fontId="16" fillId="5" borderId="39" xfId="2" applyFill="1" applyBorder="1" applyAlignment="1">
      <alignment horizontal="left" vertical="top" wrapText="1"/>
    </xf>
    <xf numFmtId="0" fontId="16" fillId="5" borderId="29" xfId="2" applyFill="1" applyBorder="1" applyAlignment="1">
      <alignment horizontal="left" vertical="top" wrapText="1"/>
    </xf>
    <xf numFmtId="0" fontId="25" fillId="0" borderId="25" xfId="2" applyFont="1" applyBorder="1" applyAlignment="1">
      <alignment horizontal="center"/>
    </xf>
    <xf numFmtId="0" fontId="0" fillId="5" borderId="33" xfId="0" applyFont="1" applyFill="1" applyBorder="1" applyAlignment="1">
      <alignment horizontal="left" vertical="center" wrapText="1"/>
    </xf>
    <xf numFmtId="0" fontId="18" fillId="5" borderId="31" xfId="2" applyFont="1" applyFill="1" applyBorder="1" applyAlignment="1">
      <alignment horizontal="center" wrapText="1"/>
    </xf>
    <xf numFmtId="0" fontId="16" fillId="0" borderId="31" xfId="2" applyBorder="1" applyAlignment="1">
      <alignment horizontal="left"/>
    </xf>
    <xf numFmtId="0" fontId="16" fillId="0" borderId="39" xfId="2" applyBorder="1" applyAlignment="1">
      <alignment horizontal="left"/>
    </xf>
    <xf numFmtId="0" fontId="20" fillId="5" borderId="0" xfId="2" applyFont="1" applyFill="1" applyBorder="1" applyAlignment="1">
      <alignment horizontal="left"/>
    </xf>
    <xf numFmtId="0" fontId="16" fillId="5" borderId="33" xfId="2" applyFill="1" applyBorder="1" applyAlignment="1">
      <alignment horizontal="left"/>
    </xf>
    <xf numFmtId="0" fontId="11" fillId="2" borderId="0" xfId="0" applyFont="1" applyFill="1" applyBorder="1" applyAlignment="1" applyProtection="1">
      <alignment horizontal="left" vertical="center" wrapText="1"/>
      <protection locked="0"/>
    </xf>
    <xf numFmtId="0" fontId="10" fillId="4" borderId="0" xfId="0" applyFont="1" applyFill="1" applyBorder="1" applyProtection="1">
      <protection locked="0"/>
    </xf>
    <xf numFmtId="0" fontId="12" fillId="2" borderId="44" xfId="0" applyFont="1" applyFill="1" applyBorder="1" applyProtection="1"/>
    <xf numFmtId="167" fontId="12" fillId="2" borderId="45" xfId="0" applyNumberFormat="1" applyFont="1" applyFill="1" applyBorder="1" applyAlignment="1" applyProtection="1">
      <alignment horizontal="right"/>
    </xf>
    <xf numFmtId="0" fontId="12" fillId="4" borderId="46" xfId="0" applyFont="1" applyFill="1" applyBorder="1" applyProtection="1"/>
    <xf numFmtId="0" fontId="10" fillId="4" borderId="47" xfId="0" applyFont="1" applyFill="1" applyBorder="1" applyProtection="1">
      <protection locked="0"/>
    </xf>
    <xf numFmtId="0" fontId="10" fillId="4" borderId="48" xfId="0" applyFont="1" applyFill="1" applyBorder="1" applyProtection="1">
      <protection locked="0"/>
    </xf>
    <xf numFmtId="167" fontId="10" fillId="4" borderId="49" xfId="0" applyNumberFormat="1" applyFont="1" applyFill="1" applyBorder="1" applyAlignment="1" applyProtection="1">
      <alignment horizontal="right"/>
    </xf>
    <xf numFmtId="0" fontId="12" fillId="4" borderId="50" xfId="0" applyFont="1" applyFill="1" applyBorder="1" applyProtection="1"/>
    <xf numFmtId="167" fontId="10" fillId="4" borderId="51" xfId="0" applyNumberFormat="1" applyFont="1" applyFill="1" applyBorder="1" applyAlignment="1" applyProtection="1">
      <alignment horizontal="right"/>
    </xf>
    <xf numFmtId="0" fontId="10" fillId="4" borderId="53" xfId="0" applyFont="1" applyFill="1" applyBorder="1" applyProtection="1">
      <protection locked="0"/>
    </xf>
    <xf numFmtId="0" fontId="10" fillId="4" borderId="54" xfId="0" applyFont="1" applyFill="1" applyBorder="1" applyProtection="1">
      <protection locked="0"/>
    </xf>
    <xf numFmtId="167" fontId="10" fillId="4" borderId="55" xfId="0" applyNumberFormat="1" applyFont="1" applyFill="1" applyBorder="1" applyAlignment="1" applyProtection="1">
      <alignment horizontal="right"/>
    </xf>
    <xf numFmtId="0" fontId="11" fillId="4" borderId="52" xfId="0" applyFont="1" applyFill="1" applyBorder="1" applyProtection="1"/>
  </cellXfs>
  <cellStyles count="4">
    <cellStyle name="Comma" xfId="1" builtinId="3"/>
    <cellStyle name="Comma 3" xf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36</xdr:row>
      <xdr:rowOff>0</xdr:rowOff>
    </xdr:from>
    <xdr:to>
      <xdr:col>7</xdr:col>
      <xdr:colOff>19050</xdr:colOff>
      <xdr:row>36</xdr:row>
      <xdr:rowOff>152400</xdr:rowOff>
    </xdr:to>
    <xdr:sp macro="" textlink="">
      <xdr:nvSpPr>
        <xdr:cNvPr id="2" name="TextBox 1"/>
        <xdr:cNvSpPr txBox="1"/>
      </xdr:nvSpPr>
      <xdr:spPr>
        <a:xfrm>
          <a:off x="19050" y="6134100"/>
          <a:ext cx="6940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45</xdr:row>
      <xdr:rowOff>0</xdr:rowOff>
    </xdr:from>
    <xdr:to>
      <xdr:col>7</xdr:col>
      <xdr:colOff>0</xdr:colOff>
      <xdr:row>50</xdr:row>
      <xdr:rowOff>142875</xdr:rowOff>
    </xdr:to>
    <xdr:sp macro="" textlink="">
      <xdr:nvSpPr>
        <xdr:cNvPr id="3" name="TextBox 2"/>
        <xdr:cNvSpPr txBox="1"/>
      </xdr:nvSpPr>
      <xdr:spPr>
        <a:xfrm>
          <a:off x="0" y="7473950"/>
          <a:ext cx="6940550" cy="936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 rtl="1"/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As per the instructions received from your good office,I visited at repairers place,there the vehicle was minutely inspected by me.</a:t>
          </a:r>
        </a:p>
        <a:p>
          <a:pPr algn="l" rtl="1"/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The damages to it were ascertained by me and fresh one and relevent to the cause &amp; nature of accident mentioned in the claim form.</a:t>
          </a:r>
          <a:endParaRPr lang="en-US"/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tabSelected="1" topLeftCell="A29" zoomScale="85" zoomScaleNormal="85" workbookViewId="0">
      <pane xSplit="2" topLeftCell="H1" activePane="topRight" state="frozen"/>
      <selection pane="topRight" activeCell="P64" sqref="P64"/>
    </sheetView>
  </sheetViews>
  <sheetFormatPr defaultColWidth="9.81640625" defaultRowHeight="11.5" x14ac:dyDescent="0.25"/>
  <cols>
    <col min="1" max="1" width="6" style="1" customWidth="1"/>
    <col min="2" max="2" width="29.26953125" style="1" customWidth="1"/>
    <col min="3" max="3" width="5.54296875" style="1" customWidth="1"/>
    <col min="4" max="4" width="4.453125" style="1" customWidth="1"/>
    <col min="5" max="5" width="4.54296875" style="1" customWidth="1"/>
    <col min="6" max="6" width="12.7265625" style="2" customWidth="1"/>
    <col min="7" max="9" width="14.7265625" style="1" customWidth="1"/>
    <col min="10" max="10" width="11.81640625" style="3" customWidth="1"/>
    <col min="11" max="11" width="14.1796875" style="1" customWidth="1"/>
    <col min="12" max="12" width="11.7265625" style="1" bestFit="1" customWidth="1"/>
    <col min="13" max="13" width="12.453125" style="1" customWidth="1"/>
    <col min="14" max="14" width="7.81640625" style="1" customWidth="1"/>
    <col min="15" max="15" width="0" style="1" hidden="1" customWidth="1"/>
    <col min="16" max="16" width="10.7265625" style="4" bestFit="1" customWidth="1"/>
    <col min="17" max="17" width="0" style="1" hidden="1" customWidth="1"/>
    <col min="18" max="18" width="10.1796875" style="1" customWidth="1"/>
    <col min="19" max="19" width="0" style="1" hidden="1" customWidth="1"/>
    <col min="20" max="20" width="13.453125" style="1" bestFit="1" customWidth="1"/>
    <col min="21" max="21" width="16.81640625" style="5" customWidth="1"/>
    <col min="22" max="16384" width="9.81640625" style="1"/>
  </cols>
  <sheetData>
    <row r="1" spans="1:21" x14ac:dyDescent="0.25">
      <c r="C1" s="1">
        <v>6</v>
      </c>
    </row>
    <row r="3" spans="1:21" ht="12" thickBot="1" x14ac:dyDescent="0.3"/>
    <row r="4" spans="1:21" ht="22.5" customHeight="1" thickBot="1" x14ac:dyDescent="0.3">
      <c r="A4" s="83"/>
      <c r="B4" s="84"/>
      <c r="C4" s="84"/>
      <c r="D4" s="84"/>
      <c r="E4" s="84"/>
      <c r="F4" s="84" t="s">
        <v>51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5"/>
    </row>
    <row r="5" spans="1:21" ht="17.25" customHeight="1" x14ac:dyDescent="0.3">
      <c r="A5" s="211"/>
      <c r="B5" s="211"/>
      <c r="C5" s="212" t="s">
        <v>0</v>
      </c>
      <c r="D5" s="212"/>
      <c r="E5" s="213"/>
      <c r="F5" s="214"/>
      <c r="G5" s="214"/>
      <c r="H5" s="214"/>
      <c r="I5" s="214"/>
      <c r="J5" s="214"/>
      <c r="K5" s="6" t="s">
        <v>1</v>
      </c>
      <c r="L5" s="213"/>
      <c r="M5" s="213"/>
      <c r="N5" s="213"/>
      <c r="O5" s="213"/>
      <c r="P5" s="7"/>
      <c r="Q5" s="8" t="s">
        <v>2</v>
      </c>
      <c r="R5" s="8"/>
      <c r="S5" s="8"/>
      <c r="T5" s="8"/>
      <c r="U5" s="9"/>
    </row>
    <row r="6" spans="1:21" ht="17.25" customHeight="1" x14ac:dyDescent="0.3">
      <c r="A6" s="215"/>
      <c r="B6" s="215"/>
      <c r="C6" s="215"/>
      <c r="D6" s="215"/>
      <c r="E6" s="215"/>
      <c r="F6" s="10" t="s">
        <v>3</v>
      </c>
      <c r="G6" s="11">
        <v>0</v>
      </c>
      <c r="H6" s="11"/>
      <c r="I6" s="11"/>
      <c r="J6" s="216" t="s">
        <v>52</v>
      </c>
      <c r="K6" s="216"/>
      <c r="L6" s="216"/>
      <c r="M6" s="216"/>
      <c r="N6" s="216"/>
      <c r="O6" s="8"/>
      <c r="P6" s="7"/>
      <c r="Q6" s="8"/>
      <c r="R6" s="12"/>
      <c r="S6" s="8"/>
      <c r="T6" s="8"/>
      <c r="U6" s="13"/>
    </row>
    <row r="7" spans="1:21" ht="17.25" customHeight="1" x14ac:dyDescent="0.3">
      <c r="A7" s="210"/>
      <c r="B7" s="210"/>
      <c r="C7" s="210"/>
      <c r="D7" s="210"/>
      <c r="E7" s="210"/>
      <c r="F7" s="210"/>
      <c r="G7" s="210"/>
      <c r="H7" s="87"/>
      <c r="I7" s="87"/>
      <c r="J7" s="14"/>
      <c r="K7" s="15"/>
      <c r="L7" s="15"/>
      <c r="M7" s="15"/>
      <c r="N7" s="15"/>
      <c r="O7" s="15"/>
      <c r="P7" s="16"/>
      <c r="Q7" s="15"/>
      <c r="R7" s="15"/>
      <c r="S7" s="15"/>
      <c r="T7" s="15"/>
      <c r="U7" s="17"/>
    </row>
    <row r="8" spans="1:21" ht="46.5" customHeight="1" thickBot="1" x14ac:dyDescent="0.3">
      <c r="A8" s="18" t="s">
        <v>48</v>
      </c>
      <c r="B8" s="19">
        <v>0.28000000000000003</v>
      </c>
      <c r="C8" s="20" t="s">
        <v>4</v>
      </c>
      <c r="D8" s="21"/>
      <c r="E8" s="217">
        <v>2017</v>
      </c>
      <c r="F8" s="217"/>
      <c r="G8" s="22">
        <v>6</v>
      </c>
      <c r="H8" s="88">
        <v>6</v>
      </c>
      <c r="I8" s="88">
        <v>6</v>
      </c>
      <c r="J8" s="23" t="s">
        <v>5</v>
      </c>
      <c r="K8" s="218" t="s">
        <v>55</v>
      </c>
      <c r="L8" s="218"/>
      <c r="M8" s="218"/>
      <c r="N8" s="218"/>
      <c r="O8" s="218"/>
      <c r="P8" s="218"/>
      <c r="Q8" s="218"/>
      <c r="R8" s="218"/>
      <c r="S8" s="218"/>
      <c r="T8" s="218"/>
      <c r="U8" s="218"/>
    </row>
    <row r="9" spans="1:21" ht="25" thickBot="1" x14ac:dyDescent="0.3">
      <c r="A9" s="18" t="s">
        <v>48</v>
      </c>
      <c r="B9" s="19">
        <v>0.18</v>
      </c>
      <c r="C9" s="207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9"/>
    </row>
    <row r="10" spans="1:21" s="24" customFormat="1" ht="12" customHeight="1" x14ac:dyDescent="0.25">
      <c r="A10" s="219" t="s">
        <v>6</v>
      </c>
      <c r="B10" s="205" t="s">
        <v>7</v>
      </c>
      <c r="C10" s="205" t="s">
        <v>8</v>
      </c>
      <c r="D10" s="205" t="s">
        <v>9</v>
      </c>
      <c r="E10" s="205" t="s">
        <v>10</v>
      </c>
      <c r="F10" s="203" t="s">
        <v>11</v>
      </c>
      <c r="G10" s="205" t="s">
        <v>12</v>
      </c>
      <c r="H10" s="205" t="s">
        <v>50</v>
      </c>
      <c r="I10" s="86"/>
      <c r="J10" s="205" t="s">
        <v>13</v>
      </c>
      <c r="K10" s="205" t="s">
        <v>14</v>
      </c>
      <c r="L10" s="205" t="s">
        <v>15</v>
      </c>
      <c r="M10" s="205" t="s">
        <v>16</v>
      </c>
      <c r="N10" s="205" t="s">
        <v>17</v>
      </c>
      <c r="O10" s="224" t="s">
        <v>18</v>
      </c>
      <c r="P10" s="224"/>
      <c r="Q10" s="224"/>
      <c r="R10" s="224"/>
      <c r="S10" s="224"/>
      <c r="T10" s="224"/>
      <c r="U10" s="221" t="s">
        <v>19</v>
      </c>
    </row>
    <row r="11" spans="1:21" s="24" customFormat="1" ht="12.75" customHeight="1" x14ac:dyDescent="0.25">
      <c r="A11" s="219"/>
      <c r="B11" s="205"/>
      <c r="C11" s="205"/>
      <c r="D11" s="205"/>
      <c r="E11" s="205"/>
      <c r="F11" s="203"/>
      <c r="G11" s="205"/>
      <c r="H11" s="205"/>
      <c r="I11" s="86"/>
      <c r="J11" s="205"/>
      <c r="K11" s="205"/>
      <c r="L11" s="205"/>
      <c r="M11" s="205"/>
      <c r="N11" s="205"/>
      <c r="O11" s="222" t="s">
        <v>20</v>
      </c>
      <c r="P11" s="222"/>
      <c r="Q11" s="223" t="s">
        <v>21</v>
      </c>
      <c r="R11" s="223"/>
      <c r="S11" s="223" t="s">
        <v>22</v>
      </c>
      <c r="T11" s="223"/>
      <c r="U11" s="221"/>
    </row>
    <row r="12" spans="1:21" s="24" customFormat="1" ht="15" customHeight="1" x14ac:dyDescent="0.25">
      <c r="A12" s="219"/>
      <c r="B12" s="220"/>
      <c r="C12" s="205"/>
      <c r="D12" s="205"/>
      <c r="E12" s="205"/>
      <c r="F12" s="204"/>
      <c r="G12" s="205"/>
      <c r="H12" s="205"/>
      <c r="I12" s="86"/>
      <c r="J12" s="205"/>
      <c r="K12" s="205"/>
      <c r="L12" s="205"/>
      <c r="M12" s="205"/>
      <c r="N12" s="205"/>
      <c r="O12" s="25" t="s">
        <v>23</v>
      </c>
      <c r="P12" s="25" t="s">
        <v>24</v>
      </c>
      <c r="Q12" s="25" t="s">
        <v>23</v>
      </c>
      <c r="R12" s="25" t="s">
        <v>24</v>
      </c>
      <c r="S12" s="25" t="s">
        <v>23</v>
      </c>
      <c r="T12" s="25" t="s">
        <v>24</v>
      </c>
      <c r="U12" s="221"/>
    </row>
    <row r="13" spans="1:21" s="24" customFormat="1" ht="15" customHeight="1" x14ac:dyDescent="0.3">
      <c r="A13" s="90">
        <v>1</v>
      </c>
      <c r="B13" s="92"/>
      <c r="C13" s="91" t="s">
        <v>54</v>
      </c>
      <c r="D13" s="25" t="s">
        <v>49</v>
      </c>
      <c r="E13" s="93">
        <v>1</v>
      </c>
      <c r="F13" s="96">
        <v>0</v>
      </c>
      <c r="G13" s="94">
        <f t="shared" ref="G13:G15" si="0">F13*E13</f>
        <v>0</v>
      </c>
      <c r="H13" s="27">
        <v>28</v>
      </c>
      <c r="I13" s="27">
        <f>G13*H13%</f>
        <v>0</v>
      </c>
      <c r="J13" s="27">
        <f>SUM(G13,I13)</f>
        <v>0</v>
      </c>
      <c r="K13" s="27" t="str">
        <f>PROPER(J13)</f>
        <v>0</v>
      </c>
      <c r="L13" s="27">
        <f>IF(C13="G",0,IF(C13="P",0.5*K13,IF(OR($G$8=0,$G$8=1,$G$8=2,$G$8=3),$G$8*5/100*K13,IF(OR($G$8=5,$G$8=6),($G$8*5+10)/100*K13,IF($G$8=4,0.25*K13,0.5*K13)))))</f>
        <v>0</v>
      </c>
      <c r="M13" s="27">
        <f>K13-L13</f>
        <v>0</v>
      </c>
      <c r="N13" s="27">
        <f>IF(C13="G",0,IF(C13="P",0,IF(C13="M",G$6*K13,0)))</f>
        <v>0</v>
      </c>
      <c r="O13" s="28"/>
      <c r="P13" s="28"/>
      <c r="Q13" s="28"/>
      <c r="R13" s="28"/>
      <c r="S13" s="28"/>
      <c r="T13" s="28">
        <v>0</v>
      </c>
      <c r="U13" s="29">
        <f>SUM(P13:T13)</f>
        <v>0</v>
      </c>
    </row>
    <row r="14" spans="1:21" s="24" customFormat="1" ht="15" customHeight="1" x14ac:dyDescent="0.3">
      <c r="A14" s="90">
        <v>2</v>
      </c>
      <c r="B14" s="92"/>
      <c r="C14" s="91" t="s">
        <v>53</v>
      </c>
      <c r="D14" s="25" t="s">
        <v>49</v>
      </c>
      <c r="E14" s="93">
        <v>1</v>
      </c>
      <c r="F14" s="96">
        <v>0</v>
      </c>
      <c r="G14" s="94">
        <f t="shared" si="0"/>
        <v>0</v>
      </c>
      <c r="H14" s="27">
        <v>28</v>
      </c>
      <c r="I14" s="27">
        <f t="shared" ref="I14:I32" si="1">G14*H14%</f>
        <v>0</v>
      </c>
      <c r="J14" s="27">
        <f t="shared" ref="J14:J32" si="2">SUM(G14,I14)</f>
        <v>0</v>
      </c>
      <c r="K14" s="27" t="str">
        <f t="shared" ref="K14:K32" si="3">PROPER(J14)</f>
        <v>0</v>
      </c>
      <c r="L14" s="27">
        <f t="shared" ref="L14:L15" si="4">IF(C14="G",0,IF(C14="P",0.5*K14,IF(OR($G$8=0,$G$8=1,$G$8=2,$G$8=3),$G$8*5/100*K14,IF(OR($G$8=5,$G$8=6),($G$8*5+10)/100*K14,IF($G$8=4,0.25*K14,0.5*K14)))))</f>
        <v>0</v>
      </c>
      <c r="M14" s="27">
        <f t="shared" ref="M14:M32" si="5">K14-L14</f>
        <v>0</v>
      </c>
      <c r="N14" s="27">
        <f>IF(C14="G",0,IF(C14="P",0,IF(C14="M",G$6*K14,0)))</f>
        <v>0</v>
      </c>
      <c r="O14" s="28"/>
      <c r="P14" s="28">
        <v>0</v>
      </c>
      <c r="Q14" s="28"/>
      <c r="R14" s="28"/>
      <c r="S14" s="28"/>
      <c r="T14" s="28">
        <v>0</v>
      </c>
      <c r="U14" s="29">
        <f t="shared" ref="U14:U31" si="6">SUM(P14:T14)</f>
        <v>0</v>
      </c>
    </row>
    <row r="15" spans="1:21" s="24" customFormat="1" ht="15" customHeight="1" x14ac:dyDescent="0.3">
      <c r="A15" s="90">
        <v>3</v>
      </c>
      <c r="B15" s="92"/>
      <c r="C15" s="91" t="s">
        <v>53</v>
      </c>
      <c r="D15" s="25" t="s">
        <v>49</v>
      </c>
      <c r="E15" s="93">
        <v>1</v>
      </c>
      <c r="F15" s="96">
        <v>0</v>
      </c>
      <c r="G15" s="94">
        <f t="shared" si="0"/>
        <v>0</v>
      </c>
      <c r="H15" s="27">
        <v>28</v>
      </c>
      <c r="I15" s="27">
        <f t="shared" si="1"/>
        <v>0</v>
      </c>
      <c r="J15" s="27">
        <f t="shared" si="2"/>
        <v>0</v>
      </c>
      <c r="K15" s="27" t="str">
        <f t="shared" si="3"/>
        <v>0</v>
      </c>
      <c r="L15" s="27">
        <f t="shared" si="4"/>
        <v>0</v>
      </c>
      <c r="M15" s="27">
        <f t="shared" si="5"/>
        <v>0</v>
      </c>
      <c r="N15" s="27">
        <f t="shared" ref="N15" si="7">IF(C15="G",0,IF(C15="P",0,IF(C15="M",G$6*K15,0)))</f>
        <v>0</v>
      </c>
      <c r="O15" s="28"/>
      <c r="P15" s="28"/>
      <c r="Q15" s="28"/>
      <c r="R15" s="28"/>
      <c r="S15" s="28"/>
      <c r="T15" s="28">
        <v>0</v>
      </c>
      <c r="U15" s="29">
        <f t="shared" si="6"/>
        <v>0</v>
      </c>
    </row>
    <row r="16" spans="1:21" s="24" customFormat="1" ht="15" customHeight="1" x14ac:dyDescent="0.3">
      <c r="A16" s="90">
        <v>4</v>
      </c>
      <c r="B16" s="92"/>
      <c r="C16" s="91" t="s">
        <v>53</v>
      </c>
      <c r="D16" s="25" t="s">
        <v>49</v>
      </c>
      <c r="E16" s="93">
        <v>1</v>
      </c>
      <c r="F16" s="96">
        <v>0</v>
      </c>
      <c r="G16" s="94">
        <f t="shared" ref="G16:G52" si="8">F16*E16</f>
        <v>0</v>
      </c>
      <c r="H16" s="27">
        <v>28</v>
      </c>
      <c r="I16" s="27">
        <f t="shared" si="1"/>
        <v>0</v>
      </c>
      <c r="J16" s="27">
        <f t="shared" si="2"/>
        <v>0</v>
      </c>
      <c r="K16" s="27" t="str">
        <f t="shared" si="3"/>
        <v>0</v>
      </c>
      <c r="L16" s="27">
        <f t="shared" ref="L16:L52" si="9">IF(C16="G",0,IF(C16="P",0.5*K16,IF(OR($G$8=0,$G$8=1,$G$8=2,$G$8=3),$G$8*5/100*K16,IF(OR($G$8=5,$G$8=6),($G$8*5+10)/100*K16,IF($G$8=4,0.25*K16,0.5*K16)))))</f>
        <v>0</v>
      </c>
      <c r="M16" s="27">
        <f t="shared" si="5"/>
        <v>0</v>
      </c>
      <c r="N16" s="27">
        <f t="shared" ref="N16:N52" si="10">IF(C16="G",0,IF(C16="P",0,IF(C16="M",G$6*K16,0)))</f>
        <v>0</v>
      </c>
      <c r="O16" s="28"/>
      <c r="P16" s="28"/>
      <c r="Q16" s="28"/>
      <c r="R16" s="28"/>
      <c r="S16" s="28"/>
      <c r="T16" s="28">
        <v>0</v>
      </c>
      <c r="U16" s="29">
        <f t="shared" si="6"/>
        <v>0</v>
      </c>
    </row>
    <row r="17" spans="1:21" s="24" customFormat="1" ht="15" customHeight="1" x14ac:dyDescent="0.3">
      <c r="A17" s="90">
        <v>5</v>
      </c>
      <c r="B17" s="92"/>
      <c r="C17" s="91" t="s">
        <v>53</v>
      </c>
      <c r="D17" s="25" t="s">
        <v>49</v>
      </c>
      <c r="E17" s="93">
        <v>1</v>
      </c>
      <c r="F17" s="96">
        <v>0</v>
      </c>
      <c r="G17" s="94">
        <f t="shared" si="8"/>
        <v>0</v>
      </c>
      <c r="H17" s="27">
        <v>28</v>
      </c>
      <c r="I17" s="27">
        <f t="shared" si="1"/>
        <v>0</v>
      </c>
      <c r="J17" s="27">
        <f t="shared" si="2"/>
        <v>0</v>
      </c>
      <c r="K17" s="27" t="str">
        <f t="shared" si="3"/>
        <v>0</v>
      </c>
      <c r="L17" s="27">
        <f t="shared" si="9"/>
        <v>0</v>
      </c>
      <c r="M17" s="27">
        <f t="shared" si="5"/>
        <v>0</v>
      </c>
      <c r="N17" s="27">
        <f t="shared" si="10"/>
        <v>0</v>
      </c>
      <c r="O17" s="28"/>
      <c r="P17" s="28"/>
      <c r="Q17" s="28"/>
      <c r="R17" s="28"/>
      <c r="S17" s="28"/>
      <c r="T17" s="28">
        <v>0</v>
      </c>
      <c r="U17" s="29">
        <f t="shared" si="6"/>
        <v>0</v>
      </c>
    </row>
    <row r="18" spans="1:21" s="24" customFormat="1" ht="15" customHeight="1" x14ac:dyDescent="0.3">
      <c r="A18" s="90">
        <v>6</v>
      </c>
      <c r="B18" s="92"/>
      <c r="C18" s="91" t="s">
        <v>53</v>
      </c>
      <c r="D18" s="25" t="s">
        <v>49</v>
      </c>
      <c r="E18" s="93">
        <v>1</v>
      </c>
      <c r="F18" s="96">
        <v>0</v>
      </c>
      <c r="G18" s="94">
        <f t="shared" si="8"/>
        <v>0</v>
      </c>
      <c r="H18" s="27">
        <v>28</v>
      </c>
      <c r="I18" s="27">
        <f t="shared" si="1"/>
        <v>0</v>
      </c>
      <c r="J18" s="27">
        <f t="shared" si="2"/>
        <v>0</v>
      </c>
      <c r="K18" s="27" t="str">
        <f t="shared" si="3"/>
        <v>0</v>
      </c>
      <c r="L18" s="27">
        <f t="shared" si="9"/>
        <v>0</v>
      </c>
      <c r="M18" s="27">
        <f t="shared" si="5"/>
        <v>0</v>
      </c>
      <c r="N18" s="27">
        <f t="shared" si="10"/>
        <v>0</v>
      </c>
      <c r="O18" s="28"/>
      <c r="P18" s="28"/>
      <c r="Q18" s="28"/>
      <c r="R18" s="28"/>
      <c r="S18" s="28"/>
      <c r="T18" s="28">
        <v>0</v>
      </c>
      <c r="U18" s="29">
        <f t="shared" si="6"/>
        <v>0</v>
      </c>
    </row>
    <row r="19" spans="1:21" s="24" customFormat="1" ht="15" customHeight="1" x14ac:dyDescent="0.3">
      <c r="A19" s="90">
        <v>7</v>
      </c>
      <c r="B19" s="92"/>
      <c r="C19" s="91" t="s">
        <v>54</v>
      </c>
      <c r="D19" s="25" t="s">
        <v>49</v>
      </c>
      <c r="E19" s="93">
        <v>1</v>
      </c>
      <c r="F19" s="96">
        <v>0</v>
      </c>
      <c r="G19" s="94">
        <f t="shared" si="8"/>
        <v>0</v>
      </c>
      <c r="H19" s="27">
        <v>28</v>
      </c>
      <c r="I19" s="27">
        <f t="shared" si="1"/>
        <v>0</v>
      </c>
      <c r="J19" s="27">
        <f t="shared" si="2"/>
        <v>0</v>
      </c>
      <c r="K19" s="27" t="str">
        <f t="shared" si="3"/>
        <v>0</v>
      </c>
      <c r="L19" s="27">
        <f t="shared" si="9"/>
        <v>0</v>
      </c>
      <c r="M19" s="27">
        <f t="shared" si="5"/>
        <v>0</v>
      </c>
      <c r="N19" s="27">
        <f t="shared" si="10"/>
        <v>0</v>
      </c>
      <c r="O19" s="28"/>
      <c r="P19" s="28"/>
      <c r="Q19" s="28"/>
      <c r="R19" s="28"/>
      <c r="S19" s="28"/>
      <c r="T19" s="28">
        <v>0</v>
      </c>
      <c r="U19" s="29">
        <f t="shared" si="6"/>
        <v>0</v>
      </c>
    </row>
    <row r="20" spans="1:21" s="24" customFormat="1" ht="15" customHeight="1" x14ac:dyDescent="0.3">
      <c r="A20" s="90">
        <v>8</v>
      </c>
      <c r="B20" s="92"/>
      <c r="C20" s="91" t="s">
        <v>54</v>
      </c>
      <c r="D20" s="25" t="s">
        <v>49</v>
      </c>
      <c r="E20" s="93">
        <v>1</v>
      </c>
      <c r="F20" s="96">
        <v>0</v>
      </c>
      <c r="G20" s="94">
        <f t="shared" si="8"/>
        <v>0</v>
      </c>
      <c r="H20" s="27">
        <v>28</v>
      </c>
      <c r="I20" s="27">
        <f t="shared" si="1"/>
        <v>0</v>
      </c>
      <c r="J20" s="27">
        <f t="shared" si="2"/>
        <v>0</v>
      </c>
      <c r="K20" s="27" t="str">
        <f t="shared" si="3"/>
        <v>0</v>
      </c>
      <c r="L20" s="27">
        <f t="shared" si="9"/>
        <v>0</v>
      </c>
      <c r="M20" s="27">
        <f t="shared" si="5"/>
        <v>0</v>
      </c>
      <c r="N20" s="27">
        <f t="shared" si="10"/>
        <v>0</v>
      </c>
      <c r="O20" s="28"/>
      <c r="P20" s="28"/>
      <c r="Q20" s="28"/>
      <c r="R20" s="28"/>
      <c r="S20" s="28"/>
      <c r="T20" s="28">
        <v>0</v>
      </c>
      <c r="U20" s="29">
        <f t="shared" si="6"/>
        <v>0</v>
      </c>
    </row>
    <row r="21" spans="1:21" s="24" customFormat="1" ht="15" customHeight="1" x14ac:dyDescent="0.3">
      <c r="A21" s="90">
        <v>9</v>
      </c>
      <c r="B21" s="92"/>
      <c r="C21" s="91" t="s">
        <v>54</v>
      </c>
      <c r="D21" s="25" t="s">
        <v>49</v>
      </c>
      <c r="E21" s="93">
        <v>1</v>
      </c>
      <c r="F21" s="96">
        <v>0</v>
      </c>
      <c r="G21" s="94">
        <f t="shared" si="8"/>
        <v>0</v>
      </c>
      <c r="H21" s="27">
        <v>28</v>
      </c>
      <c r="I21" s="27">
        <f t="shared" si="1"/>
        <v>0</v>
      </c>
      <c r="J21" s="27">
        <f t="shared" si="2"/>
        <v>0</v>
      </c>
      <c r="K21" s="27" t="str">
        <f t="shared" si="3"/>
        <v>0</v>
      </c>
      <c r="L21" s="27">
        <f t="shared" si="9"/>
        <v>0</v>
      </c>
      <c r="M21" s="27">
        <f t="shared" si="5"/>
        <v>0</v>
      </c>
      <c r="N21" s="27">
        <f t="shared" si="10"/>
        <v>0</v>
      </c>
      <c r="O21" s="28"/>
      <c r="P21" s="28"/>
      <c r="Q21" s="28"/>
      <c r="R21" s="28"/>
      <c r="S21" s="28"/>
      <c r="T21" s="28">
        <v>0</v>
      </c>
      <c r="U21" s="29">
        <f t="shared" si="6"/>
        <v>0</v>
      </c>
    </row>
    <row r="22" spans="1:21" s="24" customFormat="1" ht="15" customHeight="1" x14ac:dyDescent="0.3">
      <c r="A22" s="90">
        <v>10</v>
      </c>
      <c r="B22" s="92"/>
      <c r="C22" s="91" t="s">
        <v>53</v>
      </c>
      <c r="D22" s="25" t="s">
        <v>49</v>
      </c>
      <c r="E22" s="93">
        <v>1</v>
      </c>
      <c r="F22" s="96">
        <v>0</v>
      </c>
      <c r="G22" s="94">
        <f t="shared" si="8"/>
        <v>0</v>
      </c>
      <c r="H22" s="27">
        <v>28</v>
      </c>
      <c r="I22" s="27">
        <f t="shared" si="1"/>
        <v>0</v>
      </c>
      <c r="J22" s="27">
        <f t="shared" si="2"/>
        <v>0</v>
      </c>
      <c r="K22" s="27" t="str">
        <f t="shared" si="3"/>
        <v>0</v>
      </c>
      <c r="L22" s="27">
        <f t="shared" si="9"/>
        <v>0</v>
      </c>
      <c r="M22" s="27">
        <f t="shared" si="5"/>
        <v>0</v>
      </c>
      <c r="N22" s="27">
        <f t="shared" si="10"/>
        <v>0</v>
      </c>
      <c r="O22" s="28"/>
      <c r="P22" s="28"/>
      <c r="Q22" s="28"/>
      <c r="R22" s="28"/>
      <c r="S22" s="28"/>
      <c r="T22" s="28">
        <v>0</v>
      </c>
      <c r="U22" s="29">
        <f t="shared" si="6"/>
        <v>0</v>
      </c>
    </row>
    <row r="23" spans="1:21" s="24" customFormat="1" ht="15" customHeight="1" x14ac:dyDescent="0.3">
      <c r="A23" s="90">
        <v>11</v>
      </c>
      <c r="B23" s="92"/>
      <c r="C23" s="91" t="s">
        <v>54</v>
      </c>
      <c r="D23" s="25" t="s">
        <v>49</v>
      </c>
      <c r="E23" s="93">
        <v>1</v>
      </c>
      <c r="F23" s="96">
        <v>0</v>
      </c>
      <c r="G23" s="94">
        <f t="shared" si="8"/>
        <v>0</v>
      </c>
      <c r="H23" s="27">
        <v>28</v>
      </c>
      <c r="I23" s="27">
        <f t="shared" si="1"/>
        <v>0</v>
      </c>
      <c r="J23" s="27">
        <f>SUM(G23,I23)</f>
        <v>0</v>
      </c>
      <c r="K23" s="27" t="str">
        <f t="shared" si="3"/>
        <v>0</v>
      </c>
      <c r="L23" s="27">
        <f t="shared" si="9"/>
        <v>0</v>
      </c>
      <c r="M23" s="27">
        <f t="shared" si="5"/>
        <v>0</v>
      </c>
      <c r="N23" s="27">
        <f t="shared" si="10"/>
        <v>0</v>
      </c>
      <c r="O23" s="28"/>
      <c r="P23" s="28"/>
      <c r="Q23" s="28"/>
      <c r="R23" s="28"/>
      <c r="S23" s="28"/>
      <c r="T23" s="28">
        <v>0</v>
      </c>
      <c r="U23" s="29">
        <f t="shared" si="6"/>
        <v>0</v>
      </c>
    </row>
    <row r="24" spans="1:21" s="24" customFormat="1" ht="15" customHeight="1" x14ac:dyDescent="0.3">
      <c r="A24" s="90">
        <v>12</v>
      </c>
      <c r="B24" s="92"/>
      <c r="C24" s="91" t="s">
        <v>54</v>
      </c>
      <c r="D24" s="25" t="s">
        <v>49</v>
      </c>
      <c r="E24" s="93">
        <v>1</v>
      </c>
      <c r="F24" s="96">
        <v>0</v>
      </c>
      <c r="G24" s="94">
        <f t="shared" ref="G24:G30" si="11">F24*E24</f>
        <v>0</v>
      </c>
      <c r="H24" s="27">
        <v>18</v>
      </c>
      <c r="I24" s="27">
        <f t="shared" ref="I24:I30" si="12">G24*H24%</f>
        <v>0</v>
      </c>
      <c r="J24" s="27">
        <f t="shared" ref="J24:J30" si="13">SUM(G24,I24)</f>
        <v>0</v>
      </c>
      <c r="K24" s="27" t="str">
        <f t="shared" ref="K24:K30" si="14">PROPER(J24)</f>
        <v>0</v>
      </c>
      <c r="L24" s="27">
        <f t="shared" ref="L24:L30" si="15">IF(C24="G",0,IF(C24="P",0.5*K24,IF(OR($G$8=0,$G$8=1,$G$8=2,$G$8=3),$G$8*5/100*K24,IF(OR($G$8=5,$G$8=6),($G$8*5+10)/100*K24,IF($G$8=4,0.25*K24,0.5*K24)))))</f>
        <v>0</v>
      </c>
      <c r="M24" s="27">
        <f t="shared" ref="M24:M30" si="16">K24-L24</f>
        <v>0</v>
      </c>
      <c r="N24" s="27">
        <f t="shared" ref="N24:N30" si="17">IF(C24="G",0,IF(C24="P",0,IF(C24="M",G$6*K24,0)))</f>
        <v>0</v>
      </c>
      <c r="O24" s="28"/>
      <c r="P24" s="28"/>
      <c r="Q24" s="28"/>
      <c r="R24" s="28"/>
      <c r="S24" s="28"/>
      <c r="T24" s="28">
        <v>0</v>
      </c>
      <c r="U24" s="29">
        <f t="shared" ref="U24:U30" si="18">SUM(P24:T24)</f>
        <v>0</v>
      </c>
    </row>
    <row r="25" spans="1:21" s="24" customFormat="1" ht="15" customHeight="1" x14ac:dyDescent="0.3">
      <c r="A25" s="90">
        <v>13</v>
      </c>
      <c r="B25" s="92"/>
      <c r="C25" s="91" t="s">
        <v>54</v>
      </c>
      <c r="D25" s="25" t="s">
        <v>49</v>
      </c>
      <c r="E25" s="93">
        <v>1</v>
      </c>
      <c r="F25" s="96">
        <v>0</v>
      </c>
      <c r="G25" s="94">
        <f t="shared" si="11"/>
        <v>0</v>
      </c>
      <c r="H25" s="27">
        <v>18</v>
      </c>
      <c r="I25" s="27">
        <f t="shared" si="12"/>
        <v>0</v>
      </c>
      <c r="J25" s="27">
        <f t="shared" si="13"/>
        <v>0</v>
      </c>
      <c r="K25" s="27" t="str">
        <f t="shared" si="14"/>
        <v>0</v>
      </c>
      <c r="L25" s="27">
        <f t="shared" si="15"/>
        <v>0</v>
      </c>
      <c r="M25" s="27">
        <f t="shared" si="16"/>
        <v>0</v>
      </c>
      <c r="N25" s="27">
        <f t="shared" si="17"/>
        <v>0</v>
      </c>
      <c r="O25" s="28"/>
      <c r="P25" s="28"/>
      <c r="Q25" s="28"/>
      <c r="R25" s="28"/>
      <c r="S25" s="28"/>
      <c r="T25" s="28">
        <v>0</v>
      </c>
      <c r="U25" s="29">
        <f t="shared" si="18"/>
        <v>0</v>
      </c>
    </row>
    <row r="26" spans="1:21" s="24" customFormat="1" ht="15" customHeight="1" x14ac:dyDescent="0.3">
      <c r="A26" s="90">
        <v>14</v>
      </c>
      <c r="B26" s="92"/>
      <c r="C26" s="91" t="s">
        <v>53</v>
      </c>
      <c r="D26" s="25" t="s">
        <v>49</v>
      </c>
      <c r="E26" s="93">
        <v>1</v>
      </c>
      <c r="F26" s="96">
        <v>0</v>
      </c>
      <c r="G26" s="94">
        <f t="shared" si="11"/>
        <v>0</v>
      </c>
      <c r="H26" s="27">
        <v>28</v>
      </c>
      <c r="I26" s="27">
        <f t="shared" si="12"/>
        <v>0</v>
      </c>
      <c r="J26" s="27">
        <f t="shared" si="13"/>
        <v>0</v>
      </c>
      <c r="K26" s="27" t="str">
        <f t="shared" si="14"/>
        <v>0</v>
      </c>
      <c r="L26" s="27">
        <f t="shared" si="15"/>
        <v>0</v>
      </c>
      <c r="M26" s="27">
        <f t="shared" si="16"/>
        <v>0</v>
      </c>
      <c r="N26" s="27">
        <f t="shared" si="17"/>
        <v>0</v>
      </c>
      <c r="O26" s="28"/>
      <c r="P26" s="28"/>
      <c r="Q26" s="28"/>
      <c r="R26" s="28"/>
      <c r="S26" s="28"/>
      <c r="T26" s="28">
        <v>0</v>
      </c>
      <c r="U26" s="29">
        <f t="shared" si="18"/>
        <v>0</v>
      </c>
    </row>
    <row r="27" spans="1:21" s="24" customFormat="1" ht="15" customHeight="1" x14ac:dyDescent="0.3">
      <c r="A27" s="90">
        <v>15</v>
      </c>
      <c r="B27" s="92"/>
      <c r="C27" s="91" t="s">
        <v>53</v>
      </c>
      <c r="D27" s="25" t="s">
        <v>49</v>
      </c>
      <c r="E27" s="93">
        <v>1</v>
      </c>
      <c r="F27" s="96">
        <v>2000</v>
      </c>
      <c r="G27" s="94">
        <f t="shared" si="11"/>
        <v>2000</v>
      </c>
      <c r="H27" s="27">
        <v>18</v>
      </c>
      <c r="I27" s="27">
        <v>0</v>
      </c>
      <c r="J27" s="27">
        <f t="shared" si="13"/>
        <v>2000</v>
      </c>
      <c r="K27" s="27" t="str">
        <f t="shared" si="14"/>
        <v>2000</v>
      </c>
      <c r="L27" s="27">
        <f t="shared" si="15"/>
        <v>800</v>
      </c>
      <c r="M27" s="27">
        <f t="shared" si="16"/>
        <v>1200</v>
      </c>
      <c r="N27" s="27">
        <f t="shared" si="17"/>
        <v>0</v>
      </c>
      <c r="O27" s="28"/>
      <c r="P27" s="28"/>
      <c r="Q27" s="28"/>
      <c r="R27" s="28"/>
      <c r="S27" s="28"/>
      <c r="T27" s="28">
        <v>0</v>
      </c>
      <c r="U27" s="29">
        <f t="shared" si="18"/>
        <v>0</v>
      </c>
    </row>
    <row r="28" spans="1:21" s="24" customFormat="1" ht="15" customHeight="1" x14ac:dyDescent="0.3">
      <c r="A28" s="90">
        <v>16</v>
      </c>
      <c r="B28" s="92"/>
      <c r="C28" s="91" t="s">
        <v>53</v>
      </c>
      <c r="D28" s="25" t="s">
        <v>49</v>
      </c>
      <c r="E28" s="93">
        <v>1</v>
      </c>
      <c r="F28" s="96">
        <v>0</v>
      </c>
      <c r="G28" s="94">
        <f t="shared" si="11"/>
        <v>0</v>
      </c>
      <c r="H28" s="27">
        <v>18</v>
      </c>
      <c r="I28" s="27">
        <f t="shared" si="12"/>
        <v>0</v>
      </c>
      <c r="J28" s="27">
        <f t="shared" si="13"/>
        <v>0</v>
      </c>
      <c r="K28" s="27" t="str">
        <f t="shared" si="14"/>
        <v>0</v>
      </c>
      <c r="L28" s="27">
        <f t="shared" si="15"/>
        <v>0</v>
      </c>
      <c r="M28" s="27">
        <f t="shared" si="16"/>
        <v>0</v>
      </c>
      <c r="N28" s="27">
        <f t="shared" si="17"/>
        <v>0</v>
      </c>
      <c r="O28" s="28"/>
      <c r="P28" s="28"/>
      <c r="Q28" s="28"/>
      <c r="R28" s="28"/>
      <c r="S28" s="28"/>
      <c r="T28" s="28">
        <v>0</v>
      </c>
      <c r="U28" s="29">
        <f t="shared" si="18"/>
        <v>0</v>
      </c>
    </row>
    <row r="29" spans="1:21" s="24" customFormat="1" ht="15" customHeight="1" x14ac:dyDescent="0.3">
      <c r="A29" s="90">
        <v>17</v>
      </c>
      <c r="B29" s="92"/>
      <c r="C29" s="91" t="s">
        <v>47</v>
      </c>
      <c r="D29" s="25" t="s">
        <v>49</v>
      </c>
      <c r="E29" s="93">
        <v>1</v>
      </c>
      <c r="F29" s="96">
        <v>0</v>
      </c>
      <c r="G29" s="94">
        <f t="shared" si="11"/>
        <v>0</v>
      </c>
      <c r="H29" s="27">
        <v>28</v>
      </c>
      <c r="I29" s="27">
        <f t="shared" si="12"/>
        <v>0</v>
      </c>
      <c r="J29" s="27">
        <f t="shared" si="13"/>
        <v>0</v>
      </c>
      <c r="K29" s="27" t="str">
        <f t="shared" si="14"/>
        <v>0</v>
      </c>
      <c r="L29" s="27">
        <f t="shared" si="15"/>
        <v>0</v>
      </c>
      <c r="M29" s="27">
        <f t="shared" si="16"/>
        <v>0</v>
      </c>
      <c r="N29" s="27">
        <f t="shared" si="17"/>
        <v>0</v>
      </c>
      <c r="O29" s="28"/>
      <c r="P29" s="28"/>
      <c r="Q29" s="28"/>
      <c r="R29" s="28"/>
      <c r="S29" s="28"/>
      <c r="T29" s="28">
        <v>0</v>
      </c>
      <c r="U29" s="29">
        <f t="shared" si="18"/>
        <v>0</v>
      </c>
    </row>
    <row r="30" spans="1:21" s="24" customFormat="1" ht="15" customHeight="1" x14ac:dyDescent="0.3">
      <c r="A30" s="90">
        <v>18</v>
      </c>
      <c r="B30" s="92"/>
      <c r="C30" s="91" t="s">
        <v>47</v>
      </c>
      <c r="D30" s="25" t="s">
        <v>49</v>
      </c>
      <c r="E30" s="93">
        <v>1</v>
      </c>
      <c r="F30" s="96">
        <v>0</v>
      </c>
      <c r="G30" s="94">
        <f t="shared" si="11"/>
        <v>0</v>
      </c>
      <c r="H30" s="27">
        <v>28</v>
      </c>
      <c r="I30" s="27">
        <f t="shared" si="12"/>
        <v>0</v>
      </c>
      <c r="J30" s="27">
        <f t="shared" si="13"/>
        <v>0</v>
      </c>
      <c r="K30" s="27" t="str">
        <f t="shared" si="14"/>
        <v>0</v>
      </c>
      <c r="L30" s="27">
        <f t="shared" si="15"/>
        <v>0</v>
      </c>
      <c r="M30" s="27">
        <f t="shared" si="16"/>
        <v>0</v>
      </c>
      <c r="N30" s="27">
        <f t="shared" si="17"/>
        <v>0</v>
      </c>
      <c r="O30" s="28"/>
      <c r="P30" s="28"/>
      <c r="Q30" s="28"/>
      <c r="R30" s="28"/>
      <c r="S30" s="28"/>
      <c r="T30" s="28">
        <v>0</v>
      </c>
      <c r="U30" s="29">
        <f t="shared" si="18"/>
        <v>0</v>
      </c>
    </row>
    <row r="31" spans="1:21" s="24" customFormat="1" ht="15" customHeight="1" x14ac:dyDescent="0.3">
      <c r="A31" s="90">
        <v>19</v>
      </c>
      <c r="B31" s="92"/>
      <c r="C31" s="91" t="s">
        <v>47</v>
      </c>
      <c r="D31" s="25" t="s">
        <v>49</v>
      </c>
      <c r="E31" s="93">
        <v>1</v>
      </c>
      <c r="F31" s="96"/>
      <c r="G31" s="94">
        <f t="shared" si="8"/>
        <v>0</v>
      </c>
      <c r="H31" s="27">
        <v>28</v>
      </c>
      <c r="I31" s="27">
        <f t="shared" si="1"/>
        <v>0</v>
      </c>
      <c r="J31" s="27">
        <f t="shared" si="2"/>
        <v>0</v>
      </c>
      <c r="K31" s="27" t="str">
        <f t="shared" si="3"/>
        <v>0</v>
      </c>
      <c r="L31" s="27">
        <f t="shared" si="9"/>
        <v>0</v>
      </c>
      <c r="M31" s="27">
        <f t="shared" si="5"/>
        <v>0</v>
      </c>
      <c r="N31" s="27">
        <f t="shared" si="10"/>
        <v>0</v>
      </c>
      <c r="O31" s="28"/>
      <c r="P31" s="28"/>
      <c r="Q31" s="28"/>
      <c r="R31" s="28"/>
      <c r="S31" s="28"/>
      <c r="T31" s="28">
        <v>0</v>
      </c>
      <c r="U31" s="29">
        <f t="shared" si="6"/>
        <v>0</v>
      </c>
    </row>
    <row r="32" spans="1:21" s="24" customFormat="1" ht="15" customHeight="1" x14ac:dyDescent="0.25">
      <c r="A32" s="90">
        <v>20</v>
      </c>
      <c r="B32" s="99"/>
      <c r="C32" s="91" t="s">
        <v>47</v>
      </c>
      <c r="D32" s="25" t="s">
        <v>49</v>
      </c>
      <c r="E32" s="93">
        <v>1</v>
      </c>
      <c r="F32" s="95"/>
      <c r="G32" s="27">
        <f t="shared" si="8"/>
        <v>0</v>
      </c>
      <c r="H32" s="27">
        <v>28</v>
      </c>
      <c r="I32" s="27">
        <f t="shared" si="1"/>
        <v>0</v>
      </c>
      <c r="J32" s="27">
        <f t="shared" si="2"/>
        <v>0</v>
      </c>
      <c r="K32" s="27" t="str">
        <f t="shared" si="3"/>
        <v>0</v>
      </c>
      <c r="L32" s="27">
        <f t="shared" si="9"/>
        <v>0</v>
      </c>
      <c r="M32" s="27">
        <f t="shared" si="5"/>
        <v>0</v>
      </c>
      <c r="N32" s="27">
        <f t="shared" si="10"/>
        <v>0</v>
      </c>
      <c r="O32" s="28"/>
      <c r="P32" s="28"/>
      <c r="Q32" s="28"/>
      <c r="R32" s="28"/>
      <c r="S32" s="28"/>
      <c r="T32" s="28"/>
      <c r="U32" s="29">
        <f t="shared" ref="U32" si="19">SUM(P32:T32)</f>
        <v>0</v>
      </c>
    </row>
    <row r="33" spans="1:21" s="30" customFormat="1" ht="15" hidden="1" customHeight="1" x14ac:dyDescent="0.25">
      <c r="A33" s="101">
        <v>73</v>
      </c>
      <c r="B33" s="100"/>
      <c r="C33" s="91" t="s">
        <v>47</v>
      </c>
      <c r="D33" s="25" t="s">
        <v>49</v>
      </c>
      <c r="E33" s="93">
        <v>1</v>
      </c>
      <c r="F33" s="26"/>
      <c r="G33" s="27">
        <f t="shared" ref="G33:G39" si="20">F33*E33</f>
        <v>0</v>
      </c>
      <c r="H33" s="27">
        <v>28</v>
      </c>
      <c r="I33" s="27">
        <f t="shared" ref="I33:I55" si="21">G33*H33%</f>
        <v>0</v>
      </c>
      <c r="J33" s="27">
        <f t="shared" ref="J33:J55" si="22">SUM(G33,I33)</f>
        <v>0</v>
      </c>
      <c r="K33" s="27" t="str">
        <f t="shared" ref="K33:K55" si="23">PROPER(J33)</f>
        <v>0</v>
      </c>
      <c r="L33" s="27">
        <f t="shared" ref="L33" si="24">IF(C33="G",0,IF(C33="P",0.5*K33,IF(OR($G$8=0,$G$8=1,$G$8=2,$G$8=3),$G$8*5/100*K33,IF(OR($G$8=5,$G$8=6),($G$8*5+10)/100*K33,IF($G$8=4,0.25*K33,0.5*K33)))))</f>
        <v>0</v>
      </c>
      <c r="M33" s="27">
        <f t="shared" ref="M33:M55" si="25">K33-L33</f>
        <v>0</v>
      </c>
      <c r="N33" s="27">
        <f t="shared" ref="N33:N39" si="26">IF(C33="G",0,IF(C33="P",0,IF(C33="M",G$6*K33,0)))</f>
        <v>0</v>
      </c>
      <c r="O33" s="28"/>
      <c r="P33" s="28"/>
      <c r="Q33" s="28"/>
      <c r="R33" s="28"/>
      <c r="S33" s="28"/>
      <c r="T33" s="28"/>
      <c r="U33" s="29">
        <f t="shared" ref="U33:U55" si="27">SUM(P33:T33)</f>
        <v>0</v>
      </c>
    </row>
    <row r="34" spans="1:21" s="30" customFormat="1" ht="15" hidden="1" customHeight="1" x14ac:dyDescent="0.25">
      <c r="A34" s="101">
        <v>74</v>
      </c>
      <c r="B34" s="100"/>
      <c r="C34" s="91" t="s">
        <v>47</v>
      </c>
      <c r="D34" s="25" t="s">
        <v>49</v>
      </c>
      <c r="E34" s="93">
        <v>1</v>
      </c>
      <c r="F34" s="26"/>
      <c r="G34" s="27">
        <f t="shared" si="20"/>
        <v>0</v>
      </c>
      <c r="H34" s="27">
        <v>28</v>
      </c>
      <c r="I34" s="27">
        <f t="shared" si="21"/>
        <v>0</v>
      </c>
      <c r="J34" s="27">
        <f t="shared" si="22"/>
        <v>0</v>
      </c>
      <c r="K34" s="27" t="str">
        <f t="shared" si="23"/>
        <v>0</v>
      </c>
      <c r="L34" s="27">
        <f>IF(C34="G",0,IF(C34="P",0.5*K34,IF(OR($G$8=0,$G$8=1,$G$8=2,$G$8=3),$G$8*5/100*K34,IF(OR($G$8=5,$G$8=6),($G$8*5+10)/100*K34,IF($G$8=4,0.25*K34,0.5*K34)))))</f>
        <v>0</v>
      </c>
      <c r="M34" s="27">
        <f t="shared" si="25"/>
        <v>0</v>
      </c>
      <c r="N34" s="27">
        <f t="shared" si="26"/>
        <v>0</v>
      </c>
      <c r="O34" s="28"/>
      <c r="P34" s="28"/>
      <c r="Q34" s="28"/>
      <c r="R34" s="28"/>
      <c r="S34" s="28"/>
      <c r="T34" s="28"/>
      <c r="U34" s="29">
        <f t="shared" si="27"/>
        <v>0</v>
      </c>
    </row>
    <row r="35" spans="1:21" s="30" customFormat="1" ht="15" hidden="1" customHeight="1" x14ac:dyDescent="0.25">
      <c r="A35" s="101">
        <v>75</v>
      </c>
      <c r="B35" s="100"/>
      <c r="C35" s="91" t="s">
        <v>47</v>
      </c>
      <c r="D35" s="25" t="s">
        <v>49</v>
      </c>
      <c r="E35" s="93">
        <v>1</v>
      </c>
      <c r="F35" s="26"/>
      <c r="G35" s="27">
        <f t="shared" si="20"/>
        <v>0</v>
      </c>
      <c r="H35" s="27">
        <v>28</v>
      </c>
      <c r="I35" s="27">
        <f t="shared" si="21"/>
        <v>0</v>
      </c>
      <c r="J35" s="27">
        <f t="shared" si="22"/>
        <v>0</v>
      </c>
      <c r="K35" s="27" t="str">
        <f t="shared" si="23"/>
        <v>0</v>
      </c>
      <c r="L35" s="27">
        <f t="shared" ref="L35:L43" si="28">IF(C35="G",0,IF(C35="P",0.5*K35,IF(OR($G$8=0,$G$8=1,$G$8=2,$G$8=3),$G$8*5/100*K35,IF(OR($G$8=5,$G$8=6),($G$8*5+10)/100*K35,IF($G$8=4,0.25*K35,0.5*K35)))))</f>
        <v>0</v>
      </c>
      <c r="M35" s="27">
        <f t="shared" si="25"/>
        <v>0</v>
      </c>
      <c r="N35" s="27">
        <f t="shared" si="26"/>
        <v>0</v>
      </c>
      <c r="O35" s="28"/>
      <c r="P35" s="28"/>
      <c r="Q35" s="28"/>
      <c r="R35" s="28"/>
      <c r="S35" s="28"/>
      <c r="T35" s="28"/>
      <c r="U35" s="29">
        <f t="shared" si="27"/>
        <v>0</v>
      </c>
    </row>
    <row r="36" spans="1:21" s="24" customFormat="1" ht="15" hidden="1" customHeight="1" x14ac:dyDescent="0.3">
      <c r="A36" s="101">
        <v>76</v>
      </c>
      <c r="B36" s="89"/>
      <c r="C36" s="91" t="s">
        <v>47</v>
      </c>
      <c r="D36" s="25" t="s">
        <v>49</v>
      </c>
      <c r="E36" s="93">
        <v>1</v>
      </c>
      <c r="F36" s="26"/>
      <c r="G36" s="27">
        <f t="shared" si="20"/>
        <v>0</v>
      </c>
      <c r="H36" s="27">
        <v>28</v>
      </c>
      <c r="I36" s="27">
        <f t="shared" si="21"/>
        <v>0</v>
      </c>
      <c r="J36" s="27">
        <f t="shared" si="22"/>
        <v>0</v>
      </c>
      <c r="K36" s="27" t="str">
        <f t="shared" si="23"/>
        <v>0</v>
      </c>
      <c r="L36" s="27">
        <f t="shared" si="28"/>
        <v>0</v>
      </c>
      <c r="M36" s="27">
        <f t="shared" si="25"/>
        <v>0</v>
      </c>
      <c r="N36" s="27">
        <f t="shared" si="26"/>
        <v>0</v>
      </c>
      <c r="O36" s="28"/>
      <c r="P36" s="28"/>
      <c r="Q36" s="28"/>
      <c r="R36" s="28"/>
      <c r="S36" s="28"/>
      <c r="T36" s="28"/>
      <c r="U36" s="29">
        <f t="shared" si="27"/>
        <v>0</v>
      </c>
    </row>
    <row r="37" spans="1:21" s="24" customFormat="1" ht="15" hidden="1" customHeight="1" x14ac:dyDescent="0.3">
      <c r="A37" s="101">
        <v>77</v>
      </c>
      <c r="B37" s="98"/>
      <c r="C37" s="91" t="s">
        <v>47</v>
      </c>
      <c r="D37" s="25" t="s">
        <v>49</v>
      </c>
      <c r="E37" s="93">
        <v>1</v>
      </c>
      <c r="F37" s="26"/>
      <c r="G37" s="27">
        <f t="shared" si="20"/>
        <v>0</v>
      </c>
      <c r="H37" s="27">
        <v>28</v>
      </c>
      <c r="I37" s="27">
        <f t="shared" si="21"/>
        <v>0</v>
      </c>
      <c r="J37" s="27">
        <f t="shared" si="22"/>
        <v>0</v>
      </c>
      <c r="K37" s="27" t="str">
        <f t="shared" si="23"/>
        <v>0</v>
      </c>
      <c r="L37" s="27">
        <f t="shared" si="28"/>
        <v>0</v>
      </c>
      <c r="M37" s="27">
        <f t="shared" si="25"/>
        <v>0</v>
      </c>
      <c r="N37" s="27">
        <f t="shared" si="26"/>
        <v>0</v>
      </c>
      <c r="O37" s="28"/>
      <c r="P37" s="28"/>
      <c r="Q37" s="28"/>
      <c r="R37" s="28"/>
      <c r="S37" s="28"/>
      <c r="T37" s="28"/>
      <c r="U37" s="29">
        <f t="shared" si="27"/>
        <v>0</v>
      </c>
    </row>
    <row r="38" spans="1:21" s="24" customFormat="1" ht="15" hidden="1" customHeight="1" x14ac:dyDescent="0.25">
      <c r="A38" s="101">
        <v>78</v>
      </c>
      <c r="B38" s="100"/>
      <c r="C38" s="91" t="s">
        <v>47</v>
      </c>
      <c r="D38" s="25" t="s">
        <v>49</v>
      </c>
      <c r="E38" s="93">
        <v>1</v>
      </c>
      <c r="F38" s="26"/>
      <c r="G38" s="27">
        <f t="shared" si="20"/>
        <v>0</v>
      </c>
      <c r="H38" s="27">
        <v>28</v>
      </c>
      <c r="I38" s="27">
        <f t="shared" si="21"/>
        <v>0</v>
      </c>
      <c r="J38" s="27">
        <f t="shared" si="22"/>
        <v>0</v>
      </c>
      <c r="K38" s="27" t="str">
        <f t="shared" si="23"/>
        <v>0</v>
      </c>
      <c r="L38" s="27">
        <f t="shared" si="28"/>
        <v>0</v>
      </c>
      <c r="M38" s="27">
        <f t="shared" si="25"/>
        <v>0</v>
      </c>
      <c r="N38" s="27">
        <f t="shared" si="26"/>
        <v>0</v>
      </c>
      <c r="O38" s="28"/>
      <c r="P38" s="28"/>
      <c r="Q38" s="28"/>
      <c r="R38" s="28"/>
      <c r="S38" s="28"/>
      <c r="T38" s="28"/>
      <c r="U38" s="29">
        <f t="shared" si="27"/>
        <v>0</v>
      </c>
    </row>
    <row r="39" spans="1:21" s="24" customFormat="1" ht="15" hidden="1" customHeight="1" x14ac:dyDescent="0.25">
      <c r="A39" s="101">
        <v>79</v>
      </c>
      <c r="B39" s="100"/>
      <c r="C39" s="91" t="s">
        <v>47</v>
      </c>
      <c r="D39" s="25" t="s">
        <v>49</v>
      </c>
      <c r="E39" s="93">
        <v>1</v>
      </c>
      <c r="F39" s="26"/>
      <c r="G39" s="27">
        <f t="shared" si="20"/>
        <v>0</v>
      </c>
      <c r="H39" s="27">
        <v>28</v>
      </c>
      <c r="I39" s="27">
        <f t="shared" si="21"/>
        <v>0</v>
      </c>
      <c r="J39" s="27">
        <f t="shared" si="22"/>
        <v>0</v>
      </c>
      <c r="K39" s="27" t="str">
        <f t="shared" si="23"/>
        <v>0</v>
      </c>
      <c r="L39" s="27">
        <f t="shared" si="28"/>
        <v>0</v>
      </c>
      <c r="M39" s="27">
        <f t="shared" si="25"/>
        <v>0</v>
      </c>
      <c r="N39" s="27">
        <f t="shared" si="26"/>
        <v>0</v>
      </c>
      <c r="O39" s="28"/>
      <c r="P39" s="28"/>
      <c r="Q39" s="28"/>
      <c r="R39" s="28"/>
      <c r="S39" s="28"/>
      <c r="T39" s="28"/>
      <c r="U39" s="29">
        <f t="shared" si="27"/>
        <v>0</v>
      </c>
    </row>
    <row r="40" spans="1:21" s="24" customFormat="1" ht="15" hidden="1" customHeight="1" x14ac:dyDescent="0.25">
      <c r="A40" s="101">
        <v>80</v>
      </c>
      <c r="B40" s="100"/>
      <c r="C40" s="91" t="s">
        <v>47</v>
      </c>
      <c r="D40" s="25" t="s">
        <v>49</v>
      </c>
      <c r="E40" s="93">
        <v>1</v>
      </c>
      <c r="F40" s="26"/>
      <c r="G40" s="27">
        <f t="shared" ref="G40:G45" si="29">F40*E40</f>
        <v>0</v>
      </c>
      <c r="H40" s="27">
        <v>28</v>
      </c>
      <c r="I40" s="27">
        <f t="shared" si="21"/>
        <v>0</v>
      </c>
      <c r="J40" s="27">
        <f t="shared" si="22"/>
        <v>0</v>
      </c>
      <c r="K40" s="27" t="str">
        <f t="shared" si="23"/>
        <v>0</v>
      </c>
      <c r="L40" s="27">
        <f t="shared" si="28"/>
        <v>0</v>
      </c>
      <c r="M40" s="27">
        <f t="shared" si="25"/>
        <v>0</v>
      </c>
      <c r="N40" s="27">
        <f t="shared" ref="N40:N45" si="30">IF(C40="G",0,IF(C40="P",0,IF(C40="M",G$6*K40,0)))</f>
        <v>0</v>
      </c>
      <c r="O40" s="28"/>
      <c r="P40" s="28"/>
      <c r="Q40" s="28"/>
      <c r="R40" s="28"/>
      <c r="S40" s="28"/>
      <c r="T40" s="28"/>
      <c r="U40" s="29">
        <f t="shared" si="27"/>
        <v>0</v>
      </c>
    </row>
    <row r="41" spans="1:21" s="24" customFormat="1" ht="15" hidden="1" customHeight="1" x14ac:dyDescent="0.25">
      <c r="A41" s="101">
        <v>81</v>
      </c>
      <c r="B41" s="100"/>
      <c r="C41" s="91" t="s">
        <v>47</v>
      </c>
      <c r="D41" s="25" t="s">
        <v>49</v>
      </c>
      <c r="E41" s="93">
        <v>1</v>
      </c>
      <c r="F41" s="26"/>
      <c r="G41" s="27">
        <f t="shared" si="29"/>
        <v>0</v>
      </c>
      <c r="H41" s="27">
        <v>28</v>
      </c>
      <c r="I41" s="27">
        <f t="shared" si="21"/>
        <v>0</v>
      </c>
      <c r="J41" s="27">
        <f t="shared" si="22"/>
        <v>0</v>
      </c>
      <c r="K41" s="27" t="str">
        <f t="shared" si="23"/>
        <v>0</v>
      </c>
      <c r="L41" s="27">
        <f t="shared" si="28"/>
        <v>0</v>
      </c>
      <c r="M41" s="27">
        <f t="shared" si="25"/>
        <v>0</v>
      </c>
      <c r="N41" s="27">
        <f t="shared" si="30"/>
        <v>0</v>
      </c>
      <c r="O41" s="28"/>
      <c r="P41" s="28"/>
      <c r="Q41" s="28"/>
      <c r="R41" s="28"/>
      <c r="S41" s="28"/>
      <c r="T41" s="28"/>
      <c r="U41" s="29">
        <f t="shared" si="27"/>
        <v>0</v>
      </c>
    </row>
    <row r="42" spans="1:21" s="24" customFormat="1" ht="15" hidden="1" customHeight="1" x14ac:dyDescent="0.25">
      <c r="A42" s="101">
        <v>82</v>
      </c>
      <c r="B42" s="100"/>
      <c r="C42" s="91" t="s">
        <v>47</v>
      </c>
      <c r="D42" s="25" t="s">
        <v>49</v>
      </c>
      <c r="E42" s="93">
        <v>1</v>
      </c>
      <c r="F42" s="26"/>
      <c r="G42" s="27">
        <f t="shared" si="29"/>
        <v>0</v>
      </c>
      <c r="H42" s="27">
        <v>28</v>
      </c>
      <c r="I42" s="27">
        <f t="shared" si="21"/>
        <v>0</v>
      </c>
      <c r="J42" s="27">
        <f t="shared" si="22"/>
        <v>0</v>
      </c>
      <c r="K42" s="27" t="str">
        <f t="shared" si="23"/>
        <v>0</v>
      </c>
      <c r="L42" s="27">
        <f t="shared" si="28"/>
        <v>0</v>
      </c>
      <c r="M42" s="27">
        <f t="shared" si="25"/>
        <v>0</v>
      </c>
      <c r="N42" s="27">
        <f t="shared" si="30"/>
        <v>0</v>
      </c>
      <c r="O42" s="28"/>
      <c r="P42" s="28"/>
      <c r="Q42" s="28"/>
      <c r="R42" s="28"/>
      <c r="S42" s="28"/>
      <c r="T42" s="28"/>
      <c r="U42" s="29">
        <f t="shared" si="27"/>
        <v>0</v>
      </c>
    </row>
    <row r="43" spans="1:21" s="30" customFormat="1" ht="15" hidden="1" customHeight="1" x14ac:dyDescent="0.25">
      <c r="A43" s="101">
        <v>83</v>
      </c>
      <c r="B43" s="100"/>
      <c r="C43" s="91" t="s">
        <v>47</v>
      </c>
      <c r="D43" s="25" t="s">
        <v>49</v>
      </c>
      <c r="E43" s="93">
        <v>1</v>
      </c>
      <c r="F43" s="26"/>
      <c r="G43" s="27">
        <f t="shared" si="29"/>
        <v>0</v>
      </c>
      <c r="H43" s="27">
        <v>28</v>
      </c>
      <c r="I43" s="27">
        <f t="shared" si="21"/>
        <v>0</v>
      </c>
      <c r="J43" s="27">
        <f t="shared" si="22"/>
        <v>0</v>
      </c>
      <c r="K43" s="27" t="str">
        <f t="shared" si="23"/>
        <v>0</v>
      </c>
      <c r="L43" s="27">
        <f t="shared" si="28"/>
        <v>0</v>
      </c>
      <c r="M43" s="27">
        <f t="shared" si="25"/>
        <v>0</v>
      </c>
      <c r="N43" s="27">
        <f t="shared" si="30"/>
        <v>0</v>
      </c>
      <c r="O43" s="28"/>
      <c r="P43" s="28"/>
      <c r="Q43" s="28"/>
      <c r="R43" s="28"/>
      <c r="S43" s="28"/>
      <c r="T43" s="28"/>
      <c r="U43" s="29">
        <f t="shared" si="27"/>
        <v>0</v>
      </c>
    </row>
    <row r="44" spans="1:21" s="30" customFormat="1" ht="15" hidden="1" customHeight="1" x14ac:dyDescent="0.25">
      <c r="A44" s="101">
        <v>84</v>
      </c>
      <c r="B44" s="100"/>
      <c r="C44" s="91" t="s">
        <v>47</v>
      </c>
      <c r="D44" s="25" t="s">
        <v>49</v>
      </c>
      <c r="E44" s="93">
        <v>1</v>
      </c>
      <c r="F44" s="26"/>
      <c r="G44" s="27">
        <f t="shared" si="29"/>
        <v>0</v>
      </c>
      <c r="H44" s="27">
        <v>28</v>
      </c>
      <c r="I44" s="27">
        <f t="shared" si="21"/>
        <v>0</v>
      </c>
      <c r="J44" s="27">
        <f t="shared" si="22"/>
        <v>0</v>
      </c>
      <c r="K44" s="27" t="str">
        <f t="shared" si="23"/>
        <v>0</v>
      </c>
      <c r="L44" s="27">
        <f>IF(C44="G",0,IF(C44="P",0.5*K44,IF(OR($G$8=0,$G$8=1,$G$8=2,$G$8=3),$G$8*5/100*K44,IF(OR($G$8=5,$G$8=6),($G$8*5+10)/100*K44,IF($G$8=4,0.25*K44,0.5*K44)))))</f>
        <v>0</v>
      </c>
      <c r="M44" s="27">
        <f t="shared" si="25"/>
        <v>0</v>
      </c>
      <c r="N44" s="27">
        <f t="shared" si="30"/>
        <v>0</v>
      </c>
      <c r="O44" s="28"/>
      <c r="P44" s="28"/>
      <c r="Q44" s="28"/>
      <c r="R44" s="28"/>
      <c r="S44" s="28"/>
      <c r="T44" s="28"/>
      <c r="U44" s="29">
        <f t="shared" si="27"/>
        <v>0</v>
      </c>
    </row>
    <row r="45" spans="1:21" s="30" customFormat="1" ht="15" hidden="1" customHeight="1" x14ac:dyDescent="0.25">
      <c r="A45" s="101">
        <v>85</v>
      </c>
      <c r="B45" s="100"/>
      <c r="C45" s="91" t="s">
        <v>47</v>
      </c>
      <c r="D45" s="25" t="s">
        <v>49</v>
      </c>
      <c r="E45" s="93">
        <v>1</v>
      </c>
      <c r="F45" s="26"/>
      <c r="G45" s="27">
        <f t="shared" si="29"/>
        <v>0</v>
      </c>
      <c r="H45" s="27">
        <v>28</v>
      </c>
      <c r="I45" s="27">
        <f t="shared" si="21"/>
        <v>0</v>
      </c>
      <c r="J45" s="27">
        <f t="shared" si="22"/>
        <v>0</v>
      </c>
      <c r="K45" s="27" t="str">
        <f t="shared" si="23"/>
        <v>0</v>
      </c>
      <c r="L45" s="27">
        <f t="shared" ref="L45" si="31">IF(C45="G",0,IF(C45="P",0.5*K45,IF(OR($G$8=0,$G$8=1,$G$8=2,$G$8=3),$G$8*5/100*K45,IF(OR($G$8=5,$G$8=6),($G$8*5+10)/100*K45,IF($G$8=4,0.25*K45,0.5*K45)))))</f>
        <v>0</v>
      </c>
      <c r="M45" s="27">
        <f t="shared" si="25"/>
        <v>0</v>
      </c>
      <c r="N45" s="27">
        <f t="shared" si="30"/>
        <v>0</v>
      </c>
      <c r="O45" s="28"/>
      <c r="P45" s="28"/>
      <c r="Q45" s="28"/>
      <c r="R45" s="28"/>
      <c r="S45" s="28"/>
      <c r="T45" s="28"/>
      <c r="U45" s="29">
        <f t="shared" si="27"/>
        <v>0</v>
      </c>
    </row>
    <row r="46" spans="1:21" s="24" customFormat="1" ht="15" hidden="1" customHeight="1" x14ac:dyDescent="0.3">
      <c r="A46" s="101">
        <v>86</v>
      </c>
      <c r="B46" s="89"/>
      <c r="C46" s="91" t="s">
        <v>47</v>
      </c>
      <c r="D46" s="25" t="s">
        <v>49</v>
      </c>
      <c r="E46" s="93">
        <v>1</v>
      </c>
      <c r="F46" s="26"/>
      <c r="G46" s="27">
        <f t="shared" si="8"/>
        <v>0</v>
      </c>
      <c r="H46" s="27">
        <v>28</v>
      </c>
      <c r="I46" s="27">
        <f t="shared" si="21"/>
        <v>0</v>
      </c>
      <c r="J46" s="27">
        <f t="shared" si="22"/>
        <v>0</v>
      </c>
      <c r="K46" s="27" t="str">
        <f t="shared" si="23"/>
        <v>0</v>
      </c>
      <c r="L46" s="27">
        <f t="shared" si="9"/>
        <v>0</v>
      </c>
      <c r="M46" s="27">
        <f t="shared" si="25"/>
        <v>0</v>
      </c>
      <c r="N46" s="27">
        <f t="shared" si="10"/>
        <v>0</v>
      </c>
      <c r="O46" s="28"/>
      <c r="P46" s="28"/>
      <c r="Q46" s="28"/>
      <c r="R46" s="28"/>
      <c r="S46" s="28"/>
      <c r="T46" s="28"/>
      <c r="U46" s="29">
        <f t="shared" si="27"/>
        <v>0</v>
      </c>
    </row>
    <row r="47" spans="1:21" s="24" customFormat="1" ht="15" hidden="1" customHeight="1" x14ac:dyDescent="0.3">
      <c r="A47" s="101">
        <v>87</v>
      </c>
      <c r="B47" s="98"/>
      <c r="C47" s="91" t="s">
        <v>47</v>
      </c>
      <c r="D47" s="25" t="s">
        <v>49</v>
      </c>
      <c r="E47" s="93">
        <v>1</v>
      </c>
      <c r="F47" s="26"/>
      <c r="G47" s="27">
        <f t="shared" si="8"/>
        <v>0</v>
      </c>
      <c r="H47" s="27">
        <v>28</v>
      </c>
      <c r="I47" s="27">
        <f t="shared" si="21"/>
        <v>0</v>
      </c>
      <c r="J47" s="27">
        <f t="shared" si="22"/>
        <v>0</v>
      </c>
      <c r="K47" s="27" t="str">
        <f t="shared" si="23"/>
        <v>0</v>
      </c>
      <c r="L47" s="27">
        <f t="shared" si="9"/>
        <v>0</v>
      </c>
      <c r="M47" s="27">
        <f t="shared" si="25"/>
        <v>0</v>
      </c>
      <c r="N47" s="27">
        <f t="shared" si="10"/>
        <v>0</v>
      </c>
      <c r="O47" s="28"/>
      <c r="P47" s="28"/>
      <c r="Q47" s="28"/>
      <c r="R47" s="28"/>
      <c r="S47" s="28"/>
      <c r="T47" s="28"/>
      <c r="U47" s="29">
        <f t="shared" si="27"/>
        <v>0</v>
      </c>
    </row>
    <row r="48" spans="1:21" s="24" customFormat="1" ht="15" hidden="1" customHeight="1" x14ac:dyDescent="0.25">
      <c r="A48" s="101">
        <v>88</v>
      </c>
      <c r="B48" s="100"/>
      <c r="C48" s="91" t="s">
        <v>47</v>
      </c>
      <c r="D48" s="25" t="s">
        <v>49</v>
      </c>
      <c r="E48" s="93">
        <v>1</v>
      </c>
      <c r="F48" s="26"/>
      <c r="G48" s="27">
        <f t="shared" si="8"/>
        <v>0</v>
      </c>
      <c r="H48" s="27">
        <v>28</v>
      </c>
      <c r="I48" s="27">
        <f t="shared" si="21"/>
        <v>0</v>
      </c>
      <c r="J48" s="27">
        <f t="shared" si="22"/>
        <v>0</v>
      </c>
      <c r="K48" s="27" t="str">
        <f t="shared" si="23"/>
        <v>0</v>
      </c>
      <c r="L48" s="27">
        <f t="shared" si="9"/>
        <v>0</v>
      </c>
      <c r="M48" s="27">
        <f t="shared" si="25"/>
        <v>0</v>
      </c>
      <c r="N48" s="27">
        <f t="shared" si="10"/>
        <v>0</v>
      </c>
      <c r="O48" s="28"/>
      <c r="P48" s="28"/>
      <c r="Q48" s="28"/>
      <c r="R48" s="28"/>
      <c r="S48" s="28"/>
      <c r="T48" s="28"/>
      <c r="U48" s="29">
        <f t="shared" si="27"/>
        <v>0</v>
      </c>
    </row>
    <row r="49" spans="1:21" s="24" customFormat="1" ht="15" hidden="1" customHeight="1" x14ac:dyDescent="0.25">
      <c r="A49" s="101">
        <v>89</v>
      </c>
      <c r="B49" s="100"/>
      <c r="C49" s="91" t="s">
        <v>47</v>
      </c>
      <c r="D49" s="25" t="s">
        <v>49</v>
      </c>
      <c r="E49" s="93">
        <v>1</v>
      </c>
      <c r="F49" s="26"/>
      <c r="G49" s="27">
        <f t="shared" si="8"/>
        <v>0</v>
      </c>
      <c r="H49" s="27">
        <v>28</v>
      </c>
      <c r="I49" s="27">
        <f t="shared" si="21"/>
        <v>0</v>
      </c>
      <c r="J49" s="27">
        <f t="shared" si="22"/>
        <v>0</v>
      </c>
      <c r="K49" s="27" t="str">
        <f t="shared" si="23"/>
        <v>0</v>
      </c>
      <c r="L49" s="27">
        <f t="shared" si="9"/>
        <v>0</v>
      </c>
      <c r="M49" s="27">
        <f t="shared" si="25"/>
        <v>0</v>
      </c>
      <c r="N49" s="27">
        <f t="shared" si="10"/>
        <v>0</v>
      </c>
      <c r="O49" s="28"/>
      <c r="P49" s="28"/>
      <c r="Q49" s="28"/>
      <c r="R49" s="28"/>
      <c r="S49" s="28"/>
      <c r="T49" s="28"/>
      <c r="U49" s="29">
        <f t="shared" si="27"/>
        <v>0</v>
      </c>
    </row>
    <row r="50" spans="1:21" s="24" customFormat="1" ht="15" hidden="1" customHeight="1" x14ac:dyDescent="0.25">
      <c r="A50" s="101">
        <v>90</v>
      </c>
      <c r="B50" s="100"/>
      <c r="C50" s="91" t="s">
        <v>47</v>
      </c>
      <c r="D50" s="25" t="s">
        <v>49</v>
      </c>
      <c r="E50" s="93">
        <v>1</v>
      </c>
      <c r="F50" s="26"/>
      <c r="G50" s="27">
        <f t="shared" si="8"/>
        <v>0</v>
      </c>
      <c r="H50" s="27">
        <v>28</v>
      </c>
      <c r="I50" s="27">
        <f t="shared" si="21"/>
        <v>0</v>
      </c>
      <c r="J50" s="27">
        <f t="shared" si="22"/>
        <v>0</v>
      </c>
      <c r="K50" s="27" t="str">
        <f t="shared" si="23"/>
        <v>0</v>
      </c>
      <c r="L50" s="27">
        <f t="shared" si="9"/>
        <v>0</v>
      </c>
      <c r="M50" s="27">
        <f t="shared" si="25"/>
        <v>0</v>
      </c>
      <c r="N50" s="27">
        <f t="shared" si="10"/>
        <v>0</v>
      </c>
      <c r="O50" s="28"/>
      <c r="P50" s="28"/>
      <c r="Q50" s="28"/>
      <c r="R50" s="28"/>
      <c r="S50" s="28"/>
      <c r="T50" s="28"/>
      <c r="U50" s="29">
        <f t="shared" si="27"/>
        <v>0</v>
      </c>
    </row>
    <row r="51" spans="1:21" s="24" customFormat="1" ht="15" hidden="1" customHeight="1" x14ac:dyDescent="0.25">
      <c r="A51" s="101">
        <v>91</v>
      </c>
      <c r="B51" s="100"/>
      <c r="C51" s="91" t="s">
        <v>47</v>
      </c>
      <c r="D51" s="25" t="s">
        <v>49</v>
      </c>
      <c r="E51" s="93">
        <v>1</v>
      </c>
      <c r="F51" s="26"/>
      <c r="G51" s="27">
        <f t="shared" si="8"/>
        <v>0</v>
      </c>
      <c r="H51" s="27">
        <v>28</v>
      </c>
      <c r="I51" s="27">
        <f t="shared" si="21"/>
        <v>0</v>
      </c>
      <c r="J51" s="27">
        <f t="shared" si="22"/>
        <v>0</v>
      </c>
      <c r="K51" s="27" t="str">
        <f t="shared" si="23"/>
        <v>0</v>
      </c>
      <c r="L51" s="27">
        <f t="shared" si="9"/>
        <v>0</v>
      </c>
      <c r="M51" s="27">
        <f t="shared" si="25"/>
        <v>0</v>
      </c>
      <c r="N51" s="27">
        <f t="shared" si="10"/>
        <v>0</v>
      </c>
      <c r="O51" s="28"/>
      <c r="P51" s="28"/>
      <c r="Q51" s="28"/>
      <c r="R51" s="28"/>
      <c r="S51" s="28"/>
      <c r="T51" s="28"/>
      <c r="U51" s="29">
        <f t="shared" si="27"/>
        <v>0</v>
      </c>
    </row>
    <row r="52" spans="1:21" s="24" customFormat="1" ht="15" hidden="1" customHeight="1" x14ac:dyDescent="0.25">
      <c r="A52" s="101">
        <v>92</v>
      </c>
      <c r="B52" s="100"/>
      <c r="C52" s="91" t="s">
        <v>47</v>
      </c>
      <c r="D52" s="25" t="s">
        <v>49</v>
      </c>
      <c r="E52" s="93">
        <v>1</v>
      </c>
      <c r="F52" s="26"/>
      <c r="G52" s="27">
        <f t="shared" si="8"/>
        <v>0</v>
      </c>
      <c r="H52" s="27">
        <v>28</v>
      </c>
      <c r="I52" s="27">
        <f t="shared" si="21"/>
        <v>0</v>
      </c>
      <c r="J52" s="27">
        <f t="shared" si="22"/>
        <v>0</v>
      </c>
      <c r="K52" s="27" t="str">
        <f t="shared" si="23"/>
        <v>0</v>
      </c>
      <c r="L52" s="27">
        <f t="shared" si="9"/>
        <v>0</v>
      </c>
      <c r="M52" s="27">
        <f t="shared" si="25"/>
        <v>0</v>
      </c>
      <c r="N52" s="27">
        <f t="shared" si="10"/>
        <v>0</v>
      </c>
      <c r="O52" s="28"/>
      <c r="P52" s="28"/>
      <c r="Q52" s="28"/>
      <c r="R52" s="28"/>
      <c r="S52" s="28"/>
      <c r="T52" s="28"/>
      <c r="U52" s="29">
        <f t="shared" si="27"/>
        <v>0</v>
      </c>
    </row>
    <row r="53" spans="1:21" s="30" customFormat="1" ht="15" hidden="1" customHeight="1" x14ac:dyDescent="0.25">
      <c r="A53" s="101">
        <v>93</v>
      </c>
      <c r="B53" s="100"/>
      <c r="C53" s="91" t="s">
        <v>47</v>
      </c>
      <c r="D53" s="25" t="s">
        <v>49</v>
      </c>
      <c r="E53" s="93">
        <v>1</v>
      </c>
      <c r="F53" s="26"/>
      <c r="G53" s="27">
        <f t="shared" ref="G53:G54" si="32">F53*E53</f>
        <v>0</v>
      </c>
      <c r="H53" s="27">
        <v>28</v>
      </c>
      <c r="I53" s="27">
        <f t="shared" si="21"/>
        <v>0</v>
      </c>
      <c r="J53" s="27">
        <f t="shared" si="22"/>
        <v>0</v>
      </c>
      <c r="K53" s="27" t="str">
        <f t="shared" si="23"/>
        <v>0</v>
      </c>
      <c r="L53" s="27">
        <f t="shared" ref="L53" si="33">IF(C53="G",0,IF(C53="P",0.5*K53,IF(OR($G$8=0,$G$8=1,$G$8=2,$G$8=3),$G$8*5/100*K53,IF(OR($G$8=5,$G$8=6),($G$8*5+10)/100*K53,IF($G$8=4,0.25*K53,0.5*K53)))))</f>
        <v>0</v>
      </c>
      <c r="M53" s="27">
        <f t="shared" si="25"/>
        <v>0</v>
      </c>
      <c r="N53" s="27">
        <f t="shared" ref="N53:N54" si="34">IF(C53="G",0,IF(C53="P",0,IF(C53="M",G$6*K53,0)))</f>
        <v>0</v>
      </c>
      <c r="O53" s="28"/>
      <c r="P53" s="28"/>
      <c r="Q53" s="28"/>
      <c r="R53" s="28"/>
      <c r="S53" s="28"/>
      <c r="T53" s="28"/>
      <c r="U53" s="29">
        <f t="shared" si="27"/>
        <v>0</v>
      </c>
    </row>
    <row r="54" spans="1:21" s="30" customFormat="1" ht="15" hidden="1" customHeight="1" x14ac:dyDescent="0.25">
      <c r="A54" s="101">
        <v>94</v>
      </c>
      <c r="B54" s="100"/>
      <c r="C54" s="91" t="s">
        <v>47</v>
      </c>
      <c r="D54" s="25" t="s">
        <v>49</v>
      </c>
      <c r="E54" s="93">
        <v>1</v>
      </c>
      <c r="F54" s="26"/>
      <c r="G54" s="27">
        <f t="shared" si="32"/>
        <v>0</v>
      </c>
      <c r="H54" s="27">
        <v>28</v>
      </c>
      <c r="I54" s="27">
        <f t="shared" si="21"/>
        <v>0</v>
      </c>
      <c r="J54" s="27">
        <f t="shared" si="22"/>
        <v>0</v>
      </c>
      <c r="K54" s="27" t="str">
        <f t="shared" si="23"/>
        <v>0</v>
      </c>
      <c r="L54" s="27">
        <f>IF(C54="G",0,IF(C54="P",0.5*K54,IF(OR($G$8=0,$G$8=1,$G$8=2,$G$8=3),$G$8*5/100*K54,IF(OR($G$8=5,$G$8=6),($G$8*5+10)/100*K54,IF($G$8=4,0.25*K54,0.5*K54)))))</f>
        <v>0</v>
      </c>
      <c r="M54" s="27">
        <f t="shared" si="25"/>
        <v>0</v>
      </c>
      <c r="N54" s="27">
        <f t="shared" si="34"/>
        <v>0</v>
      </c>
      <c r="O54" s="28"/>
      <c r="P54" s="28"/>
      <c r="Q54" s="28"/>
      <c r="R54" s="28"/>
      <c r="S54" s="28"/>
      <c r="T54" s="28"/>
      <c r="U54" s="29">
        <f t="shared" si="27"/>
        <v>0</v>
      </c>
    </row>
    <row r="55" spans="1:21" s="30" customFormat="1" ht="15" hidden="1" customHeight="1" x14ac:dyDescent="0.25">
      <c r="A55" s="101">
        <v>95</v>
      </c>
      <c r="B55" s="100"/>
      <c r="C55" s="91" t="s">
        <v>47</v>
      </c>
      <c r="D55" s="25" t="s">
        <v>49</v>
      </c>
      <c r="E55" s="93">
        <v>1</v>
      </c>
      <c r="F55" s="26"/>
      <c r="G55" s="27">
        <f t="shared" ref="G55" si="35">F55*E55</f>
        <v>0</v>
      </c>
      <c r="H55" s="27">
        <v>28</v>
      </c>
      <c r="I55" s="27">
        <f t="shared" si="21"/>
        <v>0</v>
      </c>
      <c r="J55" s="27">
        <f t="shared" si="22"/>
        <v>0</v>
      </c>
      <c r="K55" s="27" t="str">
        <f t="shared" si="23"/>
        <v>0</v>
      </c>
      <c r="L55" s="27">
        <f t="shared" ref="L55" si="36">IF(C55="G",0,IF(C55="P",0.5*K55,IF(OR($G$8=0,$G$8=1,$G$8=2,$G$8=3),$G$8*5/100*K55,IF(OR($G$8=5,$G$8=6),($G$8*5+10)/100*K55,IF($G$8=4,0.25*K55,0.5*K55)))))</f>
        <v>0</v>
      </c>
      <c r="M55" s="27">
        <f t="shared" si="25"/>
        <v>0</v>
      </c>
      <c r="N55" s="27">
        <f t="shared" ref="N55" si="37">IF(C55="G",0,IF(C55="P",0,IF(C55="M",G$6*K55,0)))</f>
        <v>0</v>
      </c>
      <c r="O55" s="28"/>
      <c r="P55" s="28"/>
      <c r="Q55" s="28"/>
      <c r="R55" s="28"/>
      <c r="S55" s="28"/>
      <c r="T55" s="28"/>
      <c r="U55" s="29">
        <f t="shared" si="27"/>
        <v>0</v>
      </c>
    </row>
    <row r="56" spans="1:21" ht="15" customHeight="1" thickBot="1" x14ac:dyDescent="0.3">
      <c r="A56" s="31"/>
      <c r="B56" s="32"/>
      <c r="C56" s="32" t="s">
        <v>25</v>
      </c>
      <c r="D56" s="32"/>
      <c r="E56" s="32"/>
      <c r="F56" s="33">
        <f>SUM(F13:F55)</f>
        <v>2000</v>
      </c>
      <c r="G56" s="34">
        <f>SUM(G13:G55)</f>
        <v>2000</v>
      </c>
      <c r="H56" s="34"/>
      <c r="I56" s="34">
        <f t="shared" ref="I56:N56" si="38">SUM(I13:I55)</f>
        <v>0</v>
      </c>
      <c r="J56" s="34">
        <f t="shared" si="38"/>
        <v>2000</v>
      </c>
      <c r="K56" s="97">
        <f t="shared" si="38"/>
        <v>0</v>
      </c>
      <c r="L56" s="34">
        <f t="shared" si="38"/>
        <v>800</v>
      </c>
      <c r="M56" s="34">
        <f t="shared" si="38"/>
        <v>1200</v>
      </c>
      <c r="N56" s="34">
        <f t="shared" si="38"/>
        <v>0</v>
      </c>
      <c r="O56" s="34">
        <f>SUM(O53:O55)</f>
        <v>0</v>
      </c>
      <c r="P56" s="34">
        <f>SUM(P13:P55)</f>
        <v>0</v>
      </c>
      <c r="Q56" s="34">
        <f>SUM(Q53:Q55)</f>
        <v>0</v>
      </c>
      <c r="R56" s="34">
        <f>SUM(R13:R55)</f>
        <v>0</v>
      </c>
      <c r="S56" s="34">
        <f>SUM(S53:S55)</f>
        <v>0</v>
      </c>
      <c r="T56" s="34">
        <f>SUM(T13:T55)</f>
        <v>0</v>
      </c>
      <c r="U56" s="34">
        <f>SUM(U13:U55)</f>
        <v>0</v>
      </c>
    </row>
    <row r="57" spans="1:21" ht="15" customHeight="1" thickBot="1" x14ac:dyDescent="0.3">
      <c r="A57" s="36" t="s">
        <v>26</v>
      </c>
      <c r="B57" s="37"/>
      <c r="C57" s="32"/>
      <c r="D57" s="32"/>
      <c r="E57" s="32"/>
      <c r="F57" s="38"/>
      <c r="G57" s="32"/>
      <c r="H57" s="32"/>
      <c r="I57" s="32"/>
      <c r="J57" s="39"/>
      <c r="K57" s="32"/>
      <c r="L57" s="32"/>
      <c r="M57" s="32"/>
      <c r="N57" s="32"/>
      <c r="O57" s="32"/>
      <c r="P57" s="40"/>
      <c r="Q57" s="32"/>
      <c r="R57" s="41" t="s">
        <v>27</v>
      </c>
      <c r="S57" s="32"/>
      <c r="T57" s="32"/>
      <c r="U57" s="35">
        <f>SUM(U56)</f>
        <v>0</v>
      </c>
    </row>
    <row r="58" spans="1:21" ht="15" customHeight="1" x14ac:dyDescent="0.25">
      <c r="A58" s="42" t="s">
        <v>28</v>
      </c>
      <c r="B58" s="43">
        <f>SUM(K56)</f>
        <v>0</v>
      </c>
      <c r="C58" s="32"/>
      <c r="D58" s="32"/>
      <c r="E58" s="32"/>
      <c r="F58" s="38"/>
      <c r="G58" s="32"/>
      <c r="H58" s="32"/>
      <c r="I58" s="32"/>
      <c r="J58" s="39"/>
      <c r="K58" s="32"/>
      <c r="L58" s="36" t="s">
        <v>29</v>
      </c>
      <c r="M58" s="44">
        <f>N56</f>
        <v>0</v>
      </c>
      <c r="N58" s="45"/>
      <c r="O58" s="45"/>
      <c r="P58" s="40"/>
      <c r="Q58" s="32"/>
      <c r="R58" s="41" t="s">
        <v>30</v>
      </c>
      <c r="S58" s="46" t="s">
        <v>31</v>
      </c>
      <c r="T58" s="46" t="s">
        <v>32</v>
      </c>
      <c r="U58" s="35">
        <f>IF(T58="Y",U57*18%,0)</f>
        <v>0</v>
      </c>
    </row>
    <row r="59" spans="1:21" ht="15" customHeight="1" x14ac:dyDescent="0.25">
      <c r="A59" s="47" t="s">
        <v>33</v>
      </c>
      <c r="B59" s="48">
        <f>SUM(U57)</f>
        <v>0</v>
      </c>
      <c r="C59" s="32"/>
      <c r="D59" s="32"/>
      <c r="E59" s="32"/>
      <c r="F59" s="38"/>
      <c r="G59" s="32"/>
      <c r="H59" s="32"/>
      <c r="I59" s="32"/>
      <c r="J59" s="39"/>
      <c r="K59" s="32"/>
      <c r="L59" s="42" t="s">
        <v>34</v>
      </c>
      <c r="M59" s="49">
        <v>1000</v>
      </c>
      <c r="N59" s="45"/>
      <c r="O59" s="45"/>
      <c r="P59" s="40"/>
      <c r="Q59" s="32"/>
      <c r="R59" s="41" t="s">
        <v>35</v>
      </c>
      <c r="S59" s="46" t="s">
        <v>31</v>
      </c>
      <c r="T59" s="46" t="s">
        <v>31</v>
      </c>
      <c r="U59" s="35">
        <f>IF(S59="Y",U57*4%,0)</f>
        <v>0</v>
      </c>
    </row>
    <row r="60" spans="1:21" ht="15" customHeight="1" x14ac:dyDescent="0.25">
      <c r="A60" s="50"/>
      <c r="B60" s="51"/>
      <c r="C60" s="51"/>
      <c r="D60" s="51"/>
      <c r="E60" s="52"/>
      <c r="F60" s="38"/>
      <c r="G60" s="32"/>
      <c r="H60" s="32"/>
      <c r="I60" s="32"/>
      <c r="J60" s="39"/>
      <c r="K60" s="32"/>
      <c r="L60" s="53" t="s">
        <v>36</v>
      </c>
      <c r="M60" s="54">
        <v>0</v>
      </c>
      <c r="N60" s="32"/>
      <c r="O60" s="32"/>
      <c r="P60" s="40"/>
      <c r="Q60" s="32"/>
      <c r="R60" s="41" t="s">
        <v>37</v>
      </c>
      <c r="S60" s="46" t="s">
        <v>31</v>
      </c>
      <c r="T60" s="46" t="s">
        <v>31</v>
      </c>
      <c r="U60" s="35">
        <f>IF(S60="Y",T56*4%,0)</f>
        <v>0</v>
      </c>
    </row>
    <row r="61" spans="1:21" ht="15" customHeight="1" thickBot="1" x14ac:dyDescent="0.3">
      <c r="A61" s="206"/>
      <c r="B61" s="206"/>
      <c r="C61" s="206"/>
      <c r="D61" s="206"/>
      <c r="E61" s="206"/>
      <c r="F61" s="38"/>
      <c r="G61" s="32"/>
      <c r="H61" s="32"/>
      <c r="I61" s="32"/>
      <c r="J61" s="39"/>
      <c r="K61" s="32"/>
      <c r="L61" s="32"/>
      <c r="M61" s="32"/>
      <c r="N61" s="32"/>
      <c r="O61" s="32"/>
      <c r="P61" s="40"/>
      <c r="Q61" s="32"/>
      <c r="R61" s="41" t="s">
        <v>38</v>
      </c>
      <c r="S61" s="32"/>
      <c r="T61" s="32"/>
      <c r="U61" s="55">
        <f>SUM(U57:U60)</f>
        <v>0</v>
      </c>
    </row>
    <row r="62" spans="1:21" ht="15" customHeight="1" thickBot="1" x14ac:dyDescent="0.3">
      <c r="A62" s="206"/>
      <c r="B62" s="206"/>
      <c r="C62" s="206"/>
      <c r="D62" s="206"/>
      <c r="E62" s="206"/>
      <c r="F62" s="56"/>
      <c r="G62" s="57"/>
      <c r="H62" s="57"/>
      <c r="I62" s="57"/>
      <c r="J62" s="58"/>
      <c r="K62" s="59"/>
      <c r="L62" s="57"/>
      <c r="M62" s="57"/>
      <c r="N62" s="57"/>
      <c r="O62" s="57"/>
      <c r="P62" s="60"/>
      <c r="Q62" s="57"/>
      <c r="R62" s="333" t="s">
        <v>149</v>
      </c>
      <c r="S62" s="334"/>
      <c r="T62" s="335"/>
      <c r="U62" s="336">
        <f>U61+M56-M58-M59-M60</f>
        <v>200</v>
      </c>
    </row>
    <row r="63" spans="1:21" ht="15" customHeight="1" thickBot="1" x14ac:dyDescent="0.3">
      <c r="A63" s="329"/>
      <c r="B63" s="329"/>
      <c r="C63" s="329"/>
      <c r="D63" s="329"/>
      <c r="E63" s="329"/>
      <c r="F63" s="38"/>
      <c r="G63" s="32"/>
      <c r="H63" s="32"/>
      <c r="I63" s="32"/>
      <c r="J63" s="64"/>
      <c r="K63" s="41"/>
      <c r="L63" s="32"/>
      <c r="M63" s="32"/>
      <c r="N63" s="32"/>
      <c r="O63" s="32"/>
      <c r="P63" s="40"/>
      <c r="Q63" s="32"/>
      <c r="R63" s="337" t="s">
        <v>148</v>
      </c>
      <c r="S63" s="330"/>
      <c r="T63" s="61"/>
      <c r="U63" s="338">
        <f>+L56</f>
        <v>800</v>
      </c>
    </row>
    <row r="64" spans="1:21" ht="15" customHeight="1" thickBot="1" x14ac:dyDescent="0.35">
      <c r="A64" s="329"/>
      <c r="B64" s="329"/>
      <c r="C64" s="329"/>
      <c r="D64" s="329"/>
      <c r="E64" s="329"/>
      <c r="F64" s="38"/>
      <c r="G64" s="32"/>
      <c r="H64" s="32"/>
      <c r="I64" s="32"/>
      <c r="J64" s="64"/>
      <c r="K64" s="41"/>
      <c r="L64" s="32"/>
      <c r="M64" s="32"/>
      <c r="N64" s="32"/>
      <c r="O64" s="32"/>
      <c r="P64" s="40"/>
      <c r="Q64" s="32"/>
      <c r="R64" s="342" t="s">
        <v>150</v>
      </c>
      <c r="S64" s="339"/>
      <c r="T64" s="340"/>
      <c r="U64" s="341">
        <f>U63+U62</f>
        <v>1000</v>
      </c>
    </row>
    <row r="65" spans="1:21" ht="15" customHeight="1" x14ac:dyDescent="0.25">
      <c r="A65" s="62"/>
      <c r="B65" s="63"/>
      <c r="C65" s="32"/>
      <c r="D65" s="32"/>
      <c r="E65" s="32"/>
      <c r="F65" s="38"/>
      <c r="G65" s="32"/>
      <c r="H65" s="32"/>
      <c r="I65" s="32"/>
      <c r="J65" s="64"/>
      <c r="K65" s="41"/>
      <c r="L65" s="32"/>
      <c r="M65" s="32"/>
      <c r="N65" s="32"/>
      <c r="O65" s="32"/>
      <c r="P65" s="40"/>
      <c r="Q65" s="32"/>
      <c r="R65" s="41"/>
      <c r="S65" s="32"/>
      <c r="T65" s="331" t="s">
        <v>39</v>
      </c>
      <c r="U65" s="332">
        <f>U61</f>
        <v>0</v>
      </c>
    </row>
    <row r="66" spans="1:21" ht="15" customHeight="1" x14ac:dyDescent="0.3">
      <c r="A66" s="65"/>
      <c r="B66" s="65"/>
      <c r="C66" s="8"/>
      <c r="D66" s="8"/>
      <c r="E66" s="32"/>
      <c r="F66" s="38"/>
      <c r="G66" s="32"/>
      <c r="H66" s="32"/>
      <c r="I66" s="32"/>
      <c r="J66" s="64"/>
      <c r="K66" s="41"/>
      <c r="L66" s="32"/>
      <c r="M66" s="66" t="s">
        <v>40</v>
      </c>
      <c r="N66" s="32"/>
      <c r="O66" s="32"/>
      <c r="P66" s="67">
        <f>SUM(U67+U68+U69+M60)</f>
        <v>1800</v>
      </c>
      <c r="Q66" s="32"/>
      <c r="R66" s="41"/>
      <c r="S66" s="32"/>
      <c r="T66" s="68" t="s">
        <v>28</v>
      </c>
      <c r="U66" s="69">
        <f>M56-N56</f>
        <v>1200</v>
      </c>
    </row>
    <row r="67" spans="1:21" ht="15" customHeight="1" x14ac:dyDescent="0.3">
      <c r="A67" s="70"/>
      <c r="B67" s="70"/>
      <c r="C67" s="70"/>
      <c r="D67" s="70"/>
      <c r="E67" s="71"/>
      <c r="F67" s="72"/>
      <c r="G67" s="71"/>
      <c r="H67" s="71"/>
      <c r="I67" s="71"/>
      <c r="J67" s="73"/>
      <c r="K67" s="71"/>
      <c r="L67" s="71"/>
      <c r="M67" s="74"/>
      <c r="N67" s="74"/>
      <c r="O67" s="74"/>
      <c r="P67" s="75"/>
      <c r="Q67" s="71"/>
      <c r="R67" s="71"/>
      <c r="S67" s="71"/>
      <c r="T67" s="68" t="s">
        <v>41</v>
      </c>
      <c r="U67" s="76">
        <f>L56</f>
        <v>800</v>
      </c>
    </row>
    <row r="68" spans="1:21" ht="15" customHeight="1" x14ac:dyDescent="0.3">
      <c r="A68" s="70"/>
      <c r="B68" s="70"/>
      <c r="C68" s="70"/>
      <c r="D68" s="70"/>
      <c r="E68" s="71"/>
      <c r="F68" s="72"/>
      <c r="G68" s="71"/>
      <c r="H68" s="71"/>
      <c r="I68" s="71"/>
      <c r="J68" s="73"/>
      <c r="K68" s="71"/>
      <c r="L68" s="71"/>
      <c r="M68" s="66"/>
      <c r="N68" s="71"/>
      <c r="O68" s="71"/>
      <c r="P68" s="75"/>
      <c r="Q68" s="71"/>
      <c r="R68" s="71"/>
      <c r="S68" s="71"/>
      <c r="T68" s="68" t="s">
        <v>42</v>
      </c>
      <c r="U68" s="76">
        <f>M59</f>
        <v>1000</v>
      </c>
    </row>
    <row r="69" spans="1:21" ht="15" customHeight="1" x14ac:dyDescent="0.3">
      <c r="A69" s="70"/>
      <c r="B69" s="70"/>
      <c r="C69" s="71"/>
      <c r="D69" s="71"/>
      <c r="E69" s="71"/>
      <c r="F69" s="72"/>
      <c r="G69" s="71"/>
      <c r="H69" s="71"/>
      <c r="I69" s="71"/>
      <c r="J69" s="73"/>
      <c r="K69" s="71"/>
      <c r="L69" s="71"/>
      <c r="M69" s="71"/>
      <c r="N69" s="71"/>
      <c r="O69" s="71"/>
      <c r="P69" s="75"/>
      <c r="Q69" s="71"/>
      <c r="R69" s="71"/>
      <c r="S69" s="71"/>
      <c r="T69" s="68" t="s">
        <v>17</v>
      </c>
      <c r="U69" s="76">
        <f>M58</f>
        <v>0</v>
      </c>
    </row>
    <row r="70" spans="1:21" ht="15" customHeight="1" x14ac:dyDescent="0.3">
      <c r="A70" s="70"/>
      <c r="B70" s="70"/>
      <c r="C70" s="71"/>
      <c r="D70" s="71"/>
      <c r="E70" s="71"/>
      <c r="F70" s="72"/>
      <c r="G70" s="71"/>
      <c r="H70" s="71"/>
      <c r="I70" s="71"/>
      <c r="J70" s="73"/>
      <c r="K70" s="71"/>
      <c r="M70" s="71"/>
      <c r="N70" s="71"/>
      <c r="O70" s="71"/>
      <c r="P70" s="75"/>
      <c r="Q70" s="71"/>
      <c r="R70" s="71"/>
      <c r="S70" s="71"/>
      <c r="T70" s="68" t="s">
        <v>43</v>
      </c>
      <c r="U70" s="76">
        <f>+U62+U67</f>
        <v>1000</v>
      </c>
    </row>
    <row r="71" spans="1:21" ht="15" customHeight="1" x14ac:dyDescent="0.25">
      <c r="A71" s="71"/>
      <c r="B71" s="71"/>
      <c r="C71" s="71"/>
      <c r="D71" s="71"/>
      <c r="E71" s="71"/>
      <c r="F71" s="72"/>
      <c r="G71" s="71"/>
      <c r="H71" s="71"/>
      <c r="I71" s="71"/>
      <c r="J71" s="73"/>
      <c r="K71" s="71"/>
      <c r="L71" s="71"/>
      <c r="M71" s="71"/>
      <c r="N71" s="71"/>
      <c r="O71" s="71"/>
      <c r="P71" s="75"/>
      <c r="Q71" s="71"/>
      <c r="R71" s="71"/>
      <c r="S71" s="71"/>
      <c r="T71" s="68" t="s">
        <v>44</v>
      </c>
      <c r="U71" s="77">
        <v>0</v>
      </c>
    </row>
    <row r="72" spans="1:21" ht="13.5" x14ac:dyDescent="0.3">
      <c r="A72" s="71"/>
      <c r="B72" s="71"/>
      <c r="C72" s="71"/>
      <c r="D72" s="71"/>
      <c r="E72" s="71"/>
      <c r="F72" s="72"/>
      <c r="G72" s="71"/>
      <c r="H72" s="71"/>
      <c r="I72" s="71"/>
      <c r="J72" s="73"/>
      <c r="K72" s="71"/>
      <c r="L72" s="78"/>
      <c r="M72" s="66"/>
      <c r="N72" s="71"/>
      <c r="O72" s="71"/>
      <c r="P72" s="75"/>
      <c r="Q72" s="71"/>
      <c r="R72" s="71"/>
      <c r="S72" s="71"/>
      <c r="T72" s="79" t="s">
        <v>45</v>
      </c>
      <c r="U72" s="80">
        <f>U71-U70</f>
        <v>-1000</v>
      </c>
    </row>
    <row r="73" spans="1:21" x14ac:dyDescent="0.25">
      <c r="T73" s="81"/>
    </row>
    <row r="74" spans="1:21" ht="13.5" x14ac:dyDescent="0.3">
      <c r="M74" s="82"/>
      <c r="N74" s="82"/>
      <c r="Q74" s="78" t="s">
        <v>46</v>
      </c>
    </row>
    <row r="88" spans="10:10" x14ac:dyDescent="0.25">
      <c r="J88" s="1"/>
    </row>
  </sheetData>
  <mergeCells count="29">
    <mergeCell ref="E8:F8"/>
    <mergeCell ref="K8:U8"/>
    <mergeCell ref="G10:G12"/>
    <mergeCell ref="A10:A12"/>
    <mergeCell ref="B10:B12"/>
    <mergeCell ref="C10:C12"/>
    <mergeCell ref="D10:D12"/>
    <mergeCell ref="E10:E12"/>
    <mergeCell ref="U10:U12"/>
    <mergeCell ref="O11:P11"/>
    <mergeCell ref="Q11:R11"/>
    <mergeCell ref="S11:T11"/>
    <mergeCell ref="K10:K12"/>
    <mergeCell ref="L10:L12"/>
    <mergeCell ref="M10:M12"/>
    <mergeCell ref="O10:T10"/>
    <mergeCell ref="A7:G7"/>
    <mergeCell ref="A5:B5"/>
    <mergeCell ref="C5:D5"/>
    <mergeCell ref="E5:J5"/>
    <mergeCell ref="L5:O5"/>
    <mergeCell ref="A6:E6"/>
    <mergeCell ref="J6:N6"/>
    <mergeCell ref="F10:F12"/>
    <mergeCell ref="N10:N12"/>
    <mergeCell ref="J10:J12"/>
    <mergeCell ref="A61:E62"/>
    <mergeCell ref="C9:U9"/>
    <mergeCell ref="H10:H12"/>
  </mergeCells>
  <phoneticPr fontId="0" type="noConversion"/>
  <dataValidations count="12">
    <dataValidation operator="equal" allowBlank="1" showInputMessage="1" showErrorMessage="1" prompt="Enter Salvage Value to be deducted" sqref="M58:O58">
      <formula1>0</formula1>
      <formula2>0</formula2>
    </dataValidation>
    <dataValidation operator="equal" allowBlank="1" showInputMessage="1" showErrorMessage="1" promptTitle="      VOLUNTARY CHART" prompt="2 WHEELER          4 WHEELER_x000a_=======          =======_x000a_1-50      =500     1-750        =2500_x000a_51-75    =750     751-1500  =5000 _x000a_76-125  =1000   1501-2000=7500_x000a_126-200=1500   2001-2500=15000_x000a_201-250 =3000_x000a_ " sqref="M60">
      <formula1>0</formula1>
      <formula2>0</formula2>
    </dataValidation>
    <dataValidation type="list" operator="equal" allowBlank="1" showErrorMessage="1" sqref="O59">
      <formula1>"0,500,1000"</formula1>
      <formula2>0</formula2>
    </dataValidation>
    <dataValidation type="list" operator="equal" allowBlank="1" showErrorMessage="1" sqref="S58:T60">
      <formula1>"Y,N"</formula1>
      <formula2>0</formula2>
    </dataValidation>
    <dataValidation operator="equal" allowBlank="1" showInputMessage="1" showErrorMessage="1" prompt="Enter Tax Rate" sqref="B8:B9">
      <formula1>0</formula1>
      <formula2>0</formula2>
    </dataValidation>
    <dataValidation type="list" operator="equal" allowBlank="1" showInputMessage="1" showErrorMessage="1" prompt="Enter Re Sale Tax Rate if applicable" sqref="D8">
      <formula1>"0.5%,1%"</formula1>
      <formula2>0</formula2>
    </dataValidation>
    <dataValidation type="list" operator="equal" allowBlank="1" showInputMessage="1" showErrorMessage="1" prompt="0% SALVAGE DE" sqref="G6:I6">
      <formula1>"0%,1%,2%,4%,5%,7%,10%,15%,20%,25%,30%,34%"</formula1>
      <formula2>0</formula2>
    </dataValidation>
    <dataValidation type="list" operator="equal" allowBlank="1" showInputMessage="1" showErrorMessage="1" prompt="0-6 mnths=0(No Depriciation)_x000a_6-1 Year=1(5% Depriciation)_x000a_1-2 year=2(10% Depriciation)_x000a_2-3 year=3(15% Depriciation)_x000a_3-4year= 4(25% Depriciation)_x000a_4-5year= 5(35% Depriciation)_x000a_5-10year=6(40% Depriciation)_x000a_10 &amp; ABOVE=11(50% Depriciation)_x000a_  " sqref="G8:I8">
      <formula1>"0,1,2,3,4,5,6,11"</formula1>
      <formula2>0</formula2>
    </dataValidation>
    <dataValidation type="list" operator="equal" allowBlank="1" showDropDown="1" showErrorMessage="1" sqref="O11">
      <formula1>"O/F"</formula1>
      <formula2>0</formula2>
    </dataValidation>
    <dataValidation type="list" operator="equal" allowBlank="1" showDropDown="1" showErrorMessage="1" sqref="Q11">
      <formula1>"DT"</formula1>
      <formula2>0</formula2>
    </dataValidation>
    <dataValidation type="list" operator="equal" allowBlank="1" showDropDown="1" showErrorMessage="1" sqref="S11">
      <formula1>"PT"</formula1>
      <formula2>0</formula2>
    </dataValidation>
    <dataValidation type="list" operator="equal" allowBlank="1" showErrorMessage="1" sqref="C13:C55">
      <formula1>"M,P,G"</formula1>
      <formula2>0</formula2>
    </dataValidation>
  </dataValidations>
  <pageMargins left="0.209722222222222" right="0.209722222222222" top="0.47499999999999998" bottom="0.47499999999999998" header="0.209722222222222" footer="0.209722222222222"/>
  <pageSetup paperSize="9" scale="72" fitToHeight="2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D80" sqref="D80"/>
    </sheetView>
  </sheetViews>
  <sheetFormatPr defaultRowHeight="12.5" x14ac:dyDescent="0.25"/>
  <cols>
    <col min="1" max="1" width="15.7265625" customWidth="1"/>
    <col min="2" max="2" width="17.26953125" customWidth="1"/>
    <col min="3" max="3" width="5.54296875" bestFit="1" customWidth="1"/>
    <col min="4" max="4" width="17.54296875" customWidth="1"/>
    <col min="5" max="5" width="15.7265625" customWidth="1"/>
    <col min="6" max="7" width="17" customWidth="1"/>
  </cols>
  <sheetData>
    <row r="1" spans="1:7" ht="20" x14ac:dyDescent="0.4">
      <c r="A1" s="231" t="s">
        <v>56</v>
      </c>
      <c r="B1" s="231"/>
      <c r="C1" s="231"/>
      <c r="D1" s="102"/>
      <c r="E1" s="103"/>
      <c r="F1" s="196" t="s">
        <v>136</v>
      </c>
      <c r="G1" s="105"/>
    </row>
    <row r="2" spans="1:7" ht="13" x14ac:dyDescent="0.3">
      <c r="A2" s="232" t="s">
        <v>58</v>
      </c>
      <c r="B2" s="232"/>
      <c r="C2" s="232"/>
      <c r="D2" s="106"/>
      <c r="E2" s="107"/>
      <c r="F2" s="196" t="s">
        <v>137</v>
      </c>
      <c r="G2" s="105"/>
    </row>
    <row r="3" spans="1:7" ht="18" x14ac:dyDescent="0.4">
      <c r="A3" s="108" t="s">
        <v>60</v>
      </c>
      <c r="B3" s="109"/>
      <c r="C3" s="109"/>
      <c r="D3" s="109"/>
      <c r="E3" s="110"/>
      <c r="F3" s="108" t="s">
        <v>61</v>
      </c>
      <c r="G3" s="111"/>
    </row>
    <row r="4" spans="1:7" ht="18" x14ac:dyDescent="0.4">
      <c r="A4" s="112"/>
      <c r="B4" s="112"/>
      <c r="C4" s="112"/>
      <c r="D4" s="112"/>
      <c r="E4" s="103"/>
      <c r="F4" s="104"/>
      <c r="G4" s="113"/>
    </row>
    <row r="5" spans="1:7" ht="15.5" x14ac:dyDescent="0.35">
      <c r="A5" s="233" t="s">
        <v>62</v>
      </c>
      <c r="B5" s="233"/>
      <c r="C5" s="233"/>
      <c r="D5" s="233"/>
      <c r="E5" s="233"/>
      <c r="F5" s="233"/>
      <c r="G5" s="233"/>
    </row>
    <row r="6" spans="1:7" ht="18" x14ac:dyDescent="0.4">
      <c r="A6" s="109"/>
      <c r="B6" s="109"/>
      <c r="C6" s="109"/>
      <c r="D6" s="109"/>
      <c r="E6" s="110"/>
      <c r="F6" s="108"/>
      <c r="G6" s="111"/>
    </row>
    <row r="7" spans="1:7" ht="13" x14ac:dyDescent="0.3">
      <c r="A7" s="114" t="s">
        <v>63</v>
      </c>
      <c r="B7" s="234"/>
      <c r="C7" s="235"/>
      <c r="D7" s="115" t="s">
        <v>64</v>
      </c>
      <c r="E7" s="197" t="s">
        <v>138</v>
      </c>
      <c r="F7" s="117" t="s">
        <v>65</v>
      </c>
      <c r="G7" s="198"/>
    </row>
    <row r="8" spans="1:7" ht="13" x14ac:dyDescent="0.3">
      <c r="A8" s="119" t="s">
        <v>66</v>
      </c>
      <c r="B8" s="236"/>
      <c r="C8" s="237"/>
      <c r="D8" s="120" t="s">
        <v>67</v>
      </c>
      <c r="E8" s="121"/>
      <c r="F8" s="201" t="s">
        <v>68</v>
      </c>
      <c r="G8" s="123"/>
    </row>
    <row r="9" spans="1:7" ht="13" x14ac:dyDescent="0.3">
      <c r="A9" s="238"/>
      <c r="B9" s="239"/>
      <c r="C9" s="239"/>
      <c r="D9" s="239"/>
      <c r="E9" s="239"/>
      <c r="F9" s="239"/>
      <c r="G9" s="240"/>
    </row>
    <row r="10" spans="1:7" ht="13" x14ac:dyDescent="0.3">
      <c r="A10" s="119" t="s">
        <v>69</v>
      </c>
      <c r="B10" s="241"/>
      <c r="C10" s="242"/>
      <c r="D10" s="242"/>
      <c r="E10" s="242"/>
      <c r="F10" s="242"/>
      <c r="G10" s="242"/>
    </row>
    <row r="11" spans="1:7" x14ac:dyDescent="0.25">
      <c r="A11" s="243" t="s">
        <v>70</v>
      </c>
      <c r="B11" s="244"/>
      <c r="C11" s="245"/>
      <c r="D11" s="245"/>
      <c r="E11" s="245"/>
      <c r="F11" s="245"/>
      <c r="G11" s="246"/>
    </row>
    <row r="12" spans="1:7" x14ac:dyDescent="0.25">
      <c r="A12" s="243"/>
      <c r="B12" s="247"/>
      <c r="C12" s="248"/>
      <c r="D12" s="248"/>
      <c r="E12" s="248"/>
      <c r="F12" s="248"/>
      <c r="G12" s="249"/>
    </row>
    <row r="13" spans="1:7" ht="13" x14ac:dyDescent="0.3">
      <c r="A13" s="115"/>
      <c r="B13" s="124"/>
      <c r="C13" s="240" t="s">
        <v>71</v>
      </c>
      <c r="D13" s="238"/>
      <c r="E13" s="124"/>
      <c r="F13" s="250" t="s">
        <v>72</v>
      </c>
      <c r="G13" s="251"/>
    </row>
    <row r="14" spans="1:7" x14ac:dyDescent="0.25">
      <c r="A14" s="225" t="s">
        <v>73</v>
      </c>
      <c r="B14" s="226"/>
      <c r="C14" s="227"/>
      <c r="D14" s="228"/>
      <c r="E14" s="125"/>
      <c r="F14" s="229">
        <f>C14</f>
        <v>0</v>
      </c>
      <c r="G14" s="230"/>
    </row>
    <row r="15" spans="1:7" x14ac:dyDescent="0.25">
      <c r="A15" s="225" t="s">
        <v>74</v>
      </c>
      <c r="B15" s="226"/>
      <c r="C15" s="254"/>
      <c r="D15" s="228"/>
      <c r="E15" s="125"/>
      <c r="F15" s="255">
        <f>C15</f>
        <v>0</v>
      </c>
      <c r="G15" s="228"/>
    </row>
    <row r="16" spans="1:7" x14ac:dyDescent="0.25">
      <c r="A16" s="225" t="s">
        <v>75</v>
      </c>
      <c r="B16" s="226"/>
      <c r="C16" s="254"/>
      <c r="D16" s="228"/>
      <c r="E16" s="125"/>
      <c r="F16" s="255">
        <f>C16</f>
        <v>0</v>
      </c>
      <c r="G16" s="228"/>
    </row>
    <row r="17" spans="1:7" x14ac:dyDescent="0.25">
      <c r="A17" s="256"/>
      <c r="B17" s="256"/>
      <c r="C17" s="256"/>
      <c r="D17" s="256"/>
      <c r="E17" s="256"/>
      <c r="F17" s="256"/>
      <c r="G17" s="256"/>
    </row>
    <row r="18" spans="1:7" ht="13" x14ac:dyDescent="0.3">
      <c r="A18" s="240" t="s">
        <v>76</v>
      </c>
      <c r="B18" s="257"/>
      <c r="C18" s="126"/>
      <c r="D18" s="126"/>
      <c r="E18" s="127" t="s">
        <v>77</v>
      </c>
      <c r="F18" s="257" t="s">
        <v>78</v>
      </c>
      <c r="G18" s="238"/>
    </row>
    <row r="19" spans="1:7" x14ac:dyDescent="0.25">
      <c r="A19" s="225" t="s">
        <v>73</v>
      </c>
      <c r="B19" s="226"/>
      <c r="C19" s="258"/>
      <c r="D19" s="259"/>
      <c r="E19" s="128" t="s">
        <v>79</v>
      </c>
      <c r="F19" s="129"/>
      <c r="G19" s="130"/>
    </row>
    <row r="20" spans="1:7" x14ac:dyDescent="0.25">
      <c r="A20" s="225" t="s">
        <v>80</v>
      </c>
      <c r="B20" s="226"/>
      <c r="C20" s="252"/>
      <c r="D20" s="253"/>
      <c r="E20" s="128" t="s">
        <v>81</v>
      </c>
      <c r="F20" s="129"/>
      <c r="G20" s="199"/>
    </row>
    <row r="21" spans="1:7" x14ac:dyDescent="0.25">
      <c r="A21" s="225" t="s">
        <v>82</v>
      </c>
      <c r="B21" s="226"/>
      <c r="C21" s="260"/>
      <c r="D21" s="253"/>
      <c r="E21" s="128" t="s">
        <v>83</v>
      </c>
      <c r="F21" s="129"/>
      <c r="G21" s="131"/>
    </row>
    <row r="22" spans="1:7" x14ac:dyDescent="0.25">
      <c r="A22" s="225" t="s">
        <v>84</v>
      </c>
      <c r="B22" s="226"/>
      <c r="C22" s="261"/>
      <c r="D22" s="262"/>
      <c r="E22" s="128" t="s">
        <v>85</v>
      </c>
      <c r="F22" s="129"/>
      <c r="G22" s="200"/>
    </row>
    <row r="23" spans="1:7" ht="13" x14ac:dyDescent="0.3">
      <c r="A23" s="263"/>
      <c r="B23" s="263"/>
      <c r="C23" s="263"/>
      <c r="D23" s="263"/>
      <c r="E23" s="263"/>
      <c r="F23" s="132"/>
      <c r="G23" s="132"/>
    </row>
    <row r="24" spans="1:7" ht="13" x14ac:dyDescent="0.3">
      <c r="A24" s="240" t="s">
        <v>86</v>
      </c>
      <c r="B24" s="257"/>
      <c r="C24" s="133"/>
      <c r="D24" s="134"/>
      <c r="E24" s="135" t="s">
        <v>87</v>
      </c>
      <c r="F24" s="257" t="s">
        <v>78</v>
      </c>
      <c r="G24" s="238"/>
    </row>
    <row r="25" spans="1:7" x14ac:dyDescent="0.25">
      <c r="A25" s="225" t="s">
        <v>88</v>
      </c>
      <c r="B25" s="264"/>
      <c r="C25" s="265"/>
      <c r="D25" s="266"/>
      <c r="E25" s="266"/>
      <c r="F25" s="136"/>
      <c r="G25" s="137"/>
    </row>
    <row r="26" spans="1:7" x14ac:dyDescent="0.25">
      <c r="A26" s="225" t="s">
        <v>89</v>
      </c>
      <c r="B26" s="264"/>
      <c r="C26" s="265"/>
      <c r="D26" s="266"/>
      <c r="E26" s="266"/>
      <c r="F26" s="267"/>
      <c r="G26" s="268"/>
    </row>
    <row r="27" spans="1:7" x14ac:dyDescent="0.25">
      <c r="A27" s="269" t="s">
        <v>90</v>
      </c>
      <c r="B27" s="269"/>
      <c r="C27" s="270"/>
      <c r="D27" s="270"/>
      <c r="E27" s="270"/>
      <c r="F27" s="271"/>
      <c r="G27" s="271"/>
    </row>
    <row r="28" spans="1:7" x14ac:dyDescent="0.25">
      <c r="A28" s="269" t="s">
        <v>91</v>
      </c>
      <c r="B28" s="269"/>
      <c r="C28" s="272"/>
      <c r="D28" s="266"/>
      <c r="E28" s="266"/>
      <c r="F28" s="267"/>
      <c r="G28" s="268"/>
    </row>
    <row r="29" spans="1:7" ht="13" x14ac:dyDescent="0.3">
      <c r="A29" s="273" t="s">
        <v>92</v>
      </c>
      <c r="B29" s="273"/>
      <c r="C29" s="274"/>
      <c r="D29" s="275"/>
      <c r="E29" s="275"/>
      <c r="F29" s="250"/>
      <c r="G29" s="251"/>
    </row>
    <row r="30" spans="1:7" ht="13" x14ac:dyDescent="0.3">
      <c r="A30" s="273" t="s">
        <v>93</v>
      </c>
      <c r="B30" s="273"/>
      <c r="C30" s="276"/>
      <c r="D30" s="275"/>
      <c r="E30" s="275"/>
      <c r="F30" s="277"/>
      <c r="G30" s="278"/>
    </row>
    <row r="31" spans="1:7" x14ac:dyDescent="0.25">
      <c r="A31" s="256"/>
      <c r="B31" s="279"/>
      <c r="C31" s="279"/>
      <c r="D31" s="279"/>
      <c r="E31" s="279"/>
      <c r="F31" s="110"/>
      <c r="G31" s="110"/>
    </row>
    <row r="32" spans="1:7" ht="13" x14ac:dyDescent="0.3">
      <c r="A32" s="240" t="s">
        <v>94</v>
      </c>
      <c r="B32" s="257"/>
      <c r="C32" s="124"/>
      <c r="D32" s="124"/>
      <c r="E32" s="124"/>
      <c r="F32" s="124"/>
      <c r="G32" s="138"/>
    </row>
    <row r="33" spans="1:7" x14ac:dyDescent="0.25">
      <c r="A33" s="269" t="s">
        <v>95</v>
      </c>
      <c r="B33" s="269"/>
      <c r="C33" s="269"/>
      <c r="D33" s="280"/>
      <c r="E33" s="281"/>
      <c r="F33" s="281"/>
      <c r="G33" s="139"/>
    </row>
    <row r="34" spans="1:7" x14ac:dyDescent="0.25">
      <c r="A34" s="269" t="s">
        <v>96</v>
      </c>
      <c r="B34" s="269"/>
      <c r="C34" s="269"/>
      <c r="D34" s="282"/>
      <c r="E34" s="281"/>
      <c r="F34" s="281"/>
      <c r="G34" s="139"/>
    </row>
    <row r="35" spans="1:7" x14ac:dyDescent="0.25">
      <c r="A35" s="269" t="s">
        <v>97</v>
      </c>
      <c r="B35" s="269"/>
      <c r="C35" s="269"/>
      <c r="D35" s="282"/>
      <c r="E35" s="281"/>
      <c r="F35" s="281"/>
      <c r="G35" s="139"/>
    </row>
    <row r="36" spans="1:7" x14ac:dyDescent="0.25">
      <c r="A36" s="291" t="s">
        <v>98</v>
      </c>
      <c r="B36" s="292"/>
      <c r="C36" s="293"/>
      <c r="D36" s="294"/>
      <c r="E36" s="291" t="s">
        <v>99</v>
      </c>
      <c r="F36" s="294"/>
      <c r="G36" s="140"/>
    </row>
    <row r="37" spans="1:7" x14ac:dyDescent="0.25">
      <c r="A37" s="295"/>
      <c r="B37" s="296"/>
      <c r="C37" s="296"/>
      <c r="D37" s="296"/>
      <c r="E37" s="296"/>
      <c r="F37" s="296"/>
      <c r="G37" s="297"/>
    </row>
    <row r="38" spans="1:7" ht="13" x14ac:dyDescent="0.3">
      <c r="A38" s="298" t="s">
        <v>100</v>
      </c>
      <c r="B38" s="299"/>
      <c r="C38" s="299"/>
      <c r="D38" s="300"/>
      <c r="E38" s="301"/>
      <c r="F38" s="302"/>
      <c r="G38" s="303"/>
    </row>
    <row r="39" spans="1:7" x14ac:dyDescent="0.25">
      <c r="A39" s="304" t="s">
        <v>146</v>
      </c>
      <c r="B39" s="305"/>
      <c r="C39" s="305"/>
      <c r="D39" s="305"/>
      <c r="E39" s="305"/>
      <c r="F39" s="305"/>
      <c r="G39" s="306"/>
    </row>
    <row r="40" spans="1:7" x14ac:dyDescent="0.25">
      <c r="A40" s="307"/>
      <c r="B40" s="308"/>
      <c r="C40" s="308"/>
      <c r="D40" s="308"/>
      <c r="E40" s="308"/>
      <c r="F40" s="308"/>
      <c r="G40" s="309"/>
    </row>
    <row r="41" spans="1:7" x14ac:dyDescent="0.25">
      <c r="A41" s="307"/>
      <c r="B41" s="308"/>
      <c r="C41" s="308"/>
      <c r="D41" s="308"/>
      <c r="E41" s="308"/>
      <c r="F41" s="308"/>
      <c r="G41" s="309"/>
    </row>
    <row r="42" spans="1:7" ht="13" x14ac:dyDescent="0.25">
      <c r="A42" s="310" t="s">
        <v>101</v>
      </c>
      <c r="B42" s="310"/>
      <c r="C42" s="310"/>
      <c r="D42" s="287" t="s">
        <v>102</v>
      </c>
      <c r="E42" s="288"/>
      <c r="F42" s="289"/>
      <c r="G42" s="141"/>
    </row>
    <row r="43" spans="1:7" x14ac:dyDescent="0.25">
      <c r="A43" s="283" t="s">
        <v>103</v>
      </c>
      <c r="B43" s="284"/>
      <c r="C43" s="284"/>
      <c r="D43" s="287"/>
      <c r="E43" s="288"/>
      <c r="F43" s="289"/>
      <c r="G43" s="142"/>
    </row>
    <row r="44" spans="1:7" x14ac:dyDescent="0.25">
      <c r="A44" s="285"/>
      <c r="B44" s="286"/>
      <c r="C44" s="286"/>
      <c r="D44" s="290"/>
      <c r="E44" s="290"/>
      <c r="F44" s="290"/>
      <c r="G44" s="143"/>
    </row>
    <row r="45" spans="1:7" x14ac:dyDescent="0.25">
      <c r="A45" s="144"/>
      <c r="B45" s="144"/>
      <c r="C45" s="144"/>
      <c r="D45" s="145"/>
      <c r="E45" s="145"/>
      <c r="F45" s="145"/>
      <c r="G45" s="146"/>
    </row>
    <row r="46" spans="1:7" x14ac:dyDescent="0.25">
      <c r="A46" s="144"/>
      <c r="B46" s="144"/>
      <c r="C46" s="144"/>
      <c r="D46" s="145"/>
      <c r="E46" s="145"/>
      <c r="F46" s="145"/>
      <c r="G46" s="146"/>
    </row>
    <row r="47" spans="1:7" x14ac:dyDescent="0.25">
      <c r="A47" s="144"/>
      <c r="B47" s="144"/>
      <c r="C47" s="144"/>
      <c r="D47" s="145"/>
      <c r="E47" s="145"/>
      <c r="F47" s="145"/>
      <c r="G47" s="146"/>
    </row>
    <row r="48" spans="1:7" x14ac:dyDescent="0.25">
      <c r="A48" s="144"/>
      <c r="B48" s="144"/>
      <c r="C48" s="144"/>
      <c r="D48" s="145"/>
      <c r="E48" s="145"/>
      <c r="F48" s="145"/>
      <c r="G48" s="146"/>
    </row>
    <row r="49" spans="1:7" x14ac:dyDescent="0.25">
      <c r="A49" s="144"/>
      <c r="B49" s="144"/>
      <c r="C49" s="144"/>
      <c r="D49" s="145"/>
      <c r="E49" s="145"/>
      <c r="F49" s="145"/>
      <c r="G49" s="146"/>
    </row>
    <row r="50" spans="1:7" x14ac:dyDescent="0.25">
      <c r="A50" s="144"/>
      <c r="B50" s="144"/>
      <c r="C50" s="144"/>
      <c r="D50" s="145"/>
      <c r="E50" s="145"/>
      <c r="F50" s="145"/>
      <c r="G50" s="146"/>
    </row>
    <row r="51" spans="1:7" x14ac:dyDescent="0.25">
      <c r="A51" s="147"/>
      <c r="B51" s="147"/>
      <c r="C51" s="147"/>
      <c r="D51" s="126"/>
      <c r="E51" s="126"/>
      <c r="F51" s="126"/>
      <c r="G51" s="148"/>
    </row>
    <row r="52" spans="1:7" ht="13" x14ac:dyDescent="0.3">
      <c r="A52" s="311" t="s">
        <v>104</v>
      </c>
      <c r="B52" s="311"/>
      <c r="C52" s="311"/>
      <c r="D52" s="149"/>
      <c r="E52" s="149"/>
      <c r="F52" s="149"/>
      <c r="G52" s="149"/>
    </row>
    <row r="53" spans="1:7" x14ac:dyDescent="0.25">
      <c r="A53" s="150"/>
      <c r="B53" s="312" t="s">
        <v>105</v>
      </c>
      <c r="C53" s="312"/>
      <c r="D53" s="312"/>
      <c r="E53" s="312"/>
      <c r="F53" s="312"/>
      <c r="G53" s="312"/>
    </row>
    <row r="54" spans="1:7" x14ac:dyDescent="0.25">
      <c r="A54" s="151">
        <v>1</v>
      </c>
      <c r="B54" s="313" t="s">
        <v>106</v>
      </c>
      <c r="C54" s="313"/>
      <c r="D54" s="313"/>
      <c r="E54" s="313"/>
      <c r="F54" s="313"/>
      <c r="G54" s="313"/>
    </row>
    <row r="55" spans="1:7" x14ac:dyDescent="0.25">
      <c r="A55" s="152"/>
      <c r="B55" s="313" t="s">
        <v>107</v>
      </c>
      <c r="C55" s="313"/>
      <c r="D55" s="313"/>
      <c r="E55" s="313"/>
      <c r="F55" s="313"/>
      <c r="G55" s="313"/>
    </row>
    <row r="56" spans="1:7" ht="18.5" customHeight="1" x14ac:dyDescent="0.25">
      <c r="A56" s="153">
        <v>2</v>
      </c>
      <c r="B56" s="314" t="s">
        <v>139</v>
      </c>
      <c r="C56" s="315"/>
      <c r="D56" s="315"/>
      <c r="E56" s="315"/>
      <c r="F56" s="315"/>
      <c r="G56" s="316"/>
    </row>
    <row r="57" spans="1:7" ht="35.5" customHeight="1" x14ac:dyDescent="0.25">
      <c r="A57" s="153">
        <v>3</v>
      </c>
      <c r="B57" s="323" t="s">
        <v>140</v>
      </c>
      <c r="C57" s="315"/>
      <c r="D57" s="315"/>
      <c r="E57" s="315"/>
      <c r="F57" s="315"/>
      <c r="G57" s="315"/>
    </row>
    <row r="58" spans="1:7" x14ac:dyDescent="0.25">
      <c r="A58" s="153"/>
      <c r="B58" s="154"/>
      <c r="C58" s="154"/>
      <c r="D58" s="154"/>
      <c r="E58" s="154"/>
      <c r="F58" s="154"/>
      <c r="G58" s="154"/>
    </row>
    <row r="59" spans="1:7" x14ac:dyDescent="0.25">
      <c r="A59" s="155"/>
      <c r="B59" s="156"/>
      <c r="C59" s="156"/>
      <c r="D59" s="156"/>
      <c r="E59" s="156"/>
      <c r="F59" s="156"/>
      <c r="G59" s="156"/>
    </row>
    <row r="60" spans="1:7" ht="13.5" x14ac:dyDescent="0.3">
      <c r="A60" s="157" t="s">
        <v>108</v>
      </c>
      <c r="B60" s="158"/>
      <c r="C60" s="158"/>
      <c r="D60" s="158"/>
      <c r="E60" s="158"/>
      <c r="F60" s="158"/>
      <c r="G60" s="158"/>
    </row>
    <row r="61" spans="1:7" ht="13.5" x14ac:dyDescent="0.3">
      <c r="A61" s="158" t="s">
        <v>109</v>
      </c>
      <c r="B61" s="158"/>
      <c r="C61" s="158"/>
      <c r="D61" s="158"/>
      <c r="E61" s="158"/>
      <c r="F61" s="158"/>
      <c r="G61" s="158"/>
    </row>
    <row r="62" spans="1:7" ht="13.5" x14ac:dyDescent="0.3">
      <c r="A62" s="158"/>
      <c r="B62" s="158"/>
      <c r="C62" s="158"/>
      <c r="D62" s="158"/>
      <c r="E62" s="158"/>
      <c r="F62" s="158"/>
      <c r="G62" s="158"/>
    </row>
    <row r="63" spans="1:7" ht="13.5" x14ac:dyDescent="0.3">
      <c r="A63" s="158" t="s">
        <v>110</v>
      </c>
      <c r="B63" s="158"/>
      <c r="C63" s="158"/>
      <c r="D63" s="159"/>
      <c r="E63" s="158"/>
      <c r="F63" s="158"/>
      <c r="G63" s="159"/>
    </row>
    <row r="64" spans="1:7" ht="13.5" x14ac:dyDescent="0.3">
      <c r="A64" s="158" t="s">
        <v>111</v>
      </c>
      <c r="B64" s="158"/>
      <c r="C64" s="158"/>
      <c r="D64" s="159">
        <v>1000</v>
      </c>
      <c r="E64" s="158"/>
      <c r="F64" s="158"/>
      <c r="G64" s="159"/>
    </row>
    <row r="65" spans="1:7" ht="13.5" x14ac:dyDescent="0.3">
      <c r="A65" s="158" t="s">
        <v>112</v>
      </c>
      <c r="B65" s="158"/>
      <c r="C65" s="158"/>
      <c r="D65" s="159">
        <v>0</v>
      </c>
      <c r="E65" s="158"/>
      <c r="F65" s="158"/>
      <c r="G65" s="159"/>
    </row>
    <row r="66" spans="1:7" ht="13.5" x14ac:dyDescent="0.3">
      <c r="A66" s="158"/>
      <c r="B66" s="158"/>
      <c r="C66" s="158" t="s">
        <v>113</v>
      </c>
      <c r="D66" s="160">
        <f>+D63-D64+D65</f>
        <v>-1000</v>
      </c>
      <c r="F66" s="158"/>
      <c r="G66" s="161"/>
    </row>
    <row r="67" spans="1:7" ht="13.5" x14ac:dyDescent="0.3">
      <c r="A67" s="158"/>
      <c r="B67" s="158"/>
      <c r="C67" s="158"/>
      <c r="D67" s="158"/>
      <c r="E67" s="158"/>
      <c r="F67" s="158"/>
      <c r="G67" s="162"/>
    </row>
    <row r="68" spans="1:7" ht="13.5" x14ac:dyDescent="0.3">
      <c r="A68" s="158" t="s">
        <v>141</v>
      </c>
      <c r="B68" s="158"/>
      <c r="C68" s="158"/>
      <c r="D68" s="202" t="s">
        <v>147</v>
      </c>
      <c r="E68" s="158"/>
      <c r="F68" s="158"/>
      <c r="G68" s="158"/>
    </row>
    <row r="69" spans="1:7" ht="13.5" x14ac:dyDescent="0.3">
      <c r="A69" s="158"/>
      <c r="B69" s="158"/>
      <c r="C69" s="158"/>
      <c r="D69" s="158"/>
      <c r="E69" s="158"/>
      <c r="F69" s="158"/>
      <c r="G69" s="158"/>
    </row>
    <row r="70" spans="1:7" ht="13.5" x14ac:dyDescent="0.3">
      <c r="A70" s="157" t="s">
        <v>114</v>
      </c>
      <c r="B70" s="158"/>
      <c r="C70" s="158"/>
      <c r="D70" s="158"/>
      <c r="E70" s="158"/>
      <c r="F70" s="158"/>
      <c r="G70" s="158"/>
    </row>
    <row r="71" spans="1:7" ht="13.5" x14ac:dyDescent="0.3">
      <c r="A71" s="158" t="s">
        <v>115</v>
      </c>
      <c r="B71" s="158"/>
      <c r="C71" s="158"/>
      <c r="D71" s="158"/>
      <c r="E71" s="158"/>
      <c r="F71" s="158"/>
      <c r="G71" s="158"/>
    </row>
    <row r="72" spans="1:7" ht="13.5" x14ac:dyDescent="0.3">
      <c r="A72" s="158" t="s">
        <v>116</v>
      </c>
      <c r="B72" s="158"/>
      <c r="C72" s="158"/>
      <c r="D72" s="158"/>
      <c r="E72" s="158"/>
      <c r="F72" s="158"/>
      <c r="G72" s="158"/>
    </row>
    <row r="73" spans="1:7" ht="13.5" x14ac:dyDescent="0.3">
      <c r="A73" s="158" t="s">
        <v>117</v>
      </c>
      <c r="B73" s="158"/>
      <c r="C73" s="158"/>
      <c r="D73" s="158"/>
      <c r="E73" s="158"/>
      <c r="F73" s="158"/>
      <c r="G73" s="158"/>
    </row>
    <row r="74" spans="1:7" ht="13.5" x14ac:dyDescent="0.3">
      <c r="A74" s="158" t="s">
        <v>118</v>
      </c>
      <c r="B74" s="158"/>
      <c r="C74" s="158"/>
      <c r="D74" s="158"/>
      <c r="E74" s="158"/>
      <c r="F74" s="158"/>
      <c r="G74" s="158"/>
    </row>
    <row r="75" spans="1:7" ht="13.5" x14ac:dyDescent="0.3">
      <c r="A75" s="158" t="s">
        <v>119</v>
      </c>
      <c r="B75" s="158"/>
      <c r="C75" s="158"/>
      <c r="D75" s="158"/>
      <c r="E75" s="158"/>
      <c r="F75" s="158"/>
      <c r="G75" s="158"/>
    </row>
    <row r="76" spans="1:7" ht="13.5" x14ac:dyDescent="0.3">
      <c r="A76" s="158" t="s">
        <v>142</v>
      </c>
      <c r="B76" s="158"/>
      <c r="C76" s="158"/>
      <c r="D76" s="158"/>
      <c r="E76" s="158"/>
      <c r="F76" s="158"/>
      <c r="G76" s="158"/>
    </row>
    <row r="77" spans="1:7" ht="13.5" x14ac:dyDescent="0.3">
      <c r="A77" s="158"/>
      <c r="B77" s="158"/>
      <c r="C77" s="158"/>
      <c r="D77" s="158"/>
      <c r="E77" s="158"/>
      <c r="F77" s="158"/>
      <c r="G77" s="158"/>
    </row>
    <row r="78" spans="1:7" ht="13.5" x14ac:dyDescent="0.3">
      <c r="A78" s="158" t="s">
        <v>120</v>
      </c>
      <c r="B78" s="158"/>
      <c r="C78" s="158"/>
      <c r="D78" s="159">
        <v>0</v>
      </c>
      <c r="E78" s="158"/>
      <c r="F78" s="158"/>
    </row>
    <row r="79" spans="1:7" ht="13.5" x14ac:dyDescent="0.3">
      <c r="A79" s="163" t="s">
        <v>143</v>
      </c>
      <c r="B79" s="158"/>
      <c r="C79" s="158"/>
      <c r="D79" s="159">
        <v>0</v>
      </c>
      <c r="E79" s="158"/>
      <c r="F79" s="158"/>
    </row>
    <row r="80" spans="1:7" ht="13.5" x14ac:dyDescent="0.3">
      <c r="A80" s="158" t="s">
        <v>112</v>
      </c>
      <c r="B80" s="158"/>
      <c r="C80" s="158"/>
      <c r="D80" s="159">
        <v>0</v>
      </c>
      <c r="E80" s="158"/>
      <c r="F80" s="158"/>
    </row>
    <row r="81" spans="1:7" ht="13.5" x14ac:dyDescent="0.3">
      <c r="A81" s="158" t="s">
        <v>111</v>
      </c>
      <c r="B81" s="158"/>
      <c r="C81" s="158"/>
      <c r="D81" s="159">
        <v>1000</v>
      </c>
      <c r="E81" s="158"/>
      <c r="F81" s="158"/>
    </row>
    <row r="82" spans="1:7" ht="13.5" x14ac:dyDescent="0.3">
      <c r="A82" s="158"/>
      <c r="B82" s="158"/>
      <c r="C82" s="158" t="s">
        <v>113</v>
      </c>
      <c r="D82" s="164">
        <f>+D78-D81-D79+D80</f>
        <v>-1000</v>
      </c>
      <c r="F82" s="158"/>
    </row>
    <row r="83" spans="1:7" ht="13.5" x14ac:dyDescent="0.3">
      <c r="A83" s="158"/>
      <c r="B83" s="158"/>
      <c r="C83" s="158"/>
      <c r="D83" s="158"/>
      <c r="E83" s="158"/>
      <c r="F83" s="158"/>
      <c r="G83" s="158"/>
    </row>
    <row r="84" spans="1:7" ht="13.5" x14ac:dyDescent="0.3">
      <c r="A84" s="158" t="s">
        <v>144</v>
      </c>
      <c r="B84" s="158"/>
      <c r="C84" s="158"/>
      <c r="D84" s="158"/>
      <c r="E84" s="158"/>
      <c r="F84" s="158"/>
      <c r="G84" s="158"/>
    </row>
    <row r="85" spans="1:7" ht="13.5" x14ac:dyDescent="0.3">
      <c r="A85" s="158"/>
      <c r="B85" s="158"/>
      <c r="C85" s="158"/>
      <c r="D85" s="158"/>
      <c r="E85" s="158"/>
      <c r="F85" s="158"/>
      <c r="G85" s="158"/>
    </row>
    <row r="86" spans="1:7" ht="13.5" x14ac:dyDescent="0.3">
      <c r="A86" s="165" t="s">
        <v>145</v>
      </c>
      <c r="B86" s="162"/>
      <c r="C86" s="162"/>
      <c r="D86" s="162"/>
      <c r="E86" s="162"/>
      <c r="F86" s="162"/>
      <c r="G86" s="162"/>
    </row>
    <row r="87" spans="1:7" ht="13.5" x14ac:dyDescent="0.3">
      <c r="A87" s="165" t="s">
        <v>121</v>
      </c>
      <c r="B87" s="162"/>
      <c r="C87" s="162"/>
      <c r="D87" s="162"/>
      <c r="E87" s="162"/>
      <c r="F87" s="162"/>
      <c r="G87" s="162"/>
    </row>
    <row r="88" spans="1:7" ht="13" x14ac:dyDescent="0.3">
      <c r="A88" s="166"/>
      <c r="B88" s="324"/>
      <c r="C88" s="324"/>
      <c r="D88" s="324"/>
      <c r="E88" s="324"/>
      <c r="F88" s="324"/>
      <c r="G88" s="324"/>
    </row>
    <row r="89" spans="1:7" x14ac:dyDescent="0.25">
      <c r="A89" s="325" t="s">
        <v>122</v>
      </c>
      <c r="B89" s="326"/>
      <c r="C89" s="326"/>
      <c r="D89" s="326"/>
      <c r="E89" s="326"/>
      <c r="F89" s="326"/>
      <c r="G89" s="326"/>
    </row>
    <row r="90" spans="1:7" x14ac:dyDescent="0.25">
      <c r="A90" s="167"/>
      <c r="B90" s="167"/>
      <c r="C90" s="167"/>
      <c r="D90" s="167"/>
      <c r="E90" s="167"/>
      <c r="F90" s="167"/>
      <c r="G90" s="167"/>
    </row>
    <row r="91" spans="1:7" x14ac:dyDescent="0.25">
      <c r="A91" s="107"/>
      <c r="B91" s="107"/>
      <c r="C91" s="107"/>
      <c r="D91" s="107"/>
      <c r="E91" s="107"/>
      <c r="F91" s="107"/>
      <c r="G91" s="107"/>
    </row>
    <row r="92" spans="1:7" ht="13" x14ac:dyDescent="0.3">
      <c r="A92" s="107"/>
      <c r="B92" s="107"/>
      <c r="C92" s="107"/>
      <c r="D92" s="107"/>
      <c r="E92" s="107"/>
      <c r="F92" s="107"/>
      <c r="G92" s="168" t="s">
        <v>56</v>
      </c>
    </row>
    <row r="93" spans="1:7" ht="18" x14ac:dyDescent="0.4">
      <c r="A93" s="327" t="s">
        <v>56</v>
      </c>
      <c r="B93" s="327"/>
      <c r="C93" s="327"/>
      <c r="D93" s="102"/>
      <c r="E93" s="103"/>
      <c r="F93" s="104" t="s">
        <v>57</v>
      </c>
      <c r="G93" s="105"/>
    </row>
    <row r="94" spans="1:7" ht="13" x14ac:dyDescent="0.3">
      <c r="A94" s="232" t="s">
        <v>58</v>
      </c>
      <c r="B94" s="232"/>
      <c r="C94" s="232"/>
      <c r="D94" s="106"/>
      <c r="E94" s="107"/>
      <c r="F94" s="104" t="s">
        <v>59</v>
      </c>
      <c r="G94" s="105"/>
    </row>
    <row r="95" spans="1:7" ht="18" x14ac:dyDescent="0.4">
      <c r="A95" s="104" t="s">
        <v>60</v>
      </c>
      <c r="B95" s="104"/>
      <c r="C95" s="104"/>
      <c r="D95" s="104"/>
      <c r="E95" s="169"/>
      <c r="F95" s="104" t="s">
        <v>61</v>
      </c>
      <c r="G95" s="113"/>
    </row>
    <row r="96" spans="1:7" x14ac:dyDescent="0.25">
      <c r="A96" s="110"/>
      <c r="B96" s="110"/>
      <c r="C96" s="110"/>
      <c r="D96" s="110"/>
      <c r="E96" s="110"/>
      <c r="F96" s="110"/>
      <c r="G96" s="110"/>
    </row>
    <row r="97" spans="1:7" x14ac:dyDescent="0.25">
      <c r="A97" s="107"/>
      <c r="B97" s="107"/>
      <c r="C97" s="107"/>
      <c r="D97" s="107"/>
      <c r="E97" s="107"/>
      <c r="F97" s="107"/>
      <c r="G97" s="107"/>
    </row>
    <row r="98" spans="1:7" x14ac:dyDescent="0.25">
      <c r="A98" s="107"/>
      <c r="B98" s="107"/>
      <c r="C98" s="107"/>
      <c r="D98" s="107"/>
      <c r="E98" s="107"/>
      <c r="F98" s="107"/>
      <c r="G98" s="107"/>
    </row>
    <row r="99" spans="1:7" x14ac:dyDescent="0.25">
      <c r="A99" s="107"/>
      <c r="B99" s="107"/>
      <c r="C99" s="107"/>
      <c r="D99" s="107"/>
      <c r="E99" s="107"/>
      <c r="F99" s="107"/>
      <c r="G99" s="107"/>
    </row>
    <row r="100" spans="1:7" ht="13" x14ac:dyDescent="0.3">
      <c r="A100" s="119" t="s">
        <v>63</v>
      </c>
      <c r="B100" s="328">
        <f>B7</f>
        <v>0</v>
      </c>
      <c r="C100" s="235"/>
      <c r="D100" s="115" t="s">
        <v>64</v>
      </c>
      <c r="E100" s="116" t="str">
        <f>E7</f>
        <v>Tata-</v>
      </c>
      <c r="F100" s="117" t="s">
        <v>65</v>
      </c>
      <c r="G100" s="118">
        <f>G7</f>
        <v>0</v>
      </c>
    </row>
    <row r="101" spans="1:7" ht="13" x14ac:dyDescent="0.3">
      <c r="A101" s="119" t="s">
        <v>66</v>
      </c>
      <c r="B101" s="317">
        <f>+B8</f>
        <v>0</v>
      </c>
      <c r="C101" s="318"/>
      <c r="D101" s="120" t="s">
        <v>67</v>
      </c>
      <c r="E101" s="170">
        <f>E8</f>
        <v>0</v>
      </c>
      <c r="F101" s="122" t="s">
        <v>68</v>
      </c>
      <c r="G101" s="171">
        <f>G8</f>
        <v>0</v>
      </c>
    </row>
    <row r="102" spans="1:7" ht="13" x14ac:dyDescent="0.3">
      <c r="A102" s="257"/>
      <c r="B102" s="257"/>
      <c r="C102" s="257"/>
      <c r="D102" s="257"/>
      <c r="E102" s="257"/>
      <c r="F102" s="257"/>
      <c r="G102" s="257"/>
    </row>
    <row r="103" spans="1:7" ht="13" x14ac:dyDescent="0.3">
      <c r="A103" s="119" t="s">
        <v>69</v>
      </c>
      <c r="B103" s="319">
        <f>B10</f>
        <v>0</v>
      </c>
      <c r="C103" s="320"/>
      <c r="D103" s="320"/>
      <c r="E103" s="320"/>
      <c r="F103" s="320"/>
      <c r="G103" s="321"/>
    </row>
    <row r="104" spans="1:7" ht="13.5" x14ac:dyDescent="0.3">
      <c r="A104" s="172"/>
      <c r="B104" s="172"/>
      <c r="C104" s="172"/>
      <c r="D104" s="172"/>
      <c r="E104" s="172"/>
      <c r="F104" s="173"/>
      <c r="G104" s="174"/>
    </row>
    <row r="105" spans="1:7" ht="13.5" x14ac:dyDescent="0.3">
      <c r="A105" s="172"/>
      <c r="B105" s="172"/>
      <c r="C105" s="172"/>
      <c r="D105" s="172"/>
      <c r="E105" s="172"/>
      <c r="F105" s="173"/>
      <c r="G105" s="174"/>
    </row>
    <row r="106" spans="1:7" ht="13.5" x14ac:dyDescent="0.3">
      <c r="A106" s="175" t="s">
        <v>123</v>
      </c>
      <c r="B106" s="176"/>
      <c r="C106" s="322">
        <f>C14</f>
        <v>0</v>
      </c>
      <c r="D106" s="322"/>
      <c r="E106" s="177"/>
      <c r="F106" s="178"/>
      <c r="G106" s="179"/>
    </row>
    <row r="107" spans="1:7" ht="13.5" x14ac:dyDescent="0.3">
      <c r="A107" s="180"/>
      <c r="B107" s="180"/>
      <c r="C107" s="180"/>
      <c r="D107" s="180"/>
      <c r="E107" s="180"/>
      <c r="F107" s="173"/>
      <c r="G107" s="174"/>
    </row>
    <row r="108" spans="1:7" ht="13.5" x14ac:dyDescent="0.3">
      <c r="A108" s="180"/>
      <c r="B108" s="180"/>
      <c r="C108" s="180"/>
      <c r="D108" s="180"/>
      <c r="E108" s="180"/>
      <c r="F108" s="173"/>
      <c r="G108" s="174"/>
    </row>
    <row r="109" spans="1:7" ht="13.5" x14ac:dyDescent="0.3">
      <c r="A109" s="180"/>
      <c r="B109" s="180"/>
      <c r="C109" s="180"/>
      <c r="D109" s="180"/>
      <c r="E109" s="180"/>
      <c r="F109" s="180"/>
      <c r="G109" s="181"/>
    </row>
    <row r="110" spans="1:7" ht="15" x14ac:dyDescent="0.3">
      <c r="A110" s="180"/>
      <c r="B110" s="180"/>
      <c r="C110" s="107"/>
      <c r="D110" s="182" t="s">
        <v>124</v>
      </c>
      <c r="E110" s="180"/>
      <c r="F110" s="107"/>
      <c r="G110" s="183"/>
    </row>
    <row r="111" spans="1:7" ht="13.5" x14ac:dyDescent="0.3">
      <c r="A111" s="180"/>
      <c r="B111" s="180"/>
      <c r="C111" s="180"/>
      <c r="D111" s="180"/>
      <c r="E111" s="180"/>
      <c r="F111" s="180"/>
      <c r="G111" s="184"/>
    </row>
    <row r="112" spans="1:7" ht="13.5" x14ac:dyDescent="0.3">
      <c r="A112" s="185" t="s">
        <v>125</v>
      </c>
      <c r="B112" s="177" t="s">
        <v>126</v>
      </c>
      <c r="C112" s="107"/>
      <c r="D112" s="107"/>
      <c r="E112" s="186" t="s">
        <v>127</v>
      </c>
      <c r="F112" s="186"/>
      <c r="G112" s="186"/>
    </row>
    <row r="113" spans="1:7" ht="13.5" x14ac:dyDescent="0.3">
      <c r="A113" s="174"/>
      <c r="B113" s="180"/>
      <c r="C113" s="107"/>
      <c r="D113" s="107"/>
      <c r="E113" s="187"/>
      <c r="F113" s="188"/>
      <c r="G113" s="187"/>
    </row>
    <row r="114" spans="1:7" ht="13.5" x14ac:dyDescent="0.3">
      <c r="A114" s="174">
        <v>1</v>
      </c>
      <c r="B114" s="180" t="s">
        <v>128</v>
      </c>
      <c r="C114" s="107"/>
      <c r="D114" s="107"/>
      <c r="E114" s="188"/>
      <c r="F114" s="188"/>
      <c r="G114" s="188"/>
    </row>
    <row r="115" spans="1:7" ht="13.5" x14ac:dyDescent="0.3">
      <c r="A115" s="174"/>
      <c r="B115" s="180"/>
      <c r="C115" s="107"/>
      <c r="D115" s="107"/>
      <c r="E115" s="188"/>
      <c r="F115" s="188"/>
      <c r="G115" s="188"/>
    </row>
    <row r="116" spans="1:7" ht="13.5" x14ac:dyDescent="0.3">
      <c r="A116" s="174"/>
      <c r="B116" s="180"/>
      <c r="C116" s="107"/>
      <c r="D116" s="107"/>
      <c r="E116" s="188"/>
      <c r="F116" s="188"/>
      <c r="G116" s="188"/>
    </row>
    <row r="117" spans="1:7" ht="13.5" x14ac:dyDescent="0.3">
      <c r="A117" s="174"/>
      <c r="B117" s="180"/>
      <c r="C117" s="107"/>
      <c r="D117" s="107"/>
      <c r="E117" s="188"/>
      <c r="F117" s="188"/>
      <c r="G117" s="188"/>
    </row>
    <row r="118" spans="1:7" ht="13.5" x14ac:dyDescent="0.3">
      <c r="A118" s="174">
        <v>2</v>
      </c>
      <c r="B118" s="180" t="s">
        <v>129</v>
      </c>
      <c r="C118" s="107"/>
      <c r="D118" s="107"/>
      <c r="E118" s="188"/>
      <c r="F118" s="188"/>
      <c r="G118" s="188"/>
    </row>
    <row r="119" spans="1:7" ht="13.5" x14ac:dyDescent="0.3">
      <c r="A119" s="174"/>
      <c r="B119" s="180"/>
      <c r="C119" s="107"/>
      <c r="D119" s="107"/>
      <c r="E119" s="188"/>
      <c r="F119" s="188"/>
      <c r="G119" s="188"/>
    </row>
    <row r="120" spans="1:7" ht="13.5" x14ac:dyDescent="0.3">
      <c r="A120" s="174"/>
      <c r="B120" s="180"/>
      <c r="C120" s="107"/>
      <c r="D120" s="107"/>
      <c r="E120" s="188"/>
      <c r="F120" s="188"/>
      <c r="G120" s="188"/>
    </row>
    <row r="121" spans="1:7" ht="13.5" x14ac:dyDescent="0.3">
      <c r="A121" s="174"/>
      <c r="B121" s="180"/>
      <c r="C121" s="107"/>
      <c r="D121" s="107"/>
      <c r="E121" s="188"/>
      <c r="F121" s="188"/>
      <c r="G121" s="188"/>
    </row>
    <row r="122" spans="1:7" ht="13.5" x14ac:dyDescent="0.3">
      <c r="A122" s="174">
        <v>3</v>
      </c>
      <c r="B122" s="180" t="s">
        <v>130</v>
      </c>
      <c r="C122" s="107"/>
      <c r="D122" s="107"/>
      <c r="E122" s="188">
        <v>0</v>
      </c>
      <c r="F122" s="188"/>
      <c r="G122" s="188"/>
    </row>
    <row r="123" spans="1:7" ht="13.5" x14ac:dyDescent="0.3">
      <c r="A123" s="107"/>
      <c r="B123" s="174"/>
      <c r="C123" s="180"/>
      <c r="D123" s="107"/>
      <c r="E123" s="188"/>
      <c r="F123" s="189"/>
      <c r="G123" s="188"/>
    </row>
    <row r="124" spans="1:7" ht="13.5" x14ac:dyDescent="0.3">
      <c r="A124" s="174"/>
      <c r="B124" s="180"/>
      <c r="C124" s="180"/>
      <c r="D124" s="190" t="s">
        <v>113</v>
      </c>
      <c r="E124" s="191">
        <f>+SUM(E114:E123)</f>
        <v>0</v>
      </c>
      <c r="F124" s="107"/>
      <c r="G124" s="190"/>
    </row>
    <row r="125" spans="1:7" ht="13.5" x14ac:dyDescent="0.3">
      <c r="A125" s="174"/>
      <c r="B125" s="180"/>
      <c r="C125" s="180"/>
      <c r="D125" s="192"/>
      <c r="E125" s="190">
        <v>0</v>
      </c>
      <c r="F125" s="107"/>
      <c r="G125" s="190"/>
    </row>
    <row r="126" spans="1:7" ht="14" thickBot="1" x14ac:dyDescent="0.35">
      <c r="A126" s="174"/>
      <c r="B126" s="180"/>
      <c r="C126" s="180"/>
      <c r="D126" s="180"/>
      <c r="E126" s="193">
        <f>+E124+E125</f>
        <v>0</v>
      </c>
      <c r="F126" s="180"/>
      <c r="G126" s="190"/>
    </row>
    <row r="127" spans="1:7" ht="14" thickTop="1" x14ac:dyDescent="0.3">
      <c r="A127" s="174"/>
      <c r="B127" s="180"/>
      <c r="C127" s="180"/>
      <c r="D127" s="180"/>
      <c r="E127" s="180"/>
      <c r="F127" s="180"/>
      <c r="G127" s="194"/>
    </row>
    <row r="128" spans="1:7" ht="13.5" x14ac:dyDescent="0.3">
      <c r="A128" s="174"/>
      <c r="B128" s="180"/>
      <c r="C128" s="180"/>
      <c r="D128" s="180"/>
      <c r="E128" s="180"/>
      <c r="F128" s="180"/>
      <c r="G128" s="180"/>
    </row>
    <row r="129" spans="1:7" ht="13.5" x14ac:dyDescent="0.3">
      <c r="A129" s="174"/>
      <c r="B129" s="180" t="s">
        <v>131</v>
      </c>
      <c r="C129" s="180"/>
      <c r="D129" s="107"/>
      <c r="E129" s="180"/>
      <c r="F129" s="180"/>
      <c r="G129" s="180"/>
    </row>
    <row r="130" spans="1:7" ht="13.5" x14ac:dyDescent="0.3">
      <c r="A130" s="180"/>
      <c r="B130" s="180" t="s">
        <v>132</v>
      </c>
      <c r="C130" s="180"/>
      <c r="D130" s="107"/>
      <c r="E130" s="180"/>
      <c r="F130" s="180"/>
      <c r="G130" s="180"/>
    </row>
    <row r="131" spans="1:7" ht="13.5" x14ac:dyDescent="0.3">
      <c r="A131" s="180"/>
      <c r="B131" s="180" t="s">
        <v>133</v>
      </c>
      <c r="C131" s="180"/>
      <c r="D131" s="107"/>
      <c r="E131" s="180"/>
      <c r="F131" s="180"/>
      <c r="G131" s="180"/>
    </row>
    <row r="132" spans="1:7" ht="14" x14ac:dyDescent="0.3">
      <c r="A132" s="180"/>
      <c r="B132" s="180"/>
      <c r="C132" s="180"/>
      <c r="D132" s="180"/>
      <c r="E132" s="180"/>
      <c r="F132" s="195" t="s">
        <v>134</v>
      </c>
      <c r="G132" s="107"/>
    </row>
    <row r="133" spans="1:7" ht="13.5" x14ac:dyDescent="0.3">
      <c r="A133" s="180"/>
      <c r="B133" s="180"/>
      <c r="C133" s="180"/>
      <c r="D133" s="180"/>
      <c r="E133" s="180"/>
      <c r="F133" s="181" t="s">
        <v>135</v>
      </c>
      <c r="G133" s="107"/>
    </row>
  </sheetData>
  <mergeCells count="86">
    <mergeCell ref="B101:C101"/>
    <mergeCell ref="A102:G102"/>
    <mergeCell ref="B103:G103"/>
    <mergeCell ref="C106:D106"/>
    <mergeCell ref="B57:G57"/>
    <mergeCell ref="B88:G88"/>
    <mergeCell ref="A89:G89"/>
    <mergeCell ref="A93:C93"/>
    <mergeCell ref="A94:C94"/>
    <mergeCell ref="B100:C100"/>
    <mergeCell ref="A52:C52"/>
    <mergeCell ref="B53:G53"/>
    <mergeCell ref="B54:G54"/>
    <mergeCell ref="B55:G55"/>
    <mergeCell ref="B56:G56"/>
    <mergeCell ref="A43:C44"/>
    <mergeCell ref="D43:F43"/>
    <mergeCell ref="D44:F44"/>
    <mergeCell ref="A35:C35"/>
    <mergeCell ref="D35:F35"/>
    <mergeCell ref="A36:B36"/>
    <mergeCell ref="C36:D36"/>
    <mergeCell ref="E36:F36"/>
    <mergeCell ref="A37:G37"/>
    <mergeCell ref="A38:D38"/>
    <mergeCell ref="E38:G38"/>
    <mergeCell ref="A39:G41"/>
    <mergeCell ref="A42:C42"/>
    <mergeCell ref="D42:F42"/>
    <mergeCell ref="A31:E31"/>
    <mergeCell ref="A32:B32"/>
    <mergeCell ref="A33:C33"/>
    <mergeCell ref="D33:F33"/>
    <mergeCell ref="A34:C34"/>
    <mergeCell ref="D34:F34"/>
    <mergeCell ref="A29:B29"/>
    <mergeCell ref="C29:E29"/>
    <mergeCell ref="F29:G29"/>
    <mergeCell ref="A30:B30"/>
    <mergeCell ref="C30:E30"/>
    <mergeCell ref="F30:G30"/>
    <mergeCell ref="A27:B27"/>
    <mergeCell ref="C27:E27"/>
    <mergeCell ref="F27:G27"/>
    <mergeCell ref="A28:B28"/>
    <mergeCell ref="C28:E28"/>
    <mergeCell ref="F28:G28"/>
    <mergeCell ref="F24:G24"/>
    <mergeCell ref="A25:B25"/>
    <mergeCell ref="C25:E25"/>
    <mergeCell ref="A26:B26"/>
    <mergeCell ref="C26:E26"/>
    <mergeCell ref="F26:G26"/>
    <mergeCell ref="A24:B24"/>
    <mergeCell ref="A21:B21"/>
    <mergeCell ref="C21:D21"/>
    <mergeCell ref="A22:B22"/>
    <mergeCell ref="C22:D22"/>
    <mergeCell ref="A23:E23"/>
    <mergeCell ref="A20:B20"/>
    <mergeCell ref="C20:D20"/>
    <mergeCell ref="A15:B15"/>
    <mergeCell ref="C15:D15"/>
    <mergeCell ref="F15:G15"/>
    <mergeCell ref="A16:B16"/>
    <mergeCell ref="C16:D16"/>
    <mergeCell ref="F16:G16"/>
    <mergeCell ref="A17:G17"/>
    <mergeCell ref="A18:B18"/>
    <mergeCell ref="F18:G18"/>
    <mergeCell ref="A19:B19"/>
    <mergeCell ref="C19:D19"/>
    <mergeCell ref="A14:B14"/>
    <mergeCell ref="C14:D14"/>
    <mergeCell ref="F14:G14"/>
    <mergeCell ref="A1:C1"/>
    <mergeCell ref="A2:C2"/>
    <mergeCell ref="A5:G5"/>
    <mergeCell ref="B7:C7"/>
    <mergeCell ref="B8:C8"/>
    <mergeCell ref="A9:G9"/>
    <mergeCell ref="B10:G10"/>
    <mergeCell ref="A11:A12"/>
    <mergeCell ref="B11:G12"/>
    <mergeCell ref="C13:D13"/>
    <mergeCell ref="F13:G13"/>
  </mergeCells>
  <dataValidations count="1">
    <dataValidation type="list" allowBlank="1" showInputMessage="1" showErrorMessage="1" sqref="F29:F30">
      <formula1>$Q$22:$Q$27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sheet</vt:lpstr>
      <vt:lpstr>Survey Report 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Home1</dc:creator>
  <cp:lastModifiedBy>Administrator</cp:lastModifiedBy>
  <dcterms:created xsi:type="dcterms:W3CDTF">2019-02-14T07:09:30Z</dcterms:created>
  <dcterms:modified xsi:type="dcterms:W3CDTF">2025-04-24T13:43:48Z</dcterms:modified>
</cp:coreProperties>
</file>